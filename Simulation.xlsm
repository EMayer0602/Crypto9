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dgar.000\Documents\____Trading strategies\Crypto9\"/>
    </mc:Choice>
  </mc:AlternateContent>
  <xr:revisionPtr revIDLastSave="0" documentId="8_{0A88FD48-8A8C-4E7A-803D-68898C7F0AF6}" xr6:coauthVersionLast="47" xr6:coauthVersionMax="47" xr10:uidLastSave="{00000000-0000-0000-0000-000000000000}"/>
  <bookViews>
    <workbookView xWindow="-103" yWindow="-103" windowWidth="33120" windowHeight="18120" activeTab="2" xr2:uid="{28891CC2-47EF-4C9E-88E0-F2770F4F8178}"/>
  </bookViews>
  <sheets>
    <sheet name="Sheet1" sheetId="1" r:id="rId1"/>
    <sheet name="Sheet2" sheetId="2" r:id="rId2"/>
    <sheet name="Sheet3" sheetId="3" r:id="rId3"/>
  </sheets>
  <definedNames>
    <definedName name="_xlnm._FilterDatabase" localSheetId="2" hidden="1">Sheet3!$D$12:$S$1475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0" i="3" l="1"/>
  <c r="AH1441" i="3"/>
  <c r="AH1440" i="3"/>
  <c r="AH1439" i="3"/>
  <c r="AH1438" i="3"/>
  <c r="AH1437" i="3"/>
  <c r="AH1436" i="3"/>
  <c r="AH1435" i="3"/>
  <c r="AH1434" i="3"/>
  <c r="AH1433" i="3"/>
  <c r="AH1432" i="3"/>
  <c r="AH1431" i="3"/>
  <c r="AH1430" i="3"/>
  <c r="AH1429" i="3"/>
  <c r="AH1428" i="3"/>
  <c r="AH1427" i="3"/>
  <c r="AH1426" i="3"/>
  <c r="AH1425" i="3"/>
  <c r="AH1424" i="3"/>
  <c r="AH1423" i="3"/>
  <c r="AH1422" i="3"/>
  <c r="AH1421" i="3"/>
  <c r="AH1420" i="3"/>
  <c r="AH1419" i="3"/>
  <c r="AH1418" i="3"/>
  <c r="AH1417" i="3"/>
  <c r="AH1416" i="3"/>
  <c r="AH1415" i="3"/>
  <c r="AH1414" i="3"/>
  <c r="AH1413" i="3"/>
  <c r="AH1412" i="3"/>
  <c r="AH1411" i="3"/>
  <c r="AH1410" i="3"/>
  <c r="AH1409" i="3"/>
  <c r="AH1408" i="3"/>
  <c r="AH1407" i="3"/>
  <c r="AH1406" i="3"/>
  <c r="AH1405" i="3"/>
  <c r="AH1404" i="3"/>
  <c r="AH1403" i="3"/>
  <c r="AH1402" i="3"/>
  <c r="AH1401" i="3"/>
  <c r="AH1400" i="3"/>
  <c r="AH1399" i="3"/>
  <c r="AH1398" i="3"/>
  <c r="AH1397" i="3"/>
  <c r="AH1396" i="3"/>
  <c r="AH1395" i="3"/>
  <c r="AH1394" i="3"/>
  <c r="AH1393" i="3"/>
  <c r="AH1392" i="3"/>
  <c r="AH1391" i="3"/>
  <c r="AH1390" i="3"/>
  <c r="AH1389" i="3"/>
  <c r="AH1388" i="3"/>
  <c r="AH1387" i="3"/>
  <c r="AH1386" i="3"/>
  <c r="AH1385" i="3"/>
  <c r="AH1384" i="3"/>
  <c r="AH1383" i="3"/>
  <c r="AH1382" i="3"/>
  <c r="AH1381" i="3"/>
  <c r="AH1380" i="3"/>
  <c r="AH1379" i="3"/>
  <c r="AH1378" i="3"/>
  <c r="AH1377" i="3"/>
  <c r="AH1376" i="3"/>
  <c r="AH1375" i="3"/>
  <c r="AH1374" i="3"/>
  <c r="AH1373" i="3"/>
  <c r="AH1372" i="3"/>
  <c r="AH1371" i="3"/>
  <c r="AH1370" i="3"/>
  <c r="AH1369" i="3"/>
  <c r="AH1368" i="3"/>
  <c r="AH1367" i="3"/>
  <c r="AH1366" i="3"/>
  <c r="AH1365" i="3"/>
  <c r="AH1364" i="3"/>
  <c r="AH1363" i="3"/>
  <c r="AH1362" i="3"/>
  <c r="AH1361" i="3"/>
  <c r="AH1360" i="3"/>
  <c r="AH1359" i="3"/>
  <c r="AH1358" i="3"/>
  <c r="AH1357" i="3"/>
  <c r="AH1356" i="3"/>
  <c r="AH1355" i="3"/>
  <c r="AH1354" i="3"/>
  <c r="AH1353" i="3"/>
  <c r="AH1352" i="3"/>
  <c r="AH1351" i="3"/>
  <c r="AH1350" i="3"/>
  <c r="AH1349" i="3"/>
  <c r="AH1348" i="3"/>
  <c r="AH1347" i="3"/>
  <c r="AH1346" i="3"/>
  <c r="AH1345" i="3"/>
  <c r="AH1344" i="3"/>
  <c r="AH1343" i="3"/>
  <c r="AH1342" i="3"/>
  <c r="AH1341" i="3"/>
  <c r="AH1340" i="3"/>
  <c r="AH1339" i="3"/>
  <c r="AH1338" i="3"/>
  <c r="AH1337" i="3"/>
  <c r="AH1336" i="3"/>
  <c r="AH1335" i="3"/>
  <c r="AH1334" i="3"/>
  <c r="AH1333" i="3"/>
  <c r="AH1332" i="3"/>
  <c r="AH1331" i="3"/>
  <c r="AH1330" i="3"/>
  <c r="AH1329" i="3"/>
  <c r="AH1328" i="3"/>
  <c r="AH1327" i="3"/>
  <c r="AH1326" i="3"/>
  <c r="AH1325" i="3"/>
  <c r="AH1324" i="3"/>
  <c r="AH1323" i="3"/>
  <c r="AH1322" i="3"/>
  <c r="AH1321" i="3"/>
  <c r="AH1320" i="3"/>
  <c r="AH1319" i="3"/>
  <c r="AH1318" i="3"/>
  <c r="AH1317" i="3"/>
  <c r="AH1316" i="3"/>
  <c r="AH1315" i="3"/>
  <c r="AH1314" i="3"/>
  <c r="AH1313" i="3"/>
  <c r="AH1312" i="3"/>
  <c r="AH1311" i="3"/>
  <c r="AH1310" i="3"/>
  <c r="AH1309" i="3"/>
  <c r="AH1308" i="3"/>
  <c r="AH1307" i="3"/>
  <c r="AH1306" i="3"/>
  <c r="AH1305" i="3"/>
  <c r="AH1304" i="3"/>
  <c r="AH1303" i="3"/>
  <c r="AH1302" i="3"/>
  <c r="AH1301" i="3"/>
  <c r="AH1300" i="3"/>
  <c r="AH1299" i="3"/>
  <c r="AH1298" i="3"/>
  <c r="AH1297" i="3"/>
  <c r="AH1296" i="3"/>
  <c r="AH1295" i="3"/>
  <c r="AH1294" i="3"/>
  <c r="AH1293" i="3"/>
  <c r="AH1292" i="3"/>
  <c r="AH1291" i="3"/>
  <c r="AH1290" i="3"/>
  <c r="AH1289" i="3"/>
  <c r="AH1288" i="3"/>
  <c r="AH1287" i="3"/>
  <c r="AH1286" i="3"/>
  <c r="AH1285" i="3"/>
  <c r="AH1284" i="3"/>
  <c r="AH1283" i="3"/>
  <c r="AH1282" i="3"/>
  <c r="AH1281" i="3"/>
  <c r="AH1280" i="3"/>
  <c r="AH1279" i="3"/>
  <c r="AH1278" i="3"/>
  <c r="AH1277" i="3"/>
  <c r="AH1276" i="3"/>
  <c r="AH1275" i="3"/>
  <c r="AH1274" i="3"/>
  <c r="AH1273" i="3"/>
  <c r="AH1272" i="3"/>
  <c r="AH1271" i="3"/>
  <c r="AH1270" i="3"/>
  <c r="AH1269" i="3"/>
  <c r="AH1268" i="3"/>
  <c r="AH1267" i="3"/>
  <c r="AH1266" i="3"/>
  <c r="AH1265" i="3"/>
  <c r="AH1264" i="3"/>
  <c r="AH1263" i="3"/>
  <c r="AH1262" i="3"/>
  <c r="AH1261" i="3"/>
  <c r="AH1260" i="3"/>
  <c r="AH1259" i="3"/>
  <c r="AH1258" i="3"/>
  <c r="AH1257" i="3"/>
  <c r="AH1256" i="3"/>
  <c r="AH1255" i="3"/>
  <c r="AH1254" i="3"/>
  <c r="AH1253" i="3"/>
  <c r="AH1252" i="3"/>
  <c r="AH1251" i="3"/>
  <c r="AH1250" i="3"/>
  <c r="AH1249" i="3"/>
  <c r="AH1248" i="3"/>
  <c r="AH1247" i="3"/>
  <c r="AH1246" i="3"/>
  <c r="AH1245" i="3"/>
  <c r="AH1244" i="3"/>
  <c r="AH1243" i="3"/>
  <c r="AH1242" i="3"/>
  <c r="AH1241" i="3"/>
  <c r="AH1240" i="3"/>
  <c r="AH1239" i="3"/>
  <c r="AH1238" i="3"/>
  <c r="AH1237" i="3"/>
  <c r="AH1236" i="3"/>
  <c r="AH1235" i="3"/>
  <c r="AH1234" i="3"/>
  <c r="AH1233" i="3"/>
  <c r="AH1232" i="3"/>
  <c r="AH1231" i="3"/>
  <c r="AH1230" i="3"/>
  <c r="AH1229" i="3"/>
  <c r="AH1228" i="3"/>
  <c r="AH1227" i="3"/>
  <c r="AH1226" i="3"/>
  <c r="AH1225" i="3"/>
  <c r="AH1224" i="3"/>
  <c r="AH1223" i="3"/>
  <c r="AH1222" i="3"/>
  <c r="AH1221" i="3"/>
  <c r="AH1220" i="3"/>
  <c r="AH1219" i="3"/>
  <c r="AH1218" i="3"/>
  <c r="AH1217" i="3"/>
  <c r="AH1216" i="3"/>
  <c r="AH1215" i="3"/>
  <c r="AH1214" i="3"/>
  <c r="AH1213" i="3"/>
  <c r="AH1212" i="3"/>
  <c r="AH1211" i="3"/>
  <c r="AH1210" i="3"/>
  <c r="AH1209" i="3"/>
  <c r="AH1208" i="3"/>
  <c r="AH1207" i="3"/>
  <c r="AH1206" i="3"/>
  <c r="AH1205" i="3"/>
  <c r="AH1204" i="3"/>
  <c r="AH1203" i="3"/>
  <c r="AH1202" i="3"/>
  <c r="AH1201" i="3"/>
  <c r="AH1200" i="3"/>
  <c r="AH1199" i="3"/>
  <c r="AH1198" i="3"/>
  <c r="AH1197" i="3"/>
  <c r="AH1196" i="3"/>
  <c r="AH1195" i="3"/>
  <c r="AH1194" i="3"/>
  <c r="AH1193" i="3"/>
  <c r="AH1192" i="3"/>
  <c r="AH1191" i="3"/>
  <c r="AH1190" i="3"/>
  <c r="AH1189" i="3"/>
  <c r="AH1188" i="3"/>
  <c r="AH1187" i="3"/>
  <c r="AH1186" i="3"/>
  <c r="AH1185" i="3"/>
  <c r="AH1184" i="3"/>
  <c r="AH1183" i="3"/>
  <c r="AH1182" i="3"/>
  <c r="AH1181" i="3"/>
  <c r="AH1180" i="3"/>
  <c r="AH1179" i="3"/>
  <c r="AH1178" i="3"/>
  <c r="AH1177" i="3"/>
  <c r="AH1176" i="3"/>
  <c r="AH1175" i="3"/>
  <c r="AH1174" i="3"/>
  <c r="AH1173" i="3"/>
  <c r="AH1172" i="3"/>
  <c r="AH1171" i="3"/>
  <c r="AH1170" i="3"/>
  <c r="AH1169" i="3"/>
  <c r="AH1168" i="3"/>
  <c r="AH1167" i="3"/>
  <c r="AH1166" i="3"/>
  <c r="AH1165" i="3"/>
  <c r="AH1164" i="3"/>
  <c r="AH1163" i="3"/>
  <c r="AH1162" i="3"/>
  <c r="AH1161" i="3"/>
  <c r="AH1160" i="3"/>
  <c r="AH1159" i="3"/>
  <c r="AH1158" i="3"/>
  <c r="AH1157" i="3"/>
  <c r="AH1156" i="3"/>
  <c r="AH1155" i="3"/>
  <c r="AH1154" i="3"/>
  <c r="AH1153" i="3"/>
  <c r="AH1152" i="3"/>
  <c r="AH1151" i="3"/>
  <c r="AH1150" i="3"/>
  <c r="AH1149" i="3"/>
  <c r="AH1148" i="3"/>
  <c r="AH1147" i="3"/>
  <c r="AH1146" i="3"/>
  <c r="AH1145" i="3"/>
  <c r="AH1144" i="3"/>
  <c r="AH1143" i="3"/>
  <c r="AH1142" i="3"/>
  <c r="AH1141" i="3"/>
  <c r="AH1140" i="3"/>
  <c r="AH1139" i="3"/>
  <c r="AH1138" i="3"/>
  <c r="AH1137" i="3"/>
  <c r="AH1136" i="3"/>
  <c r="AH1135" i="3"/>
  <c r="AH1134" i="3"/>
  <c r="AH1133" i="3"/>
  <c r="AH1132" i="3"/>
  <c r="AH1131" i="3"/>
  <c r="AH1130" i="3"/>
  <c r="AH1129" i="3"/>
  <c r="AH1128" i="3"/>
  <c r="AH1127" i="3"/>
  <c r="AH1126" i="3"/>
  <c r="AH1125" i="3"/>
  <c r="AH1124" i="3"/>
  <c r="AH1123" i="3"/>
  <c r="AH1122" i="3"/>
  <c r="AH1121" i="3"/>
  <c r="AH1120" i="3"/>
  <c r="AH1119" i="3"/>
  <c r="AH1118" i="3"/>
  <c r="AH1117" i="3"/>
  <c r="AH1116" i="3"/>
  <c r="AH1115" i="3"/>
  <c r="AH1114" i="3"/>
  <c r="AH1113" i="3"/>
  <c r="AH1112" i="3"/>
  <c r="AH1111" i="3"/>
  <c r="AH1110" i="3"/>
  <c r="AH1109" i="3"/>
  <c r="AH1108" i="3"/>
  <c r="AH1107" i="3"/>
  <c r="AH1106" i="3"/>
  <c r="AH1105" i="3"/>
  <c r="AH1104" i="3"/>
  <c r="AH1103" i="3"/>
  <c r="AH1102" i="3"/>
  <c r="AH1101" i="3"/>
  <c r="AH1100" i="3"/>
  <c r="AH1099" i="3"/>
  <c r="AH1098" i="3"/>
  <c r="AH1097" i="3"/>
  <c r="AH1096" i="3"/>
  <c r="AH1095" i="3"/>
  <c r="AH1094" i="3"/>
  <c r="AH1093" i="3"/>
  <c r="AH1092" i="3"/>
  <c r="AH1091" i="3"/>
  <c r="AH1090" i="3"/>
  <c r="AH1089" i="3"/>
  <c r="AH1088" i="3"/>
  <c r="AH1087" i="3"/>
  <c r="AH1086" i="3"/>
  <c r="AH1085" i="3"/>
  <c r="AH1084" i="3"/>
  <c r="AH1083" i="3"/>
  <c r="AH1082" i="3"/>
  <c r="AH1081" i="3"/>
  <c r="AH1080" i="3"/>
  <c r="AH1079" i="3"/>
  <c r="AH1078" i="3"/>
  <c r="AH1077" i="3"/>
  <c r="AH1076" i="3"/>
  <c r="AH1075" i="3"/>
  <c r="AH1074" i="3"/>
  <c r="AH1073" i="3"/>
  <c r="AH1072" i="3"/>
  <c r="AH1071" i="3"/>
  <c r="AH1070" i="3"/>
  <c r="AH1069" i="3"/>
  <c r="AH1068" i="3"/>
  <c r="AH1067" i="3"/>
  <c r="AH1066" i="3"/>
  <c r="AH1065" i="3"/>
  <c r="AH1064" i="3"/>
  <c r="AH1063" i="3"/>
  <c r="AH1062" i="3"/>
  <c r="AH1061" i="3"/>
  <c r="AH1060" i="3"/>
  <c r="AH1059" i="3"/>
  <c r="AH1058" i="3"/>
  <c r="AH1057" i="3"/>
  <c r="AH1056" i="3"/>
  <c r="AH1055" i="3"/>
  <c r="AH1054" i="3"/>
  <c r="AH1053" i="3"/>
  <c r="AH1052" i="3"/>
  <c r="AH1051" i="3"/>
  <c r="AH1050" i="3"/>
  <c r="AH1049" i="3"/>
  <c r="AH1048" i="3"/>
  <c r="AH1047" i="3"/>
  <c r="AH1046" i="3"/>
  <c r="AH1045" i="3"/>
  <c r="AH1044" i="3"/>
  <c r="AH1043" i="3"/>
  <c r="AH1042" i="3"/>
  <c r="AH1041" i="3"/>
  <c r="AH1040" i="3"/>
  <c r="AH1039" i="3"/>
  <c r="AH1038" i="3"/>
  <c r="AH1037" i="3"/>
  <c r="AH1036" i="3"/>
  <c r="AH1035" i="3"/>
  <c r="AH1034" i="3"/>
  <c r="AH1033" i="3"/>
  <c r="AH1032" i="3"/>
  <c r="AH1031" i="3"/>
  <c r="AH1030" i="3"/>
  <c r="AH1029" i="3"/>
  <c r="AH1028" i="3"/>
  <c r="AH1027" i="3"/>
  <c r="AH1026" i="3"/>
  <c r="AH1025" i="3"/>
  <c r="AH1024" i="3"/>
  <c r="AH1023" i="3"/>
  <c r="AH1022" i="3"/>
  <c r="AH1021" i="3"/>
  <c r="AH1020" i="3"/>
  <c r="AH1019" i="3"/>
  <c r="AH1018" i="3"/>
  <c r="AH1017" i="3"/>
  <c r="AH1016" i="3"/>
  <c r="AH1015" i="3"/>
  <c r="AH1014" i="3"/>
  <c r="AH1013" i="3"/>
  <c r="AH1012" i="3"/>
  <c r="AH1011" i="3"/>
  <c r="AH1010" i="3"/>
  <c r="AH1009" i="3"/>
  <c r="AH1008" i="3"/>
  <c r="AH1007" i="3"/>
  <c r="AH1006" i="3"/>
  <c r="AH1005" i="3"/>
  <c r="AH1004" i="3"/>
  <c r="AH1003" i="3"/>
  <c r="AH1002" i="3"/>
  <c r="AH1001" i="3"/>
  <c r="AH1000" i="3"/>
  <c r="AH999" i="3"/>
  <c r="AH998" i="3"/>
  <c r="AH997" i="3"/>
  <c r="AH996" i="3"/>
  <c r="AH995" i="3"/>
  <c r="AH994" i="3"/>
  <c r="AH993" i="3"/>
  <c r="AH992" i="3"/>
  <c r="AH991" i="3"/>
  <c r="AH990" i="3"/>
  <c r="AH989" i="3"/>
  <c r="AH988" i="3"/>
  <c r="AH987" i="3"/>
  <c r="AH986" i="3"/>
  <c r="AH985" i="3"/>
  <c r="AH984" i="3"/>
  <c r="AH983" i="3"/>
  <c r="AH982" i="3"/>
  <c r="AH981" i="3"/>
  <c r="AH980" i="3"/>
  <c r="AH979" i="3"/>
  <c r="AH978" i="3"/>
  <c r="AH977" i="3"/>
  <c r="AH976" i="3"/>
  <c r="AH975" i="3"/>
  <c r="AH974" i="3"/>
  <c r="AH973" i="3"/>
  <c r="AH972" i="3"/>
  <c r="AH971" i="3"/>
  <c r="AH970" i="3"/>
  <c r="AH969" i="3"/>
  <c r="AH968" i="3"/>
  <c r="AH967" i="3"/>
  <c r="AH966" i="3"/>
  <c r="AH965" i="3"/>
  <c r="AH964" i="3"/>
  <c r="AH963" i="3"/>
  <c r="AH962" i="3"/>
  <c r="AH961" i="3"/>
  <c r="AH960" i="3"/>
  <c r="AH959" i="3"/>
  <c r="AH958" i="3"/>
  <c r="AH957" i="3"/>
  <c r="AH956" i="3"/>
  <c r="AH955" i="3"/>
  <c r="AH954" i="3"/>
  <c r="AH953" i="3"/>
  <c r="AH952" i="3"/>
  <c r="AH951" i="3"/>
  <c r="AH950" i="3"/>
  <c r="AH949" i="3"/>
  <c r="AH948" i="3"/>
  <c r="AH947" i="3"/>
  <c r="AH946" i="3"/>
  <c r="AH945" i="3"/>
  <c r="AH944" i="3"/>
  <c r="AH943" i="3"/>
  <c r="AH942" i="3"/>
  <c r="AH941" i="3"/>
  <c r="AH940" i="3"/>
  <c r="AH939" i="3"/>
  <c r="AH938" i="3"/>
  <c r="AH937" i="3"/>
  <c r="AH936" i="3"/>
  <c r="AH935" i="3"/>
  <c r="AH934" i="3"/>
  <c r="AH933" i="3"/>
  <c r="AH932" i="3"/>
  <c r="AH931" i="3"/>
  <c r="AH930" i="3"/>
  <c r="AH929" i="3"/>
  <c r="AH928" i="3"/>
  <c r="AH927" i="3"/>
  <c r="AH926" i="3"/>
  <c r="AH925" i="3"/>
  <c r="AH924" i="3"/>
  <c r="AH923" i="3"/>
  <c r="AH922" i="3"/>
  <c r="AH921" i="3"/>
  <c r="AH920" i="3"/>
  <c r="AH919" i="3"/>
  <c r="AH918" i="3"/>
  <c r="AH917" i="3"/>
  <c r="AH916" i="3"/>
  <c r="AH915" i="3"/>
  <c r="AH914" i="3"/>
  <c r="AH913" i="3"/>
  <c r="AH912" i="3"/>
  <c r="AH911" i="3"/>
  <c r="AH910" i="3"/>
  <c r="AH909" i="3"/>
  <c r="AH908" i="3"/>
  <c r="AH907" i="3"/>
  <c r="AH906" i="3"/>
  <c r="AH905" i="3"/>
  <c r="AH904" i="3"/>
  <c r="AH903" i="3"/>
  <c r="AH902" i="3"/>
  <c r="AH901" i="3"/>
  <c r="AH900" i="3"/>
  <c r="AH899" i="3"/>
  <c r="AH898" i="3"/>
  <c r="AH897" i="3"/>
  <c r="AH896" i="3"/>
  <c r="AH895" i="3"/>
  <c r="AH894" i="3"/>
  <c r="AH893" i="3"/>
  <c r="AH892" i="3"/>
  <c r="AH891" i="3"/>
  <c r="AH890" i="3"/>
  <c r="AH889" i="3"/>
  <c r="AH888" i="3"/>
  <c r="AH887" i="3"/>
  <c r="AH886" i="3"/>
  <c r="AH885" i="3"/>
  <c r="AH884" i="3"/>
  <c r="AH883" i="3"/>
  <c r="AH882" i="3"/>
  <c r="AH881" i="3"/>
  <c r="AH880" i="3"/>
  <c r="AH879" i="3"/>
  <c r="AH878" i="3"/>
  <c r="AH877" i="3"/>
  <c r="AH876" i="3"/>
  <c r="AH875" i="3"/>
  <c r="AH874" i="3"/>
  <c r="AH873" i="3"/>
  <c r="AH872" i="3"/>
  <c r="AH871" i="3"/>
  <c r="AH870" i="3"/>
  <c r="AH869" i="3"/>
  <c r="AH868" i="3"/>
  <c r="AH867" i="3"/>
  <c r="AH866" i="3"/>
  <c r="AH865" i="3"/>
  <c r="AH864" i="3"/>
  <c r="AH863" i="3"/>
  <c r="AH862" i="3"/>
  <c r="AH861" i="3"/>
  <c r="AH860" i="3"/>
  <c r="AH859" i="3"/>
  <c r="AH858" i="3"/>
  <c r="AH857" i="3"/>
  <c r="AH856" i="3"/>
  <c r="AH855" i="3"/>
  <c r="AH854" i="3"/>
  <c r="AH853" i="3"/>
  <c r="AH852" i="3"/>
  <c r="AH851" i="3"/>
  <c r="AH850" i="3"/>
  <c r="AH849" i="3"/>
  <c r="AH848" i="3"/>
  <c r="AH847" i="3"/>
  <c r="AH846" i="3"/>
  <c r="AH845" i="3"/>
  <c r="AH844" i="3"/>
  <c r="AH843" i="3"/>
  <c r="AH842" i="3"/>
  <c r="AH841" i="3"/>
  <c r="AH840" i="3"/>
  <c r="AH839" i="3"/>
  <c r="AH838" i="3"/>
  <c r="AH837" i="3"/>
  <c r="AH836" i="3"/>
  <c r="AH835" i="3"/>
  <c r="AH834" i="3"/>
  <c r="AH833" i="3"/>
  <c r="AH832" i="3"/>
  <c r="AH831" i="3"/>
  <c r="AH830" i="3"/>
  <c r="AH829" i="3"/>
  <c r="AH828" i="3"/>
  <c r="AH827" i="3"/>
  <c r="AH826" i="3"/>
  <c r="AH825" i="3"/>
  <c r="AH824" i="3"/>
  <c r="AH823" i="3"/>
  <c r="AH822" i="3"/>
  <c r="AH821" i="3"/>
  <c r="AH820" i="3"/>
  <c r="AH819" i="3"/>
  <c r="AH818" i="3"/>
  <c r="AH817" i="3"/>
  <c r="AH816" i="3"/>
  <c r="AH815" i="3"/>
  <c r="AH814" i="3"/>
  <c r="AH813" i="3"/>
  <c r="AH812" i="3"/>
  <c r="AH811" i="3"/>
  <c r="AH810" i="3"/>
  <c r="AH809" i="3"/>
  <c r="AH808" i="3"/>
  <c r="AH807" i="3"/>
  <c r="AH806" i="3"/>
  <c r="AH805" i="3"/>
  <c r="AH804" i="3"/>
  <c r="AH803" i="3"/>
  <c r="AH802" i="3"/>
  <c r="AH801" i="3"/>
  <c r="AH800" i="3"/>
  <c r="AH799" i="3"/>
  <c r="AH798" i="3"/>
  <c r="AH797" i="3"/>
  <c r="AH796" i="3"/>
  <c r="AH795" i="3"/>
  <c r="AH794" i="3"/>
  <c r="AH793" i="3"/>
  <c r="AH792" i="3"/>
  <c r="AH791" i="3"/>
  <c r="AH790" i="3"/>
  <c r="AH789" i="3"/>
  <c r="AH788" i="3"/>
  <c r="AH787" i="3"/>
  <c r="AH786" i="3"/>
  <c r="AH785" i="3"/>
  <c r="AH784" i="3"/>
  <c r="AH783" i="3"/>
  <c r="AH782" i="3"/>
  <c r="AH781" i="3"/>
  <c r="AH780" i="3"/>
  <c r="AH779" i="3"/>
  <c r="AH778" i="3"/>
  <c r="AH777" i="3"/>
  <c r="AH776" i="3"/>
  <c r="AH775" i="3"/>
  <c r="AH774" i="3"/>
  <c r="AH773" i="3"/>
  <c r="AH772" i="3"/>
  <c r="AH771" i="3"/>
  <c r="AH770" i="3"/>
  <c r="AH769" i="3"/>
  <c r="AH768" i="3"/>
  <c r="AH767" i="3"/>
  <c r="AH766" i="3"/>
  <c r="AH765" i="3"/>
  <c r="AH764" i="3"/>
  <c r="AH763" i="3"/>
  <c r="AH762" i="3"/>
  <c r="AH761" i="3"/>
  <c r="AH760" i="3"/>
  <c r="AH759" i="3"/>
  <c r="AH758" i="3"/>
  <c r="AH757" i="3"/>
  <c r="AH756" i="3"/>
  <c r="AH755" i="3"/>
  <c r="AH754" i="3"/>
  <c r="AH753" i="3"/>
  <c r="AH752" i="3"/>
  <c r="AH751" i="3"/>
  <c r="AH750" i="3"/>
  <c r="AH749" i="3"/>
  <c r="AH748" i="3"/>
  <c r="AH747" i="3"/>
  <c r="AH746" i="3"/>
  <c r="AH745" i="3"/>
  <c r="AH744" i="3"/>
  <c r="AH743" i="3"/>
  <c r="AH742" i="3"/>
  <c r="AH741" i="3"/>
  <c r="AH740" i="3"/>
  <c r="AH739" i="3"/>
  <c r="AH738" i="3"/>
  <c r="AH737" i="3"/>
  <c r="AH736" i="3"/>
  <c r="AH735" i="3"/>
  <c r="AH734" i="3"/>
  <c r="AH733" i="3"/>
  <c r="AH732" i="3"/>
  <c r="AH731" i="3"/>
  <c r="AH730" i="3"/>
  <c r="AH729" i="3"/>
  <c r="AH728" i="3"/>
  <c r="AH727" i="3"/>
  <c r="AH726" i="3"/>
  <c r="AH725" i="3"/>
  <c r="AH724" i="3"/>
  <c r="AH723" i="3"/>
  <c r="AH722" i="3"/>
  <c r="AH721" i="3"/>
  <c r="AH720" i="3"/>
  <c r="AH719" i="3"/>
  <c r="AH718" i="3"/>
  <c r="AH717" i="3"/>
  <c r="AH716" i="3"/>
  <c r="AH715" i="3"/>
  <c r="AH714" i="3"/>
  <c r="AH713" i="3"/>
  <c r="AH712" i="3"/>
  <c r="AH711" i="3"/>
  <c r="AH710" i="3"/>
  <c r="AH709" i="3"/>
  <c r="AH708" i="3"/>
  <c r="AH707" i="3"/>
  <c r="AH706" i="3"/>
  <c r="AH705" i="3"/>
  <c r="AH704" i="3"/>
  <c r="AH703" i="3"/>
  <c r="AH702" i="3"/>
  <c r="AH701" i="3"/>
  <c r="AH700" i="3"/>
  <c r="AH699" i="3"/>
  <c r="AH698" i="3"/>
  <c r="AH697" i="3"/>
  <c r="AH696" i="3"/>
  <c r="AH695" i="3"/>
  <c r="AH694" i="3"/>
  <c r="AH693" i="3"/>
  <c r="AH692" i="3"/>
  <c r="AH691" i="3"/>
  <c r="AH690" i="3"/>
  <c r="AH689" i="3"/>
  <c r="AH688" i="3"/>
  <c r="AH687" i="3"/>
  <c r="AH686" i="3"/>
  <c r="AH685" i="3"/>
  <c r="AH684" i="3"/>
  <c r="AH683" i="3"/>
  <c r="AH682" i="3"/>
  <c r="AH681" i="3"/>
  <c r="AH680" i="3"/>
  <c r="AH679" i="3"/>
  <c r="AH678" i="3"/>
  <c r="AH677" i="3"/>
  <c r="AH676" i="3"/>
  <c r="AH675" i="3"/>
  <c r="AH674" i="3"/>
  <c r="AH673" i="3"/>
  <c r="AH672" i="3"/>
  <c r="AH671" i="3"/>
  <c r="AH670" i="3"/>
  <c r="AH669" i="3"/>
  <c r="AH668" i="3"/>
  <c r="AH667" i="3"/>
  <c r="AH666" i="3"/>
  <c r="AH665" i="3"/>
  <c r="AH664" i="3"/>
  <c r="AH663" i="3"/>
  <c r="AH662" i="3"/>
  <c r="AH661" i="3"/>
  <c r="AH660" i="3"/>
  <c r="AH659" i="3"/>
  <c r="AH658" i="3"/>
  <c r="AH657" i="3"/>
  <c r="AH656" i="3"/>
  <c r="AH655" i="3"/>
  <c r="AH654" i="3"/>
  <c r="AH653" i="3"/>
  <c r="AH652" i="3"/>
  <c r="AH651" i="3"/>
  <c r="AH650" i="3"/>
  <c r="AH649" i="3"/>
  <c r="AH648" i="3"/>
  <c r="AH647" i="3"/>
  <c r="AH646" i="3"/>
  <c r="AH645" i="3"/>
  <c r="AH644" i="3"/>
  <c r="AH643" i="3"/>
  <c r="AH642" i="3"/>
  <c r="AH641" i="3"/>
  <c r="AH640" i="3"/>
  <c r="AH639" i="3"/>
  <c r="AH638" i="3"/>
  <c r="AH637" i="3"/>
  <c r="AH636" i="3"/>
  <c r="AH635" i="3"/>
  <c r="AH634" i="3"/>
  <c r="AH633" i="3"/>
  <c r="AH632" i="3"/>
  <c r="AH631" i="3"/>
  <c r="AH630" i="3"/>
  <c r="AH629" i="3"/>
  <c r="AH628" i="3"/>
  <c r="AH627" i="3"/>
  <c r="AH626" i="3"/>
  <c r="AH625" i="3"/>
  <c r="AH624" i="3"/>
  <c r="AH623" i="3"/>
  <c r="AH622" i="3"/>
  <c r="AH621" i="3"/>
  <c r="AH620" i="3"/>
  <c r="AH619" i="3"/>
  <c r="AH618" i="3"/>
  <c r="AH617" i="3"/>
  <c r="AH616" i="3"/>
  <c r="AH615" i="3"/>
  <c r="AH614" i="3"/>
  <c r="AH613" i="3"/>
  <c r="AH612" i="3"/>
  <c r="AH611" i="3"/>
  <c r="AH610" i="3"/>
  <c r="AH609" i="3"/>
  <c r="AH608" i="3"/>
  <c r="AH607" i="3"/>
  <c r="AH606" i="3"/>
  <c r="AH605" i="3"/>
  <c r="AH604" i="3"/>
  <c r="AH603" i="3"/>
  <c r="AH602" i="3"/>
  <c r="AH601" i="3"/>
  <c r="AH600" i="3"/>
  <c r="AH599" i="3"/>
  <c r="AH598" i="3"/>
  <c r="AH597" i="3"/>
  <c r="AH596" i="3"/>
  <c r="AH595" i="3"/>
  <c r="AH594" i="3"/>
  <c r="AH593" i="3"/>
  <c r="AH592" i="3"/>
  <c r="AH591" i="3"/>
  <c r="AH590" i="3"/>
  <c r="AH589" i="3"/>
  <c r="AH588" i="3"/>
  <c r="AH587" i="3"/>
  <c r="AH586" i="3"/>
  <c r="AH585" i="3"/>
  <c r="AH584" i="3"/>
  <c r="AH583" i="3"/>
  <c r="AH582" i="3"/>
  <c r="AH581" i="3"/>
  <c r="AH580" i="3"/>
  <c r="AH579" i="3"/>
  <c r="AH578" i="3"/>
  <c r="AH577" i="3"/>
  <c r="AH576" i="3"/>
  <c r="AH575" i="3"/>
  <c r="AH574" i="3"/>
  <c r="AH573" i="3"/>
  <c r="AH572" i="3"/>
  <c r="AH571" i="3"/>
  <c r="AH570" i="3"/>
  <c r="AH569" i="3"/>
  <c r="AH568" i="3"/>
  <c r="AH567" i="3"/>
  <c r="AH566" i="3"/>
  <c r="AH565" i="3"/>
  <c r="AH564" i="3"/>
  <c r="AH563" i="3"/>
  <c r="AH562" i="3"/>
  <c r="AH561" i="3"/>
  <c r="AH560" i="3"/>
  <c r="AH559" i="3"/>
  <c r="AH558" i="3"/>
  <c r="AH557" i="3"/>
  <c r="AH556" i="3"/>
  <c r="AH555" i="3"/>
  <c r="AH554" i="3"/>
  <c r="AH553" i="3"/>
  <c r="AH552" i="3"/>
  <c r="AH551" i="3"/>
  <c r="AH550" i="3"/>
  <c r="AH549" i="3"/>
  <c r="AH548" i="3"/>
  <c r="AH547" i="3"/>
  <c r="AH546" i="3"/>
  <c r="AH545" i="3"/>
  <c r="AH544" i="3"/>
  <c r="AH543" i="3"/>
  <c r="AH542" i="3"/>
  <c r="AH541" i="3"/>
  <c r="AH540" i="3"/>
  <c r="AH539" i="3"/>
  <c r="AH538" i="3"/>
  <c r="AH537" i="3"/>
  <c r="AH536" i="3"/>
  <c r="AH535" i="3"/>
  <c r="AH534" i="3"/>
  <c r="AH533" i="3"/>
  <c r="AH532" i="3"/>
  <c r="AH531" i="3"/>
  <c r="AH530" i="3"/>
  <c r="AH529" i="3"/>
  <c r="AH528" i="3"/>
  <c r="AH527" i="3"/>
  <c r="AH526" i="3"/>
  <c r="AH525" i="3"/>
  <c r="AH524" i="3"/>
  <c r="AH523" i="3"/>
  <c r="AH522" i="3"/>
  <c r="AH521" i="3"/>
  <c r="AH520" i="3"/>
  <c r="AH519" i="3"/>
  <c r="AH518" i="3"/>
  <c r="AH517" i="3"/>
  <c r="AH516" i="3"/>
  <c r="AH515" i="3"/>
  <c r="AH514" i="3"/>
  <c r="AH513" i="3"/>
  <c r="AH512" i="3"/>
  <c r="AH511" i="3"/>
  <c r="AH510" i="3"/>
  <c r="AH509" i="3"/>
  <c r="AH508" i="3"/>
  <c r="AH507" i="3"/>
  <c r="AH506" i="3"/>
  <c r="AH505" i="3"/>
  <c r="AH504" i="3"/>
  <c r="AH503" i="3"/>
  <c r="AH502" i="3"/>
  <c r="AH501" i="3"/>
  <c r="AH500" i="3"/>
  <c r="AH499" i="3"/>
  <c r="AH498" i="3"/>
  <c r="AH497" i="3"/>
  <c r="AH496" i="3"/>
  <c r="AH495" i="3"/>
  <c r="AH494" i="3"/>
  <c r="AH493" i="3"/>
  <c r="AH492" i="3"/>
  <c r="AH491" i="3"/>
  <c r="AH490" i="3"/>
  <c r="AH489" i="3"/>
  <c r="AH488" i="3"/>
  <c r="AH487" i="3"/>
  <c r="AH486" i="3"/>
  <c r="AH485" i="3"/>
  <c r="AH484" i="3"/>
  <c r="AH483" i="3"/>
  <c r="AH482" i="3"/>
  <c r="AH481" i="3"/>
  <c r="AH480" i="3"/>
  <c r="AH479" i="3"/>
  <c r="AH478" i="3"/>
  <c r="AH477" i="3"/>
  <c r="AH476" i="3"/>
  <c r="AH475" i="3"/>
  <c r="AH474" i="3"/>
  <c r="AH473" i="3"/>
  <c r="AH472" i="3"/>
  <c r="AH471" i="3"/>
  <c r="AH470" i="3"/>
  <c r="AH469" i="3"/>
  <c r="AH468" i="3"/>
  <c r="AH467" i="3"/>
  <c r="AH466" i="3"/>
  <c r="AH465" i="3"/>
  <c r="AH464" i="3"/>
  <c r="AH463" i="3"/>
  <c r="AH462" i="3"/>
  <c r="AH461" i="3"/>
  <c r="AH460" i="3"/>
  <c r="AH459" i="3"/>
  <c r="AH458" i="3"/>
  <c r="AH457" i="3"/>
  <c r="AH456" i="3"/>
  <c r="AH455" i="3"/>
  <c r="AH454" i="3"/>
  <c r="AH453" i="3"/>
  <c r="AH452" i="3"/>
  <c r="AH451" i="3"/>
  <c r="AH450" i="3"/>
  <c r="AH449" i="3"/>
  <c r="AH448" i="3"/>
  <c r="AH447" i="3"/>
  <c r="AH446" i="3"/>
  <c r="AH445" i="3"/>
  <c r="AH444" i="3"/>
  <c r="AH443" i="3"/>
  <c r="AH442" i="3"/>
  <c r="AH441" i="3"/>
  <c r="AH440" i="3"/>
  <c r="AH439" i="3"/>
  <c r="AH438" i="3"/>
  <c r="AH437" i="3"/>
  <c r="AH436" i="3"/>
  <c r="AH435" i="3"/>
  <c r="AH434" i="3"/>
  <c r="AH433" i="3"/>
  <c r="AH432" i="3"/>
  <c r="AH431" i="3"/>
  <c r="AH430" i="3"/>
  <c r="AH429" i="3"/>
  <c r="AH428" i="3"/>
  <c r="AH427" i="3"/>
  <c r="AH426" i="3"/>
  <c r="AH425" i="3"/>
  <c r="AH424" i="3"/>
  <c r="AH423" i="3"/>
  <c r="AH422" i="3"/>
  <c r="AH421" i="3"/>
  <c r="AH420" i="3"/>
  <c r="AH419" i="3"/>
  <c r="AH418" i="3"/>
  <c r="AH417" i="3"/>
  <c r="AH416" i="3"/>
  <c r="AH415" i="3"/>
  <c r="AH414" i="3"/>
  <c r="AH413" i="3"/>
  <c r="AH412" i="3"/>
  <c r="AH411" i="3"/>
  <c r="AH410" i="3"/>
  <c r="AH409" i="3"/>
  <c r="AH408" i="3"/>
  <c r="AH407" i="3"/>
  <c r="AH406" i="3"/>
  <c r="AH405" i="3"/>
  <c r="AH404" i="3"/>
  <c r="AH403" i="3"/>
  <c r="AH402" i="3"/>
  <c r="AH401" i="3"/>
  <c r="AH400" i="3"/>
  <c r="AH399" i="3"/>
  <c r="AH398" i="3"/>
  <c r="AH397" i="3"/>
  <c r="AH396" i="3"/>
  <c r="AH395" i="3"/>
  <c r="AH394" i="3"/>
  <c r="AH393" i="3"/>
  <c r="AH392" i="3"/>
  <c r="AH391" i="3"/>
  <c r="AH390" i="3"/>
  <c r="AH389" i="3"/>
  <c r="AH388" i="3"/>
  <c r="AH387" i="3"/>
  <c r="AH386" i="3"/>
  <c r="AH385" i="3"/>
  <c r="AH384" i="3"/>
  <c r="AH383" i="3"/>
  <c r="AH382" i="3"/>
  <c r="AH381" i="3"/>
  <c r="AH380" i="3"/>
  <c r="AH379" i="3"/>
  <c r="AH378" i="3"/>
  <c r="AH377" i="3"/>
  <c r="AH376" i="3"/>
  <c r="AH375" i="3"/>
  <c r="AH374" i="3"/>
  <c r="AH373" i="3"/>
  <c r="AH372" i="3"/>
  <c r="AH371" i="3"/>
  <c r="AH370" i="3"/>
  <c r="AH369" i="3"/>
  <c r="AH368" i="3"/>
  <c r="AH367" i="3"/>
  <c r="AH366" i="3"/>
  <c r="AH365" i="3"/>
  <c r="AH364" i="3"/>
  <c r="AH363" i="3"/>
  <c r="AH362" i="3"/>
  <c r="AH361" i="3"/>
  <c r="AH360" i="3"/>
  <c r="AH359" i="3"/>
  <c r="AH358" i="3"/>
  <c r="AH357" i="3"/>
  <c r="AH356" i="3"/>
  <c r="AH355" i="3"/>
  <c r="AH354" i="3"/>
  <c r="AH353" i="3"/>
  <c r="AH352" i="3"/>
  <c r="AH351" i="3"/>
  <c r="AH350" i="3"/>
  <c r="AH349" i="3"/>
  <c r="AH348" i="3"/>
  <c r="AH347" i="3"/>
  <c r="AH346" i="3"/>
  <c r="AH345" i="3"/>
  <c r="AH344" i="3"/>
  <c r="AH343" i="3"/>
  <c r="AH342" i="3"/>
  <c r="AH341" i="3"/>
  <c r="AH340" i="3"/>
  <c r="AH339" i="3"/>
  <c r="AH338" i="3"/>
  <c r="AH337" i="3"/>
  <c r="AH336" i="3"/>
  <c r="AH335" i="3"/>
  <c r="AH334" i="3"/>
  <c r="AH333" i="3"/>
  <c r="AH332" i="3"/>
  <c r="AH331" i="3"/>
  <c r="AH330" i="3"/>
  <c r="AH329" i="3"/>
  <c r="AH328" i="3"/>
  <c r="AH327" i="3"/>
  <c r="AH326" i="3"/>
  <c r="AH325" i="3"/>
  <c r="AH324" i="3"/>
  <c r="AH323" i="3"/>
  <c r="AH322" i="3"/>
  <c r="AH321" i="3"/>
  <c r="AH320" i="3"/>
  <c r="AH319" i="3"/>
  <c r="AH318" i="3"/>
  <c r="AH317" i="3"/>
  <c r="AH316" i="3"/>
  <c r="AH315" i="3"/>
  <c r="AH314" i="3"/>
  <c r="AH313" i="3"/>
  <c r="AH312" i="3"/>
  <c r="AH311" i="3"/>
  <c r="AH310" i="3"/>
  <c r="AH309" i="3"/>
  <c r="AH308" i="3"/>
  <c r="AH307" i="3"/>
  <c r="AH306" i="3"/>
  <c r="AH305" i="3"/>
  <c r="AH304" i="3"/>
  <c r="AH303" i="3"/>
  <c r="AH302" i="3"/>
  <c r="AH301" i="3"/>
  <c r="AH300" i="3"/>
  <c r="AH299" i="3"/>
  <c r="AH298" i="3"/>
  <c r="AH297" i="3"/>
  <c r="AH296" i="3"/>
  <c r="AH295" i="3"/>
  <c r="AH294" i="3"/>
  <c r="AH293" i="3"/>
  <c r="AH292" i="3"/>
  <c r="AH291" i="3"/>
  <c r="AH290" i="3"/>
  <c r="AH289" i="3"/>
  <c r="AH288" i="3"/>
  <c r="AH287" i="3"/>
  <c r="AH286" i="3"/>
  <c r="AH285" i="3"/>
  <c r="AH284" i="3"/>
  <c r="AH283" i="3"/>
  <c r="AH282" i="3"/>
  <c r="AH281" i="3"/>
  <c r="AH280" i="3"/>
  <c r="AH279" i="3"/>
  <c r="AH278" i="3"/>
  <c r="AH277" i="3"/>
  <c r="AH276" i="3"/>
  <c r="AH275" i="3"/>
  <c r="AH274" i="3"/>
  <c r="AH273" i="3"/>
  <c r="AH272" i="3"/>
  <c r="AH271" i="3"/>
  <c r="AH270" i="3"/>
  <c r="AH269" i="3"/>
  <c r="AH268" i="3"/>
  <c r="AH267" i="3"/>
  <c r="AH266" i="3"/>
  <c r="AH265" i="3"/>
  <c r="AH264" i="3"/>
  <c r="AH263" i="3"/>
  <c r="AH262" i="3"/>
  <c r="AH261" i="3"/>
  <c r="AH260" i="3"/>
  <c r="AH259" i="3"/>
  <c r="AH258" i="3"/>
  <c r="AH257" i="3"/>
  <c r="AH256" i="3"/>
  <c r="AH255" i="3"/>
  <c r="AH254" i="3"/>
  <c r="AH253" i="3"/>
  <c r="AH252" i="3"/>
  <c r="AH251" i="3"/>
  <c r="AH250" i="3"/>
  <c r="AH249" i="3"/>
  <c r="AH248" i="3"/>
  <c r="AH247" i="3"/>
  <c r="AH246" i="3"/>
  <c r="AH245" i="3"/>
  <c r="AH244" i="3"/>
  <c r="AH243" i="3"/>
  <c r="AH242" i="3"/>
  <c r="AH241" i="3"/>
  <c r="AH240" i="3"/>
  <c r="AH239" i="3"/>
  <c r="AH238" i="3"/>
  <c r="AH237" i="3"/>
  <c r="AH236" i="3"/>
  <c r="AH235" i="3"/>
  <c r="AH234" i="3"/>
  <c r="AH233" i="3"/>
  <c r="AH232" i="3"/>
  <c r="AH231" i="3"/>
  <c r="AH230" i="3"/>
  <c r="AH229" i="3"/>
  <c r="AH228" i="3"/>
  <c r="AH227" i="3"/>
  <c r="AH226" i="3"/>
  <c r="AH225" i="3"/>
  <c r="AH224" i="3"/>
  <c r="AH223" i="3"/>
  <c r="AH222" i="3"/>
  <c r="AH221" i="3"/>
  <c r="AH220" i="3"/>
  <c r="AH219" i="3"/>
  <c r="AH218" i="3"/>
  <c r="AH217" i="3"/>
  <c r="AH216" i="3"/>
  <c r="AH215" i="3"/>
  <c r="AH214" i="3"/>
  <c r="AH213" i="3"/>
  <c r="AH212" i="3"/>
  <c r="AH211" i="3"/>
  <c r="AH210" i="3"/>
  <c r="AH209" i="3"/>
  <c r="AH208" i="3"/>
  <c r="AH207" i="3"/>
  <c r="AH206" i="3"/>
  <c r="AH205" i="3"/>
  <c r="AH204" i="3"/>
  <c r="AH203" i="3"/>
  <c r="AH202" i="3"/>
  <c r="AH201" i="3"/>
  <c r="AH200" i="3"/>
  <c r="AH199" i="3"/>
  <c r="AH198" i="3"/>
  <c r="AH197" i="3"/>
  <c r="AH196" i="3"/>
  <c r="AH195" i="3"/>
  <c r="AH194" i="3"/>
  <c r="AH193" i="3"/>
  <c r="AH192" i="3"/>
  <c r="AH191" i="3"/>
  <c r="AH190" i="3"/>
  <c r="AH189" i="3"/>
  <c r="AH188" i="3"/>
  <c r="AH187" i="3"/>
  <c r="AH186" i="3"/>
  <c r="AH185" i="3"/>
  <c r="AH184" i="3"/>
  <c r="AH183" i="3"/>
  <c r="AH182" i="3"/>
  <c r="AH181" i="3"/>
  <c r="AH180" i="3"/>
  <c r="AH179" i="3"/>
  <c r="AH178" i="3"/>
  <c r="AH177" i="3"/>
  <c r="AH176" i="3"/>
  <c r="AH175" i="3"/>
  <c r="AH174" i="3"/>
  <c r="AH173" i="3"/>
  <c r="AH172" i="3"/>
  <c r="AH171" i="3"/>
  <c r="AH170" i="3"/>
  <c r="AH169" i="3"/>
  <c r="AH168" i="3"/>
  <c r="AH167" i="3"/>
  <c r="AH166" i="3"/>
  <c r="AH165" i="3"/>
  <c r="AH164" i="3"/>
  <c r="AH163" i="3"/>
  <c r="AH162" i="3"/>
  <c r="AH161" i="3"/>
  <c r="AH160" i="3"/>
  <c r="AH159" i="3"/>
  <c r="AH158" i="3"/>
  <c r="AH157" i="3"/>
  <c r="AH156" i="3"/>
  <c r="AH155" i="3"/>
  <c r="AH154" i="3"/>
  <c r="AH153" i="3"/>
  <c r="AH152" i="3"/>
  <c r="AH151" i="3"/>
  <c r="AH150" i="3"/>
  <c r="AH149" i="3"/>
  <c r="AH148" i="3"/>
  <c r="AH147" i="3"/>
  <c r="AH146" i="3"/>
  <c r="AH145" i="3"/>
  <c r="AH144" i="3"/>
  <c r="AH143" i="3"/>
  <c r="AH142" i="3"/>
  <c r="AH141" i="3"/>
  <c r="AH140" i="3"/>
  <c r="AH139" i="3"/>
  <c r="AH138" i="3"/>
  <c r="AH137" i="3"/>
  <c r="AH136" i="3"/>
  <c r="AH135" i="3"/>
  <c r="AH134" i="3"/>
  <c r="AH133" i="3"/>
  <c r="AH132" i="3"/>
  <c r="AH131" i="3"/>
  <c r="AH130" i="3"/>
  <c r="AH129" i="3"/>
  <c r="AH128" i="3"/>
  <c r="AH127" i="3"/>
  <c r="AH126" i="3"/>
  <c r="AH125" i="3"/>
  <c r="AH124" i="3"/>
  <c r="AH123" i="3"/>
  <c r="AH122" i="3"/>
  <c r="AH121" i="3"/>
  <c r="AH120" i="3"/>
  <c r="AH119" i="3"/>
  <c r="AH118" i="3"/>
  <c r="AH117" i="3"/>
  <c r="AH116" i="3"/>
  <c r="AH115" i="3"/>
  <c r="AH114" i="3"/>
  <c r="AH113" i="3"/>
  <c r="AH112" i="3"/>
  <c r="AH111" i="3"/>
  <c r="AH110" i="3"/>
  <c r="AH109" i="3"/>
  <c r="AH108" i="3"/>
  <c r="AH107" i="3"/>
  <c r="AH106" i="3"/>
  <c r="AH105" i="3"/>
  <c r="AH104" i="3"/>
  <c r="AH103" i="3"/>
  <c r="AH102" i="3"/>
  <c r="AH101" i="3"/>
  <c r="AH100" i="3"/>
  <c r="AH99" i="3"/>
  <c r="AH98" i="3"/>
  <c r="AH97" i="3"/>
  <c r="AH96" i="3"/>
  <c r="AH95" i="3"/>
  <c r="AH94" i="3"/>
  <c r="AH93" i="3"/>
  <c r="AH92" i="3"/>
  <c r="AH91" i="3"/>
  <c r="AH90" i="3"/>
  <c r="AH89" i="3"/>
  <c r="AH88" i="3"/>
  <c r="AH87" i="3"/>
  <c r="AH86" i="3"/>
  <c r="AH85" i="3"/>
  <c r="AH84" i="3"/>
  <c r="AH83" i="3"/>
  <c r="AH82" i="3"/>
  <c r="AH81" i="3"/>
  <c r="AH80" i="3"/>
  <c r="AH79" i="3"/>
  <c r="AH78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3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462" i="3"/>
  <c r="AH1461" i="3"/>
  <c r="AH1460" i="3"/>
  <c r="AH1459" i="3"/>
  <c r="AH1458" i="3"/>
  <c r="AH1457" i="3"/>
  <c r="AH1456" i="3"/>
  <c r="AH1455" i="3"/>
  <c r="AH1454" i="3"/>
  <c r="AH1453" i="3"/>
  <c r="AH1452" i="3"/>
  <c r="AH1451" i="3"/>
  <c r="AH1450" i="3"/>
  <c r="AH1449" i="3"/>
  <c r="AH1448" i="3"/>
  <c r="AH1447" i="3"/>
  <c r="AH1446" i="3"/>
  <c r="AH1445" i="3"/>
  <c r="AH1444" i="3"/>
  <c r="AH1443" i="3"/>
  <c r="AH1442" i="3"/>
  <c r="AH1473" i="3"/>
  <c r="AH1472" i="3"/>
  <c r="AH1471" i="3"/>
  <c r="AH1470" i="3"/>
  <c r="AH1469" i="3"/>
  <c r="AH1468" i="3"/>
  <c r="AH1467" i="3"/>
  <c r="AH1466" i="3"/>
  <c r="AH1465" i="3"/>
  <c r="AH1464" i="3"/>
  <c r="AH1463" i="3"/>
  <c r="AH1474" i="3"/>
  <c r="AH1475" i="3"/>
  <c r="AB1475" i="3" s="1"/>
  <c r="AC1" i="3"/>
  <c r="U1474" i="3"/>
  <c r="V1474" i="3" s="1"/>
  <c r="U1475" i="3"/>
  <c r="V1475" i="3" s="1"/>
  <c r="U13" i="3"/>
  <c r="W13" i="3" s="1"/>
  <c r="U984" i="3"/>
  <c r="U903" i="3"/>
  <c r="U826" i="3"/>
  <c r="U798" i="3"/>
  <c r="U766" i="3"/>
  <c r="V766" i="3" s="1"/>
  <c r="U713" i="3"/>
  <c r="V713" i="3" s="1"/>
  <c r="U698" i="3"/>
  <c r="U680" i="3"/>
  <c r="V680" i="3" s="1"/>
  <c r="U645" i="3"/>
  <c r="V645" i="3" s="1"/>
  <c r="U632" i="3"/>
  <c r="V632" i="3" s="1"/>
  <c r="U611" i="3"/>
  <c r="U587" i="3"/>
  <c r="U576" i="3"/>
  <c r="U561" i="3"/>
  <c r="V561" i="3" s="1"/>
  <c r="U540" i="3"/>
  <c r="U528" i="3"/>
  <c r="U516" i="3"/>
  <c r="U491" i="3"/>
  <c r="V491" i="3" s="1"/>
  <c r="U481" i="3"/>
  <c r="U469" i="3"/>
  <c r="U448" i="3"/>
  <c r="V448" i="3" s="1"/>
  <c r="U446" i="3"/>
  <c r="U441" i="3"/>
  <c r="V441" i="3" s="1"/>
  <c r="U438" i="3"/>
  <c r="U422" i="3"/>
  <c r="X422" i="3" s="1"/>
  <c r="U419" i="3"/>
  <c r="V419" i="3" s="1"/>
  <c r="U418" i="3"/>
  <c r="V418" i="3" s="1"/>
  <c r="U410" i="3"/>
  <c r="V410" i="3" s="1"/>
  <c r="U402" i="3"/>
  <c r="V402" i="3" s="1"/>
  <c r="U398" i="3"/>
  <c r="U396" i="3"/>
  <c r="U390" i="3"/>
  <c r="U381" i="3"/>
  <c r="U379" i="3"/>
  <c r="V379" i="3" s="1"/>
  <c r="U374" i="3"/>
  <c r="U370" i="3"/>
  <c r="V370" i="3" s="1"/>
  <c r="U357" i="3"/>
  <c r="U355" i="3"/>
  <c r="V355" i="3" s="1"/>
  <c r="U354" i="3"/>
  <c r="V354" i="3" s="1"/>
  <c r="U347" i="3"/>
  <c r="V347" i="3" s="1"/>
  <c r="U337" i="3"/>
  <c r="V337" i="3" s="1"/>
  <c r="U333" i="3"/>
  <c r="U331" i="3"/>
  <c r="V331" i="3" s="1"/>
  <c r="U325" i="3"/>
  <c r="V325" i="3" s="1"/>
  <c r="U315" i="3"/>
  <c r="U314" i="3"/>
  <c r="V314" i="3" s="1"/>
  <c r="U309" i="3"/>
  <c r="U307" i="3"/>
  <c r="U295" i="3"/>
  <c r="V295" i="3" s="1"/>
  <c r="U293" i="3"/>
  <c r="V293" i="3" s="1"/>
  <c r="U292" i="3"/>
  <c r="U286" i="3"/>
  <c r="V286" i="3" s="1"/>
  <c r="U278" i="3"/>
  <c r="U277" i="3"/>
  <c r="U273" i="3"/>
  <c r="U270" i="3"/>
  <c r="U263" i="3"/>
  <c r="V263" i="3" s="1"/>
  <c r="U262" i="3"/>
  <c r="U258" i="3"/>
  <c r="V258" i="3" s="1"/>
  <c r="U256" i="3"/>
  <c r="U250" i="3"/>
  <c r="U249" i="3"/>
  <c r="U245" i="3"/>
  <c r="U242" i="3"/>
  <c r="V242" i="3" s="1"/>
  <c r="U234" i="3"/>
  <c r="U233" i="3"/>
  <c r="U229" i="3"/>
  <c r="U226" i="3"/>
  <c r="V226" i="3" s="1"/>
  <c r="U218" i="3"/>
  <c r="V218" i="3" s="1"/>
  <c r="U217" i="3"/>
  <c r="W217" i="3" s="1"/>
  <c r="U214" i="3"/>
  <c r="X214" i="3" s="1"/>
  <c r="U211" i="3"/>
  <c r="X211" i="3" s="1"/>
  <c r="U206" i="3"/>
  <c r="X206" i="3" s="1"/>
  <c r="U203" i="3"/>
  <c r="X203" i="3" s="1"/>
  <c r="U202" i="3"/>
  <c r="V202" i="3" s="1"/>
  <c r="U198" i="3"/>
  <c r="X198" i="3" s="1"/>
  <c r="U195" i="3"/>
  <c r="X195" i="3" s="1"/>
  <c r="U189" i="3"/>
  <c r="X189" i="3" s="1"/>
  <c r="U188" i="3"/>
  <c r="X188" i="3" s="1"/>
  <c r="U184" i="3"/>
  <c r="V184" i="3" s="1"/>
  <c r="U183" i="3"/>
  <c r="X183" i="3" s="1"/>
  <c r="U181" i="3"/>
  <c r="X181" i="3" s="1"/>
  <c r="U176" i="3"/>
  <c r="V176" i="3" s="1"/>
  <c r="U173" i="3"/>
  <c r="X173" i="3" s="1"/>
  <c r="U172" i="3"/>
  <c r="X172" i="3" s="1"/>
  <c r="U168" i="3"/>
  <c r="V168" i="3" s="1"/>
  <c r="U167" i="3"/>
  <c r="W167" i="3" s="1"/>
  <c r="U166" i="3"/>
  <c r="V166" i="3" s="1"/>
  <c r="U161" i="3"/>
  <c r="W161" i="3" s="1"/>
  <c r="U160" i="3"/>
  <c r="V160" i="3" s="1"/>
  <c r="U158" i="3"/>
  <c r="X158" i="3" s="1"/>
  <c r="U157" i="3"/>
  <c r="X157" i="3" s="1"/>
  <c r="U153" i="3"/>
  <c r="W153" i="3" s="1"/>
  <c r="U152" i="3"/>
  <c r="V152" i="3" s="1"/>
  <c r="U150" i="3"/>
  <c r="X150" i="3" s="1"/>
  <c r="U145" i="3"/>
  <c r="W145" i="3" s="1"/>
  <c r="U144" i="3"/>
  <c r="X144" i="3" s="1"/>
  <c r="U142" i="3"/>
  <c r="X142" i="3" s="1"/>
  <c r="U141" i="3"/>
  <c r="X141" i="3" s="1"/>
  <c r="U137" i="3"/>
  <c r="W137" i="3" s="1"/>
  <c r="U136" i="3"/>
  <c r="X136" i="3" s="1"/>
  <c r="U131" i="3"/>
  <c r="X131" i="3" s="1"/>
  <c r="U130" i="3"/>
  <c r="W130" i="3" s="1"/>
  <c r="U128" i="3"/>
  <c r="W128" i="3" s="1"/>
  <c r="U124" i="3"/>
  <c r="X124" i="3" s="1"/>
  <c r="U123" i="3"/>
  <c r="X123" i="3" s="1"/>
  <c r="U117" i="3"/>
  <c r="X117" i="3" s="1"/>
  <c r="U116" i="3"/>
  <c r="X116" i="3" s="1"/>
  <c r="U114" i="3"/>
  <c r="V114" i="3" s="1"/>
  <c r="U113" i="3"/>
  <c r="W113" i="3" s="1"/>
  <c r="U109" i="3"/>
  <c r="X109" i="3" s="1"/>
  <c r="U108" i="3"/>
  <c r="X108" i="3" s="1"/>
  <c r="U106" i="3"/>
  <c r="V106" i="3" s="1"/>
  <c r="U101" i="3"/>
  <c r="X101" i="3" s="1"/>
  <c r="U100" i="3"/>
  <c r="X100" i="3" s="1"/>
  <c r="U98" i="3"/>
  <c r="V98" i="3" s="1"/>
  <c r="U97" i="3"/>
  <c r="W97" i="3" s="1"/>
  <c r="U95" i="3"/>
  <c r="V95" i="3" s="1"/>
  <c r="U94" i="3"/>
  <c r="X94" i="3" s="1"/>
  <c r="U92" i="3"/>
  <c r="X92" i="3" s="1"/>
  <c r="U87" i="3"/>
  <c r="W87" i="3" s="1"/>
  <c r="U86" i="3"/>
  <c r="X86" i="3" s="1"/>
  <c r="U84" i="3"/>
  <c r="X84" i="3" s="1"/>
  <c r="U83" i="3"/>
  <c r="X83" i="3" s="1"/>
  <c r="U79" i="3"/>
  <c r="X79" i="3" s="1"/>
  <c r="U78" i="3"/>
  <c r="W78" i="3" s="1"/>
  <c r="U76" i="3"/>
  <c r="U73" i="3"/>
  <c r="W73" i="3" s="1"/>
  <c r="U72" i="3"/>
  <c r="X72" i="3" s="1"/>
  <c r="U70" i="3"/>
  <c r="X70" i="3" s="1"/>
  <c r="U69" i="3"/>
  <c r="X69" i="3" s="1"/>
  <c r="U68" i="3"/>
  <c r="X68" i="3" s="1"/>
  <c r="U65" i="3"/>
  <c r="W65" i="3" s="1"/>
  <c r="U62" i="3"/>
  <c r="W62" i="3" s="1"/>
  <c r="U61" i="3"/>
  <c r="X61" i="3" s="1"/>
  <c r="U60" i="3"/>
  <c r="X60" i="3" s="1"/>
  <c r="U57" i="3"/>
  <c r="W57" i="3" s="1"/>
  <c r="U56" i="3"/>
  <c r="W56" i="3" s="1"/>
  <c r="U54" i="3"/>
  <c r="X54" i="3" s="1"/>
  <c r="U53" i="3"/>
  <c r="X53" i="3" s="1"/>
  <c r="U49" i="3"/>
  <c r="W49" i="3" s="1"/>
  <c r="U47" i="3"/>
  <c r="W47" i="3" s="1"/>
  <c r="U46" i="3"/>
  <c r="X46" i="3" s="1"/>
  <c r="U45" i="3"/>
  <c r="X45" i="3" s="1"/>
  <c r="U42" i="3"/>
  <c r="V42" i="3" s="1"/>
  <c r="U41" i="3"/>
  <c r="W41" i="3" s="1"/>
  <c r="U38" i="3"/>
  <c r="X38" i="3" s="1"/>
  <c r="U37" i="3"/>
  <c r="X37" i="3" s="1"/>
  <c r="U34" i="3"/>
  <c r="V34" i="3" s="1"/>
  <c r="U33" i="3"/>
  <c r="W33" i="3" s="1"/>
  <c r="U31" i="3"/>
  <c r="X31" i="3" s="1"/>
  <c r="U30" i="3"/>
  <c r="W30" i="3" s="1"/>
  <c r="U29" i="3"/>
  <c r="X29" i="3" s="1"/>
  <c r="U26" i="3"/>
  <c r="V26" i="3" s="1"/>
  <c r="U24" i="3"/>
  <c r="W24" i="3" s="1"/>
  <c r="U23" i="3"/>
  <c r="X23" i="3" s="1"/>
  <c r="U22" i="3"/>
  <c r="X22" i="3" s="1"/>
  <c r="U20" i="3"/>
  <c r="W20" i="3" s="1"/>
  <c r="U19" i="3"/>
  <c r="X19" i="3" s="1"/>
  <c r="U18" i="3"/>
  <c r="V18" i="3" s="1"/>
  <c r="U16" i="3"/>
  <c r="W16" i="3" s="1"/>
  <c r="U15" i="3"/>
  <c r="X15" i="3" s="1"/>
  <c r="U14" i="3"/>
  <c r="X14" i="3" s="1"/>
  <c r="X1474" i="3"/>
  <c r="M11" i="3"/>
  <c r="Q2" i="3"/>
  <c r="U1251" i="3" s="1"/>
  <c r="W1251" i="3" s="1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3" i="3"/>
  <c r="Q14" i="3"/>
  <c r="R14" i="3" s="1"/>
  <c r="Q15" i="3"/>
  <c r="R15" i="3" s="1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23" i="3"/>
  <c r="R23" i="3" s="1"/>
  <c r="Q24" i="3"/>
  <c r="R24" i="3" s="1"/>
  <c r="Q25" i="3"/>
  <c r="R25" i="3" s="1"/>
  <c r="Q26" i="3"/>
  <c r="R26" i="3" s="1"/>
  <c r="Q27" i="3"/>
  <c r="R27" i="3" s="1"/>
  <c r="Q28" i="3"/>
  <c r="R28" i="3" s="1"/>
  <c r="Q29" i="3"/>
  <c r="R29" i="3" s="1"/>
  <c r="Q30" i="3"/>
  <c r="R30" i="3" s="1"/>
  <c r="Q31" i="3"/>
  <c r="R31" i="3" s="1"/>
  <c r="Q32" i="3"/>
  <c r="R32" i="3" s="1"/>
  <c r="Q33" i="3"/>
  <c r="R33" i="3" s="1"/>
  <c r="Q34" i="3"/>
  <c r="R34" i="3" s="1"/>
  <c r="Q35" i="3"/>
  <c r="R35" i="3" s="1"/>
  <c r="Q36" i="3"/>
  <c r="R36" i="3" s="1"/>
  <c r="Q37" i="3"/>
  <c r="R37" i="3" s="1"/>
  <c r="Q38" i="3"/>
  <c r="R38" i="3" s="1"/>
  <c r="Q39" i="3"/>
  <c r="R39" i="3" s="1"/>
  <c r="Q40" i="3"/>
  <c r="R40" i="3" s="1"/>
  <c r="Q41" i="3"/>
  <c r="R41" i="3" s="1"/>
  <c r="Q42" i="3"/>
  <c r="R42" i="3" s="1"/>
  <c r="Q43" i="3"/>
  <c r="R43" i="3" s="1"/>
  <c r="Q44" i="3"/>
  <c r="R44" i="3" s="1"/>
  <c r="Q45" i="3"/>
  <c r="R45" i="3" s="1"/>
  <c r="Q46" i="3"/>
  <c r="R46" i="3" s="1"/>
  <c r="Q47" i="3"/>
  <c r="R47" i="3" s="1"/>
  <c r="Q48" i="3"/>
  <c r="R48" i="3" s="1"/>
  <c r="Q49" i="3"/>
  <c r="R49" i="3" s="1"/>
  <c r="Q50" i="3"/>
  <c r="R50" i="3" s="1"/>
  <c r="Q51" i="3"/>
  <c r="R51" i="3" s="1"/>
  <c r="Q52" i="3"/>
  <c r="R52" i="3" s="1"/>
  <c r="Q53" i="3"/>
  <c r="R53" i="3" s="1"/>
  <c r="Q54" i="3"/>
  <c r="R54" i="3" s="1"/>
  <c r="Q55" i="3"/>
  <c r="R55" i="3" s="1"/>
  <c r="Q56" i="3"/>
  <c r="R56" i="3" s="1"/>
  <c r="Q57" i="3"/>
  <c r="R57" i="3" s="1"/>
  <c r="Q58" i="3"/>
  <c r="R58" i="3" s="1"/>
  <c r="Q59" i="3"/>
  <c r="R59" i="3" s="1"/>
  <c r="Q60" i="3"/>
  <c r="R60" i="3" s="1"/>
  <c r="Q61" i="3"/>
  <c r="R61" i="3" s="1"/>
  <c r="Q62" i="3"/>
  <c r="R62" i="3" s="1"/>
  <c r="Q63" i="3"/>
  <c r="R63" i="3" s="1"/>
  <c r="Q64" i="3"/>
  <c r="R64" i="3" s="1"/>
  <c r="Q65" i="3"/>
  <c r="R65" i="3" s="1"/>
  <c r="Q66" i="3"/>
  <c r="R66" i="3" s="1"/>
  <c r="Q67" i="3"/>
  <c r="R67" i="3" s="1"/>
  <c r="Q68" i="3"/>
  <c r="R68" i="3" s="1"/>
  <c r="Q69" i="3"/>
  <c r="R69" i="3" s="1"/>
  <c r="Q70" i="3"/>
  <c r="R70" i="3" s="1"/>
  <c r="Q71" i="3"/>
  <c r="R71" i="3" s="1"/>
  <c r="Q72" i="3"/>
  <c r="R72" i="3" s="1"/>
  <c r="Q73" i="3"/>
  <c r="R73" i="3" s="1"/>
  <c r="Q74" i="3"/>
  <c r="R74" i="3" s="1"/>
  <c r="Q75" i="3"/>
  <c r="R75" i="3" s="1"/>
  <c r="Q76" i="3"/>
  <c r="R76" i="3" s="1"/>
  <c r="Q77" i="3"/>
  <c r="R77" i="3" s="1"/>
  <c r="Q78" i="3"/>
  <c r="R78" i="3" s="1"/>
  <c r="Q79" i="3"/>
  <c r="R79" i="3" s="1"/>
  <c r="Q80" i="3"/>
  <c r="R80" i="3" s="1"/>
  <c r="Q81" i="3"/>
  <c r="R81" i="3" s="1"/>
  <c r="Q82" i="3"/>
  <c r="R82" i="3" s="1"/>
  <c r="Q83" i="3"/>
  <c r="R83" i="3" s="1"/>
  <c r="Q84" i="3"/>
  <c r="R84" i="3" s="1"/>
  <c r="Q85" i="3"/>
  <c r="R85" i="3" s="1"/>
  <c r="Q86" i="3"/>
  <c r="R86" i="3" s="1"/>
  <c r="Q87" i="3"/>
  <c r="R87" i="3" s="1"/>
  <c r="Q88" i="3"/>
  <c r="R88" i="3" s="1"/>
  <c r="Q89" i="3"/>
  <c r="R89" i="3" s="1"/>
  <c r="Q90" i="3"/>
  <c r="R90" i="3" s="1"/>
  <c r="Q91" i="3"/>
  <c r="R91" i="3" s="1"/>
  <c r="Q92" i="3"/>
  <c r="R92" i="3" s="1"/>
  <c r="Q93" i="3"/>
  <c r="R93" i="3" s="1"/>
  <c r="Q94" i="3"/>
  <c r="R94" i="3" s="1"/>
  <c r="Q95" i="3"/>
  <c r="R95" i="3" s="1"/>
  <c r="Q96" i="3"/>
  <c r="R96" i="3" s="1"/>
  <c r="Q97" i="3"/>
  <c r="R97" i="3" s="1"/>
  <c r="Q98" i="3"/>
  <c r="R98" i="3" s="1"/>
  <c r="Q99" i="3"/>
  <c r="R99" i="3" s="1"/>
  <c r="Q100" i="3"/>
  <c r="R100" i="3" s="1"/>
  <c r="Q101" i="3"/>
  <c r="R101" i="3" s="1"/>
  <c r="Q102" i="3"/>
  <c r="R102" i="3" s="1"/>
  <c r="Q103" i="3"/>
  <c r="R103" i="3" s="1"/>
  <c r="Q104" i="3"/>
  <c r="R104" i="3" s="1"/>
  <c r="Q105" i="3"/>
  <c r="R105" i="3" s="1"/>
  <c r="Q106" i="3"/>
  <c r="R106" i="3" s="1"/>
  <c r="Q107" i="3"/>
  <c r="R107" i="3" s="1"/>
  <c r="Q108" i="3"/>
  <c r="R108" i="3" s="1"/>
  <c r="Q109" i="3"/>
  <c r="R109" i="3" s="1"/>
  <c r="Q110" i="3"/>
  <c r="R110" i="3" s="1"/>
  <c r="Q111" i="3"/>
  <c r="R111" i="3" s="1"/>
  <c r="Q112" i="3"/>
  <c r="R112" i="3" s="1"/>
  <c r="Q113" i="3"/>
  <c r="R113" i="3" s="1"/>
  <c r="Q114" i="3"/>
  <c r="R114" i="3" s="1"/>
  <c r="Q115" i="3"/>
  <c r="R115" i="3" s="1"/>
  <c r="Q116" i="3"/>
  <c r="R116" i="3" s="1"/>
  <c r="Q117" i="3"/>
  <c r="R117" i="3" s="1"/>
  <c r="Q118" i="3"/>
  <c r="R118" i="3" s="1"/>
  <c r="Q119" i="3"/>
  <c r="R119" i="3" s="1"/>
  <c r="Q120" i="3"/>
  <c r="R120" i="3" s="1"/>
  <c r="Q121" i="3"/>
  <c r="R121" i="3" s="1"/>
  <c r="Q122" i="3"/>
  <c r="R122" i="3" s="1"/>
  <c r="Q123" i="3"/>
  <c r="R123" i="3" s="1"/>
  <c r="Q124" i="3"/>
  <c r="R124" i="3" s="1"/>
  <c r="Q125" i="3"/>
  <c r="R125" i="3" s="1"/>
  <c r="Q126" i="3"/>
  <c r="R126" i="3" s="1"/>
  <c r="Q127" i="3"/>
  <c r="R127" i="3" s="1"/>
  <c r="Q128" i="3"/>
  <c r="R128" i="3" s="1"/>
  <c r="Q129" i="3"/>
  <c r="R129" i="3" s="1"/>
  <c r="Q130" i="3"/>
  <c r="R130" i="3" s="1"/>
  <c r="Q131" i="3"/>
  <c r="R131" i="3" s="1"/>
  <c r="Q132" i="3"/>
  <c r="R132" i="3" s="1"/>
  <c r="Q133" i="3"/>
  <c r="R133" i="3" s="1"/>
  <c r="Q134" i="3"/>
  <c r="R134" i="3" s="1"/>
  <c r="Q135" i="3"/>
  <c r="R135" i="3" s="1"/>
  <c r="Q136" i="3"/>
  <c r="R136" i="3" s="1"/>
  <c r="Q137" i="3"/>
  <c r="R137" i="3" s="1"/>
  <c r="Q138" i="3"/>
  <c r="R138" i="3" s="1"/>
  <c r="Q139" i="3"/>
  <c r="R139" i="3" s="1"/>
  <c r="Q140" i="3"/>
  <c r="R140" i="3" s="1"/>
  <c r="Q141" i="3"/>
  <c r="R141" i="3" s="1"/>
  <c r="Q142" i="3"/>
  <c r="R142" i="3" s="1"/>
  <c r="Q143" i="3"/>
  <c r="R143" i="3" s="1"/>
  <c r="Q144" i="3"/>
  <c r="R144" i="3" s="1"/>
  <c r="Q145" i="3"/>
  <c r="R145" i="3" s="1"/>
  <c r="Q146" i="3"/>
  <c r="R146" i="3" s="1"/>
  <c r="Q147" i="3"/>
  <c r="R147" i="3" s="1"/>
  <c r="Q148" i="3"/>
  <c r="R148" i="3" s="1"/>
  <c r="Q149" i="3"/>
  <c r="R149" i="3" s="1"/>
  <c r="Q150" i="3"/>
  <c r="R150" i="3" s="1"/>
  <c r="Q151" i="3"/>
  <c r="R151" i="3" s="1"/>
  <c r="Q152" i="3"/>
  <c r="R152" i="3" s="1"/>
  <c r="Q153" i="3"/>
  <c r="R153" i="3" s="1"/>
  <c r="Q154" i="3"/>
  <c r="R154" i="3" s="1"/>
  <c r="Q155" i="3"/>
  <c r="R155" i="3" s="1"/>
  <c r="Q156" i="3"/>
  <c r="R156" i="3" s="1"/>
  <c r="Q157" i="3"/>
  <c r="R157" i="3" s="1"/>
  <c r="Q158" i="3"/>
  <c r="R158" i="3" s="1"/>
  <c r="Q159" i="3"/>
  <c r="R159" i="3" s="1"/>
  <c r="Q160" i="3"/>
  <c r="R160" i="3" s="1"/>
  <c r="Q161" i="3"/>
  <c r="R161" i="3" s="1"/>
  <c r="Q162" i="3"/>
  <c r="R162" i="3" s="1"/>
  <c r="Q163" i="3"/>
  <c r="R163" i="3" s="1"/>
  <c r="Q164" i="3"/>
  <c r="R164" i="3" s="1"/>
  <c r="Q165" i="3"/>
  <c r="R165" i="3" s="1"/>
  <c r="Q166" i="3"/>
  <c r="R166" i="3" s="1"/>
  <c r="Q167" i="3"/>
  <c r="R167" i="3" s="1"/>
  <c r="Q168" i="3"/>
  <c r="R168" i="3" s="1"/>
  <c r="Q169" i="3"/>
  <c r="R169" i="3" s="1"/>
  <c r="Q170" i="3"/>
  <c r="R170" i="3" s="1"/>
  <c r="Q171" i="3"/>
  <c r="R171" i="3" s="1"/>
  <c r="Q172" i="3"/>
  <c r="R172" i="3" s="1"/>
  <c r="Q173" i="3"/>
  <c r="R173" i="3" s="1"/>
  <c r="Q174" i="3"/>
  <c r="R174" i="3" s="1"/>
  <c r="Q175" i="3"/>
  <c r="R175" i="3" s="1"/>
  <c r="Q176" i="3"/>
  <c r="R176" i="3" s="1"/>
  <c r="Q177" i="3"/>
  <c r="R177" i="3" s="1"/>
  <c r="Q178" i="3"/>
  <c r="R178" i="3" s="1"/>
  <c r="Q179" i="3"/>
  <c r="R179" i="3" s="1"/>
  <c r="Q180" i="3"/>
  <c r="R180" i="3" s="1"/>
  <c r="Q181" i="3"/>
  <c r="R181" i="3" s="1"/>
  <c r="Q182" i="3"/>
  <c r="R182" i="3" s="1"/>
  <c r="Q183" i="3"/>
  <c r="R183" i="3" s="1"/>
  <c r="Q184" i="3"/>
  <c r="R184" i="3" s="1"/>
  <c r="Q185" i="3"/>
  <c r="R185" i="3" s="1"/>
  <c r="Q186" i="3"/>
  <c r="R186" i="3" s="1"/>
  <c r="Q187" i="3"/>
  <c r="R187" i="3" s="1"/>
  <c r="Q188" i="3"/>
  <c r="R188" i="3" s="1"/>
  <c r="Q189" i="3"/>
  <c r="R189" i="3" s="1"/>
  <c r="Q190" i="3"/>
  <c r="R190" i="3" s="1"/>
  <c r="Q191" i="3"/>
  <c r="R191" i="3" s="1"/>
  <c r="Q192" i="3"/>
  <c r="R192" i="3" s="1"/>
  <c r="Q193" i="3"/>
  <c r="R193" i="3" s="1"/>
  <c r="Q194" i="3"/>
  <c r="R194" i="3" s="1"/>
  <c r="Q195" i="3"/>
  <c r="R195" i="3" s="1"/>
  <c r="Q196" i="3"/>
  <c r="R196" i="3" s="1"/>
  <c r="Q197" i="3"/>
  <c r="R197" i="3" s="1"/>
  <c r="Q198" i="3"/>
  <c r="R198" i="3" s="1"/>
  <c r="Q199" i="3"/>
  <c r="R199" i="3" s="1"/>
  <c r="Q200" i="3"/>
  <c r="R200" i="3" s="1"/>
  <c r="Q201" i="3"/>
  <c r="R201" i="3" s="1"/>
  <c r="Q202" i="3"/>
  <c r="R202" i="3" s="1"/>
  <c r="Q203" i="3"/>
  <c r="R203" i="3" s="1"/>
  <c r="Q204" i="3"/>
  <c r="R204" i="3" s="1"/>
  <c r="Q205" i="3"/>
  <c r="R205" i="3" s="1"/>
  <c r="Q206" i="3"/>
  <c r="R206" i="3" s="1"/>
  <c r="Q207" i="3"/>
  <c r="R207" i="3" s="1"/>
  <c r="Q208" i="3"/>
  <c r="R208" i="3" s="1"/>
  <c r="Q209" i="3"/>
  <c r="R209" i="3" s="1"/>
  <c r="Q210" i="3"/>
  <c r="R210" i="3" s="1"/>
  <c r="Q211" i="3"/>
  <c r="R211" i="3" s="1"/>
  <c r="Q212" i="3"/>
  <c r="R212" i="3" s="1"/>
  <c r="Q213" i="3"/>
  <c r="R213" i="3" s="1"/>
  <c r="Q214" i="3"/>
  <c r="R214" i="3" s="1"/>
  <c r="Q215" i="3"/>
  <c r="R215" i="3" s="1"/>
  <c r="Q216" i="3"/>
  <c r="R216" i="3" s="1"/>
  <c r="Q217" i="3"/>
  <c r="R217" i="3" s="1"/>
  <c r="Q218" i="3"/>
  <c r="R218" i="3" s="1"/>
  <c r="Q219" i="3"/>
  <c r="R219" i="3" s="1"/>
  <c r="Q220" i="3"/>
  <c r="R220" i="3" s="1"/>
  <c r="Q221" i="3"/>
  <c r="R221" i="3" s="1"/>
  <c r="Q222" i="3"/>
  <c r="R222" i="3" s="1"/>
  <c r="Q223" i="3"/>
  <c r="R223" i="3" s="1"/>
  <c r="Q224" i="3"/>
  <c r="R224" i="3" s="1"/>
  <c r="Q225" i="3"/>
  <c r="R225" i="3" s="1"/>
  <c r="Q226" i="3"/>
  <c r="R226" i="3" s="1"/>
  <c r="Q227" i="3"/>
  <c r="R227" i="3" s="1"/>
  <c r="Q228" i="3"/>
  <c r="R228" i="3" s="1"/>
  <c r="Q229" i="3"/>
  <c r="R229" i="3" s="1"/>
  <c r="Q230" i="3"/>
  <c r="R230" i="3" s="1"/>
  <c r="Q231" i="3"/>
  <c r="R231" i="3" s="1"/>
  <c r="Q232" i="3"/>
  <c r="R232" i="3" s="1"/>
  <c r="Q233" i="3"/>
  <c r="R233" i="3" s="1"/>
  <c r="Q234" i="3"/>
  <c r="R234" i="3" s="1"/>
  <c r="Q235" i="3"/>
  <c r="R235" i="3" s="1"/>
  <c r="Q236" i="3"/>
  <c r="R236" i="3" s="1"/>
  <c r="Q237" i="3"/>
  <c r="R237" i="3" s="1"/>
  <c r="Q238" i="3"/>
  <c r="R238" i="3" s="1"/>
  <c r="Q239" i="3"/>
  <c r="R239" i="3" s="1"/>
  <c r="Q240" i="3"/>
  <c r="R240" i="3" s="1"/>
  <c r="Q241" i="3"/>
  <c r="R241" i="3" s="1"/>
  <c r="Q242" i="3"/>
  <c r="R242" i="3" s="1"/>
  <c r="Q243" i="3"/>
  <c r="R243" i="3" s="1"/>
  <c r="Q244" i="3"/>
  <c r="R244" i="3" s="1"/>
  <c r="Q245" i="3"/>
  <c r="R245" i="3" s="1"/>
  <c r="Q246" i="3"/>
  <c r="R246" i="3" s="1"/>
  <c r="Q247" i="3"/>
  <c r="R247" i="3" s="1"/>
  <c r="Q248" i="3"/>
  <c r="R248" i="3" s="1"/>
  <c r="Q249" i="3"/>
  <c r="R249" i="3" s="1"/>
  <c r="Q250" i="3"/>
  <c r="R250" i="3" s="1"/>
  <c r="Q251" i="3"/>
  <c r="R251" i="3" s="1"/>
  <c r="Q252" i="3"/>
  <c r="R252" i="3" s="1"/>
  <c r="Q253" i="3"/>
  <c r="R253" i="3" s="1"/>
  <c r="Q254" i="3"/>
  <c r="R254" i="3" s="1"/>
  <c r="Q255" i="3"/>
  <c r="R255" i="3" s="1"/>
  <c r="Q256" i="3"/>
  <c r="R256" i="3" s="1"/>
  <c r="Q257" i="3"/>
  <c r="R257" i="3" s="1"/>
  <c r="Q258" i="3"/>
  <c r="R258" i="3" s="1"/>
  <c r="Q259" i="3"/>
  <c r="R259" i="3" s="1"/>
  <c r="Q260" i="3"/>
  <c r="R260" i="3" s="1"/>
  <c r="Q261" i="3"/>
  <c r="R261" i="3" s="1"/>
  <c r="Q262" i="3"/>
  <c r="R262" i="3" s="1"/>
  <c r="Q263" i="3"/>
  <c r="R263" i="3" s="1"/>
  <c r="Q264" i="3"/>
  <c r="R264" i="3" s="1"/>
  <c r="Q265" i="3"/>
  <c r="R265" i="3" s="1"/>
  <c r="Q266" i="3"/>
  <c r="R266" i="3" s="1"/>
  <c r="Q267" i="3"/>
  <c r="R267" i="3" s="1"/>
  <c r="Q268" i="3"/>
  <c r="R268" i="3" s="1"/>
  <c r="Q269" i="3"/>
  <c r="R269" i="3" s="1"/>
  <c r="Q270" i="3"/>
  <c r="R270" i="3" s="1"/>
  <c r="Q271" i="3"/>
  <c r="R271" i="3" s="1"/>
  <c r="Q272" i="3"/>
  <c r="R272" i="3" s="1"/>
  <c r="Q273" i="3"/>
  <c r="R273" i="3" s="1"/>
  <c r="Q274" i="3"/>
  <c r="R274" i="3" s="1"/>
  <c r="Q275" i="3"/>
  <c r="R275" i="3" s="1"/>
  <c r="Q276" i="3"/>
  <c r="R276" i="3" s="1"/>
  <c r="Q277" i="3"/>
  <c r="R277" i="3" s="1"/>
  <c r="Q278" i="3"/>
  <c r="R278" i="3" s="1"/>
  <c r="Q279" i="3"/>
  <c r="R279" i="3" s="1"/>
  <c r="Q280" i="3"/>
  <c r="R280" i="3" s="1"/>
  <c r="Q281" i="3"/>
  <c r="R281" i="3" s="1"/>
  <c r="Q282" i="3"/>
  <c r="R282" i="3" s="1"/>
  <c r="Q283" i="3"/>
  <c r="R283" i="3" s="1"/>
  <c r="Q284" i="3"/>
  <c r="R284" i="3" s="1"/>
  <c r="Q285" i="3"/>
  <c r="R285" i="3" s="1"/>
  <c r="Q286" i="3"/>
  <c r="R286" i="3" s="1"/>
  <c r="Q287" i="3"/>
  <c r="R287" i="3" s="1"/>
  <c r="Q288" i="3"/>
  <c r="R288" i="3" s="1"/>
  <c r="Q289" i="3"/>
  <c r="R289" i="3" s="1"/>
  <c r="Q290" i="3"/>
  <c r="R290" i="3" s="1"/>
  <c r="Q291" i="3"/>
  <c r="R291" i="3" s="1"/>
  <c r="Q292" i="3"/>
  <c r="R292" i="3" s="1"/>
  <c r="Q293" i="3"/>
  <c r="R293" i="3" s="1"/>
  <c r="Q294" i="3"/>
  <c r="R294" i="3" s="1"/>
  <c r="Q295" i="3"/>
  <c r="R295" i="3" s="1"/>
  <c r="Q296" i="3"/>
  <c r="R296" i="3" s="1"/>
  <c r="Q297" i="3"/>
  <c r="R297" i="3" s="1"/>
  <c r="Q298" i="3"/>
  <c r="R298" i="3" s="1"/>
  <c r="Q299" i="3"/>
  <c r="R299" i="3" s="1"/>
  <c r="Q300" i="3"/>
  <c r="R300" i="3" s="1"/>
  <c r="Q301" i="3"/>
  <c r="R301" i="3" s="1"/>
  <c r="Q302" i="3"/>
  <c r="R302" i="3" s="1"/>
  <c r="Q303" i="3"/>
  <c r="R303" i="3" s="1"/>
  <c r="Q304" i="3"/>
  <c r="R304" i="3" s="1"/>
  <c r="Q305" i="3"/>
  <c r="R305" i="3" s="1"/>
  <c r="Q306" i="3"/>
  <c r="R306" i="3" s="1"/>
  <c r="Q307" i="3"/>
  <c r="R307" i="3" s="1"/>
  <c r="Q308" i="3"/>
  <c r="R308" i="3" s="1"/>
  <c r="Q309" i="3"/>
  <c r="R309" i="3" s="1"/>
  <c r="Q310" i="3"/>
  <c r="R310" i="3" s="1"/>
  <c r="Q311" i="3"/>
  <c r="R311" i="3" s="1"/>
  <c r="Q312" i="3"/>
  <c r="R312" i="3" s="1"/>
  <c r="Q313" i="3"/>
  <c r="R313" i="3" s="1"/>
  <c r="Q314" i="3"/>
  <c r="R314" i="3" s="1"/>
  <c r="Q315" i="3"/>
  <c r="R315" i="3" s="1"/>
  <c r="Q316" i="3"/>
  <c r="R316" i="3" s="1"/>
  <c r="Q317" i="3"/>
  <c r="R317" i="3" s="1"/>
  <c r="Q318" i="3"/>
  <c r="R318" i="3" s="1"/>
  <c r="Q319" i="3"/>
  <c r="R319" i="3" s="1"/>
  <c r="Q320" i="3"/>
  <c r="R320" i="3" s="1"/>
  <c r="Q321" i="3"/>
  <c r="R321" i="3" s="1"/>
  <c r="Q322" i="3"/>
  <c r="R322" i="3" s="1"/>
  <c r="Q323" i="3"/>
  <c r="R323" i="3" s="1"/>
  <c r="Q324" i="3"/>
  <c r="R324" i="3" s="1"/>
  <c r="Q325" i="3"/>
  <c r="R325" i="3" s="1"/>
  <c r="Q326" i="3"/>
  <c r="R326" i="3" s="1"/>
  <c r="Q327" i="3"/>
  <c r="R327" i="3" s="1"/>
  <c r="Q328" i="3"/>
  <c r="R328" i="3" s="1"/>
  <c r="Q329" i="3"/>
  <c r="R329" i="3" s="1"/>
  <c r="Q330" i="3"/>
  <c r="R330" i="3" s="1"/>
  <c r="Q331" i="3"/>
  <c r="R331" i="3" s="1"/>
  <c r="Q332" i="3"/>
  <c r="R332" i="3" s="1"/>
  <c r="Q333" i="3"/>
  <c r="R333" i="3" s="1"/>
  <c r="Q334" i="3"/>
  <c r="R334" i="3" s="1"/>
  <c r="Q335" i="3"/>
  <c r="R335" i="3" s="1"/>
  <c r="Q336" i="3"/>
  <c r="R336" i="3" s="1"/>
  <c r="Q337" i="3"/>
  <c r="R337" i="3" s="1"/>
  <c r="Q338" i="3"/>
  <c r="R338" i="3" s="1"/>
  <c r="Q339" i="3"/>
  <c r="R339" i="3" s="1"/>
  <c r="Q340" i="3"/>
  <c r="R340" i="3" s="1"/>
  <c r="Q341" i="3"/>
  <c r="R341" i="3" s="1"/>
  <c r="Q342" i="3"/>
  <c r="R342" i="3" s="1"/>
  <c r="Q343" i="3"/>
  <c r="R343" i="3" s="1"/>
  <c r="Q344" i="3"/>
  <c r="R344" i="3" s="1"/>
  <c r="Q345" i="3"/>
  <c r="R345" i="3" s="1"/>
  <c r="Q346" i="3"/>
  <c r="R346" i="3" s="1"/>
  <c r="Q347" i="3"/>
  <c r="R347" i="3" s="1"/>
  <c r="Q348" i="3"/>
  <c r="R348" i="3" s="1"/>
  <c r="Q349" i="3"/>
  <c r="R349" i="3" s="1"/>
  <c r="Q350" i="3"/>
  <c r="R350" i="3" s="1"/>
  <c r="Q351" i="3"/>
  <c r="R351" i="3" s="1"/>
  <c r="Q352" i="3"/>
  <c r="R352" i="3" s="1"/>
  <c r="Q353" i="3"/>
  <c r="R353" i="3" s="1"/>
  <c r="Q354" i="3"/>
  <c r="R354" i="3" s="1"/>
  <c r="Q355" i="3"/>
  <c r="R355" i="3" s="1"/>
  <c r="Q356" i="3"/>
  <c r="R356" i="3" s="1"/>
  <c r="Q357" i="3"/>
  <c r="R357" i="3" s="1"/>
  <c r="Q358" i="3"/>
  <c r="R358" i="3" s="1"/>
  <c r="Q359" i="3"/>
  <c r="R359" i="3" s="1"/>
  <c r="Q360" i="3"/>
  <c r="R360" i="3" s="1"/>
  <c r="Q361" i="3"/>
  <c r="R361" i="3" s="1"/>
  <c r="Q362" i="3"/>
  <c r="R362" i="3" s="1"/>
  <c r="Q363" i="3"/>
  <c r="R363" i="3" s="1"/>
  <c r="Q364" i="3"/>
  <c r="R364" i="3" s="1"/>
  <c r="Q365" i="3"/>
  <c r="R365" i="3" s="1"/>
  <c r="Q366" i="3"/>
  <c r="R366" i="3" s="1"/>
  <c r="Q367" i="3"/>
  <c r="R367" i="3" s="1"/>
  <c r="Q368" i="3"/>
  <c r="R368" i="3" s="1"/>
  <c r="Q369" i="3"/>
  <c r="R369" i="3" s="1"/>
  <c r="Q370" i="3"/>
  <c r="R370" i="3" s="1"/>
  <c r="Q371" i="3"/>
  <c r="R371" i="3" s="1"/>
  <c r="Q372" i="3"/>
  <c r="R372" i="3" s="1"/>
  <c r="Q373" i="3"/>
  <c r="R373" i="3" s="1"/>
  <c r="Q374" i="3"/>
  <c r="R374" i="3" s="1"/>
  <c r="Q375" i="3"/>
  <c r="R375" i="3" s="1"/>
  <c r="Q376" i="3"/>
  <c r="R376" i="3" s="1"/>
  <c r="Q377" i="3"/>
  <c r="R377" i="3" s="1"/>
  <c r="Q378" i="3"/>
  <c r="R378" i="3" s="1"/>
  <c r="Q379" i="3"/>
  <c r="R379" i="3" s="1"/>
  <c r="Q380" i="3"/>
  <c r="R380" i="3" s="1"/>
  <c r="Q381" i="3"/>
  <c r="R381" i="3" s="1"/>
  <c r="Q382" i="3"/>
  <c r="R382" i="3" s="1"/>
  <c r="Q383" i="3"/>
  <c r="R383" i="3" s="1"/>
  <c r="Q384" i="3"/>
  <c r="R384" i="3" s="1"/>
  <c r="Q385" i="3"/>
  <c r="R385" i="3" s="1"/>
  <c r="Q386" i="3"/>
  <c r="R386" i="3" s="1"/>
  <c r="Q387" i="3"/>
  <c r="R387" i="3" s="1"/>
  <c r="Q388" i="3"/>
  <c r="R388" i="3" s="1"/>
  <c r="Q389" i="3"/>
  <c r="R389" i="3" s="1"/>
  <c r="Q390" i="3"/>
  <c r="R390" i="3" s="1"/>
  <c r="Q391" i="3"/>
  <c r="R391" i="3" s="1"/>
  <c r="Q392" i="3"/>
  <c r="R392" i="3" s="1"/>
  <c r="Q393" i="3"/>
  <c r="R393" i="3" s="1"/>
  <c r="Q394" i="3"/>
  <c r="R394" i="3" s="1"/>
  <c r="Q395" i="3"/>
  <c r="R395" i="3" s="1"/>
  <c r="Q396" i="3"/>
  <c r="R396" i="3" s="1"/>
  <c r="Q397" i="3"/>
  <c r="R397" i="3" s="1"/>
  <c r="Q398" i="3"/>
  <c r="R398" i="3" s="1"/>
  <c r="Q399" i="3"/>
  <c r="R399" i="3" s="1"/>
  <c r="Q400" i="3"/>
  <c r="R400" i="3" s="1"/>
  <c r="Q401" i="3"/>
  <c r="R401" i="3" s="1"/>
  <c r="Q402" i="3"/>
  <c r="R402" i="3" s="1"/>
  <c r="Q403" i="3"/>
  <c r="R403" i="3" s="1"/>
  <c r="Q404" i="3"/>
  <c r="R404" i="3" s="1"/>
  <c r="Q405" i="3"/>
  <c r="R405" i="3" s="1"/>
  <c r="Q406" i="3"/>
  <c r="R406" i="3" s="1"/>
  <c r="Q407" i="3"/>
  <c r="R407" i="3" s="1"/>
  <c r="Q408" i="3"/>
  <c r="R408" i="3" s="1"/>
  <c r="Q409" i="3"/>
  <c r="R409" i="3" s="1"/>
  <c r="Q410" i="3"/>
  <c r="R410" i="3" s="1"/>
  <c r="Q411" i="3"/>
  <c r="R411" i="3" s="1"/>
  <c r="Q412" i="3"/>
  <c r="R412" i="3" s="1"/>
  <c r="Q413" i="3"/>
  <c r="R413" i="3" s="1"/>
  <c r="Q414" i="3"/>
  <c r="R414" i="3" s="1"/>
  <c r="Q415" i="3"/>
  <c r="R415" i="3" s="1"/>
  <c r="Q416" i="3"/>
  <c r="R416" i="3" s="1"/>
  <c r="Q417" i="3"/>
  <c r="R417" i="3" s="1"/>
  <c r="Q418" i="3"/>
  <c r="R418" i="3" s="1"/>
  <c r="Q419" i="3"/>
  <c r="R419" i="3" s="1"/>
  <c r="Q420" i="3"/>
  <c r="R420" i="3" s="1"/>
  <c r="Q421" i="3"/>
  <c r="R421" i="3" s="1"/>
  <c r="Q422" i="3"/>
  <c r="R422" i="3" s="1"/>
  <c r="Q423" i="3"/>
  <c r="R423" i="3" s="1"/>
  <c r="Q424" i="3"/>
  <c r="R424" i="3" s="1"/>
  <c r="Q425" i="3"/>
  <c r="R425" i="3" s="1"/>
  <c r="Q426" i="3"/>
  <c r="R426" i="3" s="1"/>
  <c r="Q427" i="3"/>
  <c r="R427" i="3" s="1"/>
  <c r="Q428" i="3"/>
  <c r="R428" i="3" s="1"/>
  <c r="Q429" i="3"/>
  <c r="R429" i="3" s="1"/>
  <c r="Q430" i="3"/>
  <c r="R430" i="3" s="1"/>
  <c r="Q431" i="3"/>
  <c r="R431" i="3" s="1"/>
  <c r="Q432" i="3"/>
  <c r="R432" i="3" s="1"/>
  <c r="Q433" i="3"/>
  <c r="R433" i="3" s="1"/>
  <c r="Q434" i="3"/>
  <c r="R434" i="3" s="1"/>
  <c r="Q435" i="3"/>
  <c r="R435" i="3" s="1"/>
  <c r="Q436" i="3"/>
  <c r="R436" i="3" s="1"/>
  <c r="Q437" i="3"/>
  <c r="R437" i="3" s="1"/>
  <c r="Q438" i="3"/>
  <c r="R438" i="3" s="1"/>
  <c r="Q439" i="3"/>
  <c r="R439" i="3" s="1"/>
  <c r="Q440" i="3"/>
  <c r="R440" i="3" s="1"/>
  <c r="Q441" i="3"/>
  <c r="R441" i="3" s="1"/>
  <c r="Q442" i="3"/>
  <c r="R442" i="3" s="1"/>
  <c r="Q443" i="3"/>
  <c r="R443" i="3" s="1"/>
  <c r="Q444" i="3"/>
  <c r="R444" i="3" s="1"/>
  <c r="Q445" i="3"/>
  <c r="R445" i="3" s="1"/>
  <c r="Q446" i="3"/>
  <c r="R446" i="3" s="1"/>
  <c r="Q447" i="3"/>
  <c r="R447" i="3" s="1"/>
  <c r="Q448" i="3"/>
  <c r="R448" i="3" s="1"/>
  <c r="Q449" i="3"/>
  <c r="R449" i="3" s="1"/>
  <c r="Q450" i="3"/>
  <c r="R450" i="3" s="1"/>
  <c r="Q451" i="3"/>
  <c r="R451" i="3" s="1"/>
  <c r="Q452" i="3"/>
  <c r="R452" i="3" s="1"/>
  <c r="Q453" i="3"/>
  <c r="R453" i="3" s="1"/>
  <c r="Q454" i="3"/>
  <c r="R454" i="3" s="1"/>
  <c r="Q455" i="3"/>
  <c r="R455" i="3" s="1"/>
  <c r="Q456" i="3"/>
  <c r="R456" i="3" s="1"/>
  <c r="Q457" i="3"/>
  <c r="R457" i="3" s="1"/>
  <c r="Q458" i="3"/>
  <c r="R458" i="3" s="1"/>
  <c r="Q459" i="3"/>
  <c r="R459" i="3" s="1"/>
  <c r="Q460" i="3"/>
  <c r="R460" i="3" s="1"/>
  <c r="Q461" i="3"/>
  <c r="R461" i="3" s="1"/>
  <c r="Q462" i="3"/>
  <c r="R462" i="3" s="1"/>
  <c r="Q463" i="3"/>
  <c r="R463" i="3" s="1"/>
  <c r="Q464" i="3"/>
  <c r="R464" i="3" s="1"/>
  <c r="Q465" i="3"/>
  <c r="R465" i="3" s="1"/>
  <c r="Q466" i="3"/>
  <c r="R466" i="3" s="1"/>
  <c r="Q467" i="3"/>
  <c r="R467" i="3" s="1"/>
  <c r="Q468" i="3"/>
  <c r="R468" i="3" s="1"/>
  <c r="Q469" i="3"/>
  <c r="R469" i="3" s="1"/>
  <c r="Q470" i="3"/>
  <c r="R470" i="3" s="1"/>
  <c r="Q471" i="3"/>
  <c r="R471" i="3" s="1"/>
  <c r="Q472" i="3"/>
  <c r="R472" i="3" s="1"/>
  <c r="Q473" i="3"/>
  <c r="R473" i="3" s="1"/>
  <c r="Q474" i="3"/>
  <c r="R474" i="3" s="1"/>
  <c r="Q475" i="3"/>
  <c r="R475" i="3" s="1"/>
  <c r="Q476" i="3"/>
  <c r="R476" i="3" s="1"/>
  <c r="Q477" i="3"/>
  <c r="R477" i="3" s="1"/>
  <c r="Q478" i="3"/>
  <c r="R478" i="3" s="1"/>
  <c r="Q479" i="3"/>
  <c r="R479" i="3" s="1"/>
  <c r="Q480" i="3"/>
  <c r="R480" i="3" s="1"/>
  <c r="Q481" i="3"/>
  <c r="R481" i="3" s="1"/>
  <c r="Q482" i="3"/>
  <c r="R482" i="3" s="1"/>
  <c r="Q483" i="3"/>
  <c r="R483" i="3" s="1"/>
  <c r="Q484" i="3"/>
  <c r="R484" i="3" s="1"/>
  <c r="Q485" i="3"/>
  <c r="R485" i="3" s="1"/>
  <c r="Q486" i="3"/>
  <c r="R486" i="3" s="1"/>
  <c r="Q487" i="3"/>
  <c r="R487" i="3" s="1"/>
  <c r="Q488" i="3"/>
  <c r="R488" i="3" s="1"/>
  <c r="Q489" i="3"/>
  <c r="R489" i="3" s="1"/>
  <c r="Q490" i="3"/>
  <c r="R490" i="3" s="1"/>
  <c r="Q491" i="3"/>
  <c r="R491" i="3" s="1"/>
  <c r="Q492" i="3"/>
  <c r="R492" i="3" s="1"/>
  <c r="Q493" i="3"/>
  <c r="R493" i="3" s="1"/>
  <c r="Q494" i="3"/>
  <c r="R494" i="3" s="1"/>
  <c r="Q495" i="3"/>
  <c r="R495" i="3" s="1"/>
  <c r="Q496" i="3"/>
  <c r="R496" i="3" s="1"/>
  <c r="Q497" i="3"/>
  <c r="R497" i="3" s="1"/>
  <c r="Q498" i="3"/>
  <c r="R498" i="3" s="1"/>
  <c r="Q499" i="3"/>
  <c r="R499" i="3" s="1"/>
  <c r="Q500" i="3"/>
  <c r="R500" i="3" s="1"/>
  <c r="Q501" i="3"/>
  <c r="R501" i="3" s="1"/>
  <c r="Q502" i="3"/>
  <c r="R502" i="3" s="1"/>
  <c r="Q503" i="3"/>
  <c r="R503" i="3" s="1"/>
  <c r="Q504" i="3"/>
  <c r="R504" i="3" s="1"/>
  <c r="Q505" i="3"/>
  <c r="R505" i="3" s="1"/>
  <c r="Q506" i="3"/>
  <c r="R506" i="3" s="1"/>
  <c r="Q507" i="3"/>
  <c r="R507" i="3" s="1"/>
  <c r="Q508" i="3"/>
  <c r="R508" i="3" s="1"/>
  <c r="Q509" i="3"/>
  <c r="R509" i="3" s="1"/>
  <c r="Q510" i="3"/>
  <c r="R510" i="3" s="1"/>
  <c r="Q511" i="3"/>
  <c r="R511" i="3" s="1"/>
  <c r="Q512" i="3"/>
  <c r="R512" i="3" s="1"/>
  <c r="Q513" i="3"/>
  <c r="R513" i="3" s="1"/>
  <c r="Q514" i="3"/>
  <c r="R514" i="3" s="1"/>
  <c r="Q515" i="3"/>
  <c r="R515" i="3" s="1"/>
  <c r="Q516" i="3"/>
  <c r="R516" i="3" s="1"/>
  <c r="Q517" i="3"/>
  <c r="R517" i="3" s="1"/>
  <c r="Q518" i="3"/>
  <c r="R518" i="3" s="1"/>
  <c r="Q519" i="3"/>
  <c r="R519" i="3" s="1"/>
  <c r="Q520" i="3"/>
  <c r="R520" i="3" s="1"/>
  <c r="Q521" i="3"/>
  <c r="R521" i="3" s="1"/>
  <c r="Q522" i="3"/>
  <c r="R522" i="3" s="1"/>
  <c r="Q523" i="3"/>
  <c r="R523" i="3" s="1"/>
  <c r="Q524" i="3"/>
  <c r="R524" i="3" s="1"/>
  <c r="Q525" i="3"/>
  <c r="R525" i="3" s="1"/>
  <c r="Q526" i="3"/>
  <c r="R526" i="3" s="1"/>
  <c r="Q527" i="3"/>
  <c r="R527" i="3" s="1"/>
  <c r="Q528" i="3"/>
  <c r="R528" i="3" s="1"/>
  <c r="Q529" i="3"/>
  <c r="R529" i="3" s="1"/>
  <c r="Q530" i="3"/>
  <c r="R530" i="3" s="1"/>
  <c r="Q531" i="3"/>
  <c r="R531" i="3" s="1"/>
  <c r="Q532" i="3"/>
  <c r="R532" i="3" s="1"/>
  <c r="Q533" i="3"/>
  <c r="R533" i="3" s="1"/>
  <c r="Q534" i="3"/>
  <c r="R534" i="3" s="1"/>
  <c r="Q535" i="3"/>
  <c r="R535" i="3" s="1"/>
  <c r="Q536" i="3"/>
  <c r="R536" i="3" s="1"/>
  <c r="Q537" i="3"/>
  <c r="R537" i="3" s="1"/>
  <c r="Q538" i="3"/>
  <c r="R538" i="3" s="1"/>
  <c r="Q539" i="3"/>
  <c r="R539" i="3" s="1"/>
  <c r="Q540" i="3"/>
  <c r="R540" i="3" s="1"/>
  <c r="Q541" i="3"/>
  <c r="R541" i="3" s="1"/>
  <c r="Q542" i="3"/>
  <c r="R542" i="3" s="1"/>
  <c r="Q543" i="3"/>
  <c r="R543" i="3" s="1"/>
  <c r="Q544" i="3"/>
  <c r="R544" i="3" s="1"/>
  <c r="Q545" i="3"/>
  <c r="R545" i="3" s="1"/>
  <c r="Q546" i="3"/>
  <c r="R546" i="3" s="1"/>
  <c r="Q547" i="3"/>
  <c r="R547" i="3" s="1"/>
  <c r="Q548" i="3"/>
  <c r="R548" i="3" s="1"/>
  <c r="Q549" i="3"/>
  <c r="R549" i="3" s="1"/>
  <c r="Q550" i="3"/>
  <c r="R550" i="3" s="1"/>
  <c r="Q551" i="3"/>
  <c r="R551" i="3" s="1"/>
  <c r="Q552" i="3"/>
  <c r="R552" i="3" s="1"/>
  <c r="Q553" i="3"/>
  <c r="R553" i="3" s="1"/>
  <c r="Q554" i="3"/>
  <c r="R554" i="3" s="1"/>
  <c r="Q555" i="3"/>
  <c r="R555" i="3" s="1"/>
  <c r="Q556" i="3"/>
  <c r="R556" i="3" s="1"/>
  <c r="Q557" i="3"/>
  <c r="R557" i="3" s="1"/>
  <c r="Q558" i="3"/>
  <c r="R558" i="3" s="1"/>
  <c r="Q559" i="3"/>
  <c r="R559" i="3" s="1"/>
  <c r="Q560" i="3"/>
  <c r="R560" i="3" s="1"/>
  <c r="Q561" i="3"/>
  <c r="R561" i="3" s="1"/>
  <c r="Q562" i="3"/>
  <c r="R562" i="3" s="1"/>
  <c r="Q563" i="3"/>
  <c r="R563" i="3" s="1"/>
  <c r="Q564" i="3"/>
  <c r="R564" i="3" s="1"/>
  <c r="Q565" i="3"/>
  <c r="R565" i="3" s="1"/>
  <c r="Q566" i="3"/>
  <c r="R566" i="3" s="1"/>
  <c r="Q567" i="3"/>
  <c r="R567" i="3" s="1"/>
  <c r="Q568" i="3"/>
  <c r="R568" i="3" s="1"/>
  <c r="Q569" i="3"/>
  <c r="R569" i="3" s="1"/>
  <c r="Q570" i="3"/>
  <c r="R570" i="3" s="1"/>
  <c r="Q571" i="3"/>
  <c r="R571" i="3" s="1"/>
  <c r="Q572" i="3"/>
  <c r="R572" i="3" s="1"/>
  <c r="Q573" i="3"/>
  <c r="R573" i="3" s="1"/>
  <c r="Q574" i="3"/>
  <c r="R574" i="3" s="1"/>
  <c r="Q575" i="3"/>
  <c r="R575" i="3" s="1"/>
  <c r="Q576" i="3"/>
  <c r="R576" i="3" s="1"/>
  <c r="Q577" i="3"/>
  <c r="R577" i="3" s="1"/>
  <c r="Q578" i="3"/>
  <c r="R578" i="3" s="1"/>
  <c r="Q579" i="3"/>
  <c r="R579" i="3" s="1"/>
  <c r="Q580" i="3"/>
  <c r="R580" i="3" s="1"/>
  <c r="Q581" i="3"/>
  <c r="R581" i="3" s="1"/>
  <c r="Q582" i="3"/>
  <c r="R582" i="3" s="1"/>
  <c r="Q583" i="3"/>
  <c r="R583" i="3" s="1"/>
  <c r="Q584" i="3"/>
  <c r="R584" i="3" s="1"/>
  <c r="Q585" i="3"/>
  <c r="R585" i="3" s="1"/>
  <c r="Q586" i="3"/>
  <c r="R586" i="3" s="1"/>
  <c r="Q587" i="3"/>
  <c r="R587" i="3" s="1"/>
  <c r="Q588" i="3"/>
  <c r="R588" i="3" s="1"/>
  <c r="Q589" i="3"/>
  <c r="R589" i="3" s="1"/>
  <c r="Q590" i="3"/>
  <c r="R590" i="3" s="1"/>
  <c r="Q591" i="3"/>
  <c r="R591" i="3" s="1"/>
  <c r="Q592" i="3"/>
  <c r="R592" i="3" s="1"/>
  <c r="Q593" i="3"/>
  <c r="R593" i="3" s="1"/>
  <c r="Q594" i="3"/>
  <c r="R594" i="3" s="1"/>
  <c r="Q595" i="3"/>
  <c r="R595" i="3" s="1"/>
  <c r="Q596" i="3"/>
  <c r="R596" i="3" s="1"/>
  <c r="Q597" i="3"/>
  <c r="R597" i="3" s="1"/>
  <c r="Q598" i="3"/>
  <c r="R598" i="3" s="1"/>
  <c r="Q599" i="3"/>
  <c r="R599" i="3" s="1"/>
  <c r="Q600" i="3"/>
  <c r="R600" i="3" s="1"/>
  <c r="Q601" i="3"/>
  <c r="R601" i="3" s="1"/>
  <c r="Q602" i="3"/>
  <c r="R602" i="3" s="1"/>
  <c r="Q603" i="3"/>
  <c r="R603" i="3" s="1"/>
  <c r="Q604" i="3"/>
  <c r="R604" i="3" s="1"/>
  <c r="Q605" i="3"/>
  <c r="R605" i="3" s="1"/>
  <c r="Q606" i="3"/>
  <c r="R606" i="3" s="1"/>
  <c r="Q607" i="3"/>
  <c r="R607" i="3" s="1"/>
  <c r="Q608" i="3"/>
  <c r="R608" i="3" s="1"/>
  <c r="Q609" i="3"/>
  <c r="R609" i="3" s="1"/>
  <c r="Q610" i="3"/>
  <c r="R610" i="3" s="1"/>
  <c r="Q611" i="3"/>
  <c r="R611" i="3" s="1"/>
  <c r="Q612" i="3"/>
  <c r="R612" i="3" s="1"/>
  <c r="Q613" i="3"/>
  <c r="R613" i="3" s="1"/>
  <c r="Q614" i="3"/>
  <c r="R614" i="3" s="1"/>
  <c r="Q615" i="3"/>
  <c r="R615" i="3" s="1"/>
  <c r="Q616" i="3"/>
  <c r="R616" i="3" s="1"/>
  <c r="Q617" i="3"/>
  <c r="R617" i="3" s="1"/>
  <c r="Q618" i="3"/>
  <c r="R618" i="3" s="1"/>
  <c r="Q619" i="3"/>
  <c r="R619" i="3" s="1"/>
  <c r="Q620" i="3"/>
  <c r="R620" i="3" s="1"/>
  <c r="Q621" i="3"/>
  <c r="R621" i="3" s="1"/>
  <c r="Q622" i="3"/>
  <c r="R622" i="3" s="1"/>
  <c r="Q623" i="3"/>
  <c r="R623" i="3" s="1"/>
  <c r="Q624" i="3"/>
  <c r="R624" i="3" s="1"/>
  <c r="Q625" i="3"/>
  <c r="R625" i="3" s="1"/>
  <c r="Q626" i="3"/>
  <c r="R626" i="3" s="1"/>
  <c r="Q627" i="3"/>
  <c r="R627" i="3" s="1"/>
  <c r="Q628" i="3"/>
  <c r="R628" i="3" s="1"/>
  <c r="Q629" i="3"/>
  <c r="R629" i="3" s="1"/>
  <c r="Q630" i="3"/>
  <c r="R630" i="3" s="1"/>
  <c r="Q631" i="3"/>
  <c r="R631" i="3" s="1"/>
  <c r="Q632" i="3"/>
  <c r="R632" i="3" s="1"/>
  <c r="Q633" i="3"/>
  <c r="R633" i="3" s="1"/>
  <c r="Q634" i="3"/>
  <c r="R634" i="3" s="1"/>
  <c r="Q635" i="3"/>
  <c r="R635" i="3" s="1"/>
  <c r="Q636" i="3"/>
  <c r="R636" i="3" s="1"/>
  <c r="Q637" i="3"/>
  <c r="R637" i="3" s="1"/>
  <c r="Q638" i="3"/>
  <c r="R638" i="3" s="1"/>
  <c r="Q639" i="3"/>
  <c r="R639" i="3" s="1"/>
  <c r="Q640" i="3"/>
  <c r="R640" i="3" s="1"/>
  <c r="Q641" i="3"/>
  <c r="R641" i="3" s="1"/>
  <c r="Q642" i="3"/>
  <c r="R642" i="3" s="1"/>
  <c r="Q643" i="3"/>
  <c r="R643" i="3" s="1"/>
  <c r="Q644" i="3"/>
  <c r="R644" i="3" s="1"/>
  <c r="Q645" i="3"/>
  <c r="R645" i="3" s="1"/>
  <c r="Q646" i="3"/>
  <c r="R646" i="3" s="1"/>
  <c r="Q647" i="3"/>
  <c r="R647" i="3" s="1"/>
  <c r="Q648" i="3"/>
  <c r="R648" i="3" s="1"/>
  <c r="Q649" i="3"/>
  <c r="R649" i="3" s="1"/>
  <c r="Q650" i="3"/>
  <c r="R650" i="3" s="1"/>
  <c r="Q651" i="3"/>
  <c r="R651" i="3" s="1"/>
  <c r="Q652" i="3"/>
  <c r="R652" i="3" s="1"/>
  <c r="Q653" i="3"/>
  <c r="R653" i="3" s="1"/>
  <c r="Q654" i="3"/>
  <c r="R654" i="3" s="1"/>
  <c r="Q655" i="3"/>
  <c r="R655" i="3" s="1"/>
  <c r="Q656" i="3"/>
  <c r="R656" i="3" s="1"/>
  <c r="Q657" i="3"/>
  <c r="R657" i="3" s="1"/>
  <c r="Q658" i="3"/>
  <c r="R658" i="3" s="1"/>
  <c r="Q659" i="3"/>
  <c r="R659" i="3" s="1"/>
  <c r="Q660" i="3"/>
  <c r="R660" i="3" s="1"/>
  <c r="Q661" i="3"/>
  <c r="R661" i="3" s="1"/>
  <c r="Q662" i="3"/>
  <c r="R662" i="3" s="1"/>
  <c r="Q663" i="3"/>
  <c r="R663" i="3" s="1"/>
  <c r="Q664" i="3"/>
  <c r="R664" i="3" s="1"/>
  <c r="Q665" i="3"/>
  <c r="R665" i="3" s="1"/>
  <c r="Q666" i="3"/>
  <c r="R666" i="3" s="1"/>
  <c r="Q667" i="3"/>
  <c r="R667" i="3" s="1"/>
  <c r="Q668" i="3"/>
  <c r="R668" i="3" s="1"/>
  <c r="Q669" i="3"/>
  <c r="R669" i="3" s="1"/>
  <c r="Q670" i="3"/>
  <c r="R670" i="3" s="1"/>
  <c r="Q671" i="3"/>
  <c r="R671" i="3" s="1"/>
  <c r="Q672" i="3"/>
  <c r="R672" i="3" s="1"/>
  <c r="Q673" i="3"/>
  <c r="R673" i="3" s="1"/>
  <c r="Q674" i="3"/>
  <c r="R674" i="3" s="1"/>
  <c r="Q675" i="3"/>
  <c r="R675" i="3" s="1"/>
  <c r="Q676" i="3"/>
  <c r="R676" i="3" s="1"/>
  <c r="Q677" i="3"/>
  <c r="R677" i="3" s="1"/>
  <c r="Q678" i="3"/>
  <c r="R678" i="3" s="1"/>
  <c r="Q679" i="3"/>
  <c r="R679" i="3" s="1"/>
  <c r="Q680" i="3"/>
  <c r="R680" i="3" s="1"/>
  <c r="Q681" i="3"/>
  <c r="R681" i="3" s="1"/>
  <c r="Q682" i="3"/>
  <c r="R682" i="3" s="1"/>
  <c r="Q683" i="3"/>
  <c r="R683" i="3" s="1"/>
  <c r="Q684" i="3"/>
  <c r="R684" i="3" s="1"/>
  <c r="Q685" i="3"/>
  <c r="R685" i="3" s="1"/>
  <c r="Q686" i="3"/>
  <c r="R686" i="3" s="1"/>
  <c r="Q687" i="3"/>
  <c r="R687" i="3" s="1"/>
  <c r="Q688" i="3"/>
  <c r="R688" i="3" s="1"/>
  <c r="Q689" i="3"/>
  <c r="R689" i="3" s="1"/>
  <c r="Q690" i="3"/>
  <c r="R690" i="3" s="1"/>
  <c r="Q691" i="3"/>
  <c r="R691" i="3" s="1"/>
  <c r="Q692" i="3"/>
  <c r="R692" i="3" s="1"/>
  <c r="Q693" i="3"/>
  <c r="R693" i="3" s="1"/>
  <c r="Q694" i="3"/>
  <c r="R694" i="3" s="1"/>
  <c r="Q695" i="3"/>
  <c r="R695" i="3" s="1"/>
  <c r="Q696" i="3"/>
  <c r="R696" i="3" s="1"/>
  <c r="Q697" i="3"/>
  <c r="R697" i="3" s="1"/>
  <c r="Q698" i="3"/>
  <c r="R698" i="3" s="1"/>
  <c r="Q699" i="3"/>
  <c r="R699" i="3" s="1"/>
  <c r="Q700" i="3"/>
  <c r="R700" i="3" s="1"/>
  <c r="Q701" i="3"/>
  <c r="R701" i="3" s="1"/>
  <c r="Q702" i="3"/>
  <c r="R702" i="3" s="1"/>
  <c r="Q703" i="3"/>
  <c r="R703" i="3" s="1"/>
  <c r="Q704" i="3"/>
  <c r="R704" i="3" s="1"/>
  <c r="Q705" i="3"/>
  <c r="R705" i="3" s="1"/>
  <c r="Q706" i="3"/>
  <c r="R706" i="3" s="1"/>
  <c r="Q707" i="3"/>
  <c r="R707" i="3" s="1"/>
  <c r="Q708" i="3"/>
  <c r="R708" i="3" s="1"/>
  <c r="Q709" i="3"/>
  <c r="R709" i="3" s="1"/>
  <c r="Q710" i="3"/>
  <c r="R710" i="3" s="1"/>
  <c r="Q711" i="3"/>
  <c r="R711" i="3" s="1"/>
  <c r="Q712" i="3"/>
  <c r="R712" i="3" s="1"/>
  <c r="Q713" i="3"/>
  <c r="R713" i="3" s="1"/>
  <c r="Q714" i="3"/>
  <c r="R714" i="3" s="1"/>
  <c r="Q715" i="3"/>
  <c r="R715" i="3" s="1"/>
  <c r="Q716" i="3"/>
  <c r="R716" i="3" s="1"/>
  <c r="Q717" i="3"/>
  <c r="R717" i="3" s="1"/>
  <c r="Q718" i="3"/>
  <c r="R718" i="3" s="1"/>
  <c r="Q719" i="3"/>
  <c r="R719" i="3" s="1"/>
  <c r="Q720" i="3"/>
  <c r="R720" i="3" s="1"/>
  <c r="Q721" i="3"/>
  <c r="R721" i="3" s="1"/>
  <c r="Q722" i="3"/>
  <c r="R722" i="3" s="1"/>
  <c r="Q723" i="3"/>
  <c r="R723" i="3" s="1"/>
  <c r="Q724" i="3"/>
  <c r="R724" i="3" s="1"/>
  <c r="Q725" i="3"/>
  <c r="R725" i="3" s="1"/>
  <c r="Q726" i="3"/>
  <c r="R726" i="3" s="1"/>
  <c r="Q727" i="3"/>
  <c r="R727" i="3" s="1"/>
  <c r="Q728" i="3"/>
  <c r="R728" i="3" s="1"/>
  <c r="Q729" i="3"/>
  <c r="R729" i="3" s="1"/>
  <c r="Q730" i="3"/>
  <c r="R730" i="3" s="1"/>
  <c r="Q731" i="3"/>
  <c r="R731" i="3" s="1"/>
  <c r="Q732" i="3"/>
  <c r="R732" i="3" s="1"/>
  <c r="Q733" i="3"/>
  <c r="R733" i="3" s="1"/>
  <c r="Q734" i="3"/>
  <c r="R734" i="3" s="1"/>
  <c r="Q735" i="3"/>
  <c r="R735" i="3" s="1"/>
  <c r="Q736" i="3"/>
  <c r="R736" i="3" s="1"/>
  <c r="Q737" i="3"/>
  <c r="R737" i="3" s="1"/>
  <c r="Q738" i="3"/>
  <c r="R738" i="3" s="1"/>
  <c r="Q739" i="3"/>
  <c r="R739" i="3" s="1"/>
  <c r="Q740" i="3"/>
  <c r="R740" i="3" s="1"/>
  <c r="Q741" i="3"/>
  <c r="R741" i="3" s="1"/>
  <c r="Q742" i="3"/>
  <c r="R742" i="3" s="1"/>
  <c r="Q743" i="3"/>
  <c r="R743" i="3" s="1"/>
  <c r="Q744" i="3"/>
  <c r="R744" i="3" s="1"/>
  <c r="Q745" i="3"/>
  <c r="R745" i="3" s="1"/>
  <c r="Q746" i="3"/>
  <c r="R746" i="3" s="1"/>
  <c r="Q747" i="3"/>
  <c r="R747" i="3" s="1"/>
  <c r="Q748" i="3"/>
  <c r="R748" i="3" s="1"/>
  <c r="Q749" i="3"/>
  <c r="R749" i="3" s="1"/>
  <c r="Q750" i="3"/>
  <c r="R750" i="3" s="1"/>
  <c r="Q751" i="3"/>
  <c r="R751" i="3" s="1"/>
  <c r="Q752" i="3"/>
  <c r="R752" i="3" s="1"/>
  <c r="Q753" i="3"/>
  <c r="R753" i="3" s="1"/>
  <c r="Q754" i="3"/>
  <c r="R754" i="3" s="1"/>
  <c r="Q755" i="3"/>
  <c r="R755" i="3" s="1"/>
  <c r="Q756" i="3"/>
  <c r="R756" i="3" s="1"/>
  <c r="Q757" i="3"/>
  <c r="R757" i="3" s="1"/>
  <c r="Q758" i="3"/>
  <c r="R758" i="3" s="1"/>
  <c r="Q759" i="3"/>
  <c r="R759" i="3" s="1"/>
  <c r="Q760" i="3"/>
  <c r="R760" i="3" s="1"/>
  <c r="Q761" i="3"/>
  <c r="R761" i="3" s="1"/>
  <c r="Q762" i="3"/>
  <c r="R762" i="3" s="1"/>
  <c r="Q763" i="3"/>
  <c r="R763" i="3" s="1"/>
  <c r="Q764" i="3"/>
  <c r="R764" i="3" s="1"/>
  <c r="Q765" i="3"/>
  <c r="R765" i="3" s="1"/>
  <c r="Q766" i="3"/>
  <c r="R766" i="3" s="1"/>
  <c r="Q767" i="3"/>
  <c r="R767" i="3" s="1"/>
  <c r="Q768" i="3"/>
  <c r="R768" i="3" s="1"/>
  <c r="Q769" i="3"/>
  <c r="R769" i="3" s="1"/>
  <c r="Q770" i="3"/>
  <c r="R770" i="3" s="1"/>
  <c r="Q771" i="3"/>
  <c r="R771" i="3" s="1"/>
  <c r="Q772" i="3"/>
  <c r="R772" i="3" s="1"/>
  <c r="Q773" i="3"/>
  <c r="R773" i="3" s="1"/>
  <c r="Q774" i="3"/>
  <c r="R774" i="3" s="1"/>
  <c r="Q775" i="3"/>
  <c r="R775" i="3" s="1"/>
  <c r="Q776" i="3"/>
  <c r="R776" i="3" s="1"/>
  <c r="Q777" i="3"/>
  <c r="R777" i="3" s="1"/>
  <c r="Q778" i="3"/>
  <c r="R778" i="3" s="1"/>
  <c r="Q779" i="3"/>
  <c r="R779" i="3" s="1"/>
  <c r="Q780" i="3"/>
  <c r="R780" i="3" s="1"/>
  <c r="Q781" i="3"/>
  <c r="R781" i="3" s="1"/>
  <c r="Q782" i="3"/>
  <c r="R782" i="3" s="1"/>
  <c r="Q783" i="3"/>
  <c r="R783" i="3" s="1"/>
  <c r="Q784" i="3"/>
  <c r="R784" i="3" s="1"/>
  <c r="Q785" i="3"/>
  <c r="R785" i="3" s="1"/>
  <c r="Q786" i="3"/>
  <c r="R786" i="3" s="1"/>
  <c r="Q787" i="3"/>
  <c r="R787" i="3" s="1"/>
  <c r="Q788" i="3"/>
  <c r="R788" i="3" s="1"/>
  <c r="Q789" i="3"/>
  <c r="R789" i="3" s="1"/>
  <c r="Q790" i="3"/>
  <c r="R790" i="3" s="1"/>
  <c r="Q791" i="3"/>
  <c r="R791" i="3" s="1"/>
  <c r="Q792" i="3"/>
  <c r="R792" i="3" s="1"/>
  <c r="Q793" i="3"/>
  <c r="R793" i="3" s="1"/>
  <c r="Q794" i="3"/>
  <c r="R794" i="3" s="1"/>
  <c r="Q795" i="3"/>
  <c r="R795" i="3" s="1"/>
  <c r="Q796" i="3"/>
  <c r="R796" i="3" s="1"/>
  <c r="Q797" i="3"/>
  <c r="R797" i="3" s="1"/>
  <c r="Q798" i="3"/>
  <c r="R798" i="3" s="1"/>
  <c r="Q799" i="3"/>
  <c r="R799" i="3" s="1"/>
  <c r="Q800" i="3"/>
  <c r="R800" i="3" s="1"/>
  <c r="Q801" i="3"/>
  <c r="R801" i="3" s="1"/>
  <c r="Q802" i="3"/>
  <c r="R802" i="3" s="1"/>
  <c r="Q803" i="3"/>
  <c r="R803" i="3" s="1"/>
  <c r="Q804" i="3"/>
  <c r="R804" i="3" s="1"/>
  <c r="Q805" i="3"/>
  <c r="R805" i="3" s="1"/>
  <c r="Q806" i="3"/>
  <c r="R806" i="3" s="1"/>
  <c r="Q807" i="3"/>
  <c r="R807" i="3" s="1"/>
  <c r="Q808" i="3"/>
  <c r="R808" i="3" s="1"/>
  <c r="Q809" i="3"/>
  <c r="R809" i="3" s="1"/>
  <c r="Q810" i="3"/>
  <c r="R810" i="3" s="1"/>
  <c r="Q811" i="3"/>
  <c r="R811" i="3" s="1"/>
  <c r="Q812" i="3"/>
  <c r="R812" i="3" s="1"/>
  <c r="Q813" i="3"/>
  <c r="R813" i="3" s="1"/>
  <c r="Q814" i="3"/>
  <c r="R814" i="3" s="1"/>
  <c r="Q815" i="3"/>
  <c r="R815" i="3" s="1"/>
  <c r="Q816" i="3"/>
  <c r="R816" i="3" s="1"/>
  <c r="Q817" i="3"/>
  <c r="R817" i="3" s="1"/>
  <c r="Q818" i="3"/>
  <c r="R818" i="3" s="1"/>
  <c r="Q819" i="3"/>
  <c r="R819" i="3" s="1"/>
  <c r="Q820" i="3"/>
  <c r="R820" i="3" s="1"/>
  <c r="Q821" i="3"/>
  <c r="R821" i="3" s="1"/>
  <c r="Q822" i="3"/>
  <c r="R822" i="3" s="1"/>
  <c r="Q823" i="3"/>
  <c r="R823" i="3" s="1"/>
  <c r="Q824" i="3"/>
  <c r="R824" i="3" s="1"/>
  <c r="Q825" i="3"/>
  <c r="R825" i="3" s="1"/>
  <c r="Q826" i="3"/>
  <c r="R826" i="3" s="1"/>
  <c r="Q827" i="3"/>
  <c r="R827" i="3" s="1"/>
  <c r="Q828" i="3"/>
  <c r="R828" i="3" s="1"/>
  <c r="Q829" i="3"/>
  <c r="R829" i="3" s="1"/>
  <c r="Q830" i="3"/>
  <c r="R830" i="3" s="1"/>
  <c r="Q831" i="3"/>
  <c r="R831" i="3" s="1"/>
  <c r="Q832" i="3"/>
  <c r="R832" i="3" s="1"/>
  <c r="Q833" i="3"/>
  <c r="R833" i="3" s="1"/>
  <c r="Q834" i="3"/>
  <c r="R834" i="3" s="1"/>
  <c r="Q835" i="3"/>
  <c r="R835" i="3" s="1"/>
  <c r="Q836" i="3"/>
  <c r="R836" i="3" s="1"/>
  <c r="Q837" i="3"/>
  <c r="R837" i="3" s="1"/>
  <c r="Q838" i="3"/>
  <c r="R838" i="3" s="1"/>
  <c r="Q839" i="3"/>
  <c r="R839" i="3" s="1"/>
  <c r="Q840" i="3"/>
  <c r="R840" i="3" s="1"/>
  <c r="Q841" i="3"/>
  <c r="R841" i="3" s="1"/>
  <c r="Q842" i="3"/>
  <c r="R842" i="3" s="1"/>
  <c r="Q843" i="3"/>
  <c r="R843" i="3" s="1"/>
  <c r="Q844" i="3"/>
  <c r="R844" i="3" s="1"/>
  <c r="Q845" i="3"/>
  <c r="R845" i="3" s="1"/>
  <c r="Q846" i="3"/>
  <c r="R846" i="3" s="1"/>
  <c r="Q847" i="3"/>
  <c r="R847" i="3" s="1"/>
  <c r="Q848" i="3"/>
  <c r="R848" i="3" s="1"/>
  <c r="Q849" i="3"/>
  <c r="R849" i="3" s="1"/>
  <c r="Q850" i="3"/>
  <c r="R850" i="3" s="1"/>
  <c r="Q851" i="3"/>
  <c r="R851" i="3" s="1"/>
  <c r="Q852" i="3"/>
  <c r="R852" i="3" s="1"/>
  <c r="Q853" i="3"/>
  <c r="R853" i="3" s="1"/>
  <c r="Q854" i="3"/>
  <c r="R854" i="3" s="1"/>
  <c r="Q855" i="3"/>
  <c r="R855" i="3" s="1"/>
  <c r="Q856" i="3"/>
  <c r="R856" i="3" s="1"/>
  <c r="Q857" i="3"/>
  <c r="R857" i="3" s="1"/>
  <c r="Q858" i="3"/>
  <c r="R858" i="3" s="1"/>
  <c r="Q859" i="3"/>
  <c r="R859" i="3" s="1"/>
  <c r="Q860" i="3"/>
  <c r="R860" i="3" s="1"/>
  <c r="Q861" i="3"/>
  <c r="R861" i="3" s="1"/>
  <c r="Q862" i="3"/>
  <c r="R862" i="3" s="1"/>
  <c r="Q863" i="3"/>
  <c r="R863" i="3" s="1"/>
  <c r="Q864" i="3"/>
  <c r="R864" i="3" s="1"/>
  <c r="Q865" i="3"/>
  <c r="R865" i="3" s="1"/>
  <c r="Q866" i="3"/>
  <c r="R866" i="3" s="1"/>
  <c r="Q867" i="3"/>
  <c r="R867" i="3" s="1"/>
  <c r="Q868" i="3"/>
  <c r="R868" i="3" s="1"/>
  <c r="Q869" i="3"/>
  <c r="R869" i="3" s="1"/>
  <c r="Q870" i="3"/>
  <c r="R870" i="3" s="1"/>
  <c r="Q871" i="3"/>
  <c r="R871" i="3" s="1"/>
  <c r="Q872" i="3"/>
  <c r="R872" i="3" s="1"/>
  <c r="Q873" i="3"/>
  <c r="R873" i="3" s="1"/>
  <c r="Q874" i="3"/>
  <c r="R874" i="3" s="1"/>
  <c r="Q875" i="3"/>
  <c r="R875" i="3" s="1"/>
  <c r="Q876" i="3"/>
  <c r="R876" i="3" s="1"/>
  <c r="Q877" i="3"/>
  <c r="R877" i="3" s="1"/>
  <c r="Q878" i="3"/>
  <c r="R878" i="3" s="1"/>
  <c r="Q879" i="3"/>
  <c r="R879" i="3" s="1"/>
  <c r="Q880" i="3"/>
  <c r="R880" i="3" s="1"/>
  <c r="Q881" i="3"/>
  <c r="R881" i="3" s="1"/>
  <c r="Q882" i="3"/>
  <c r="R882" i="3" s="1"/>
  <c r="Q883" i="3"/>
  <c r="R883" i="3" s="1"/>
  <c r="Q884" i="3"/>
  <c r="R884" i="3" s="1"/>
  <c r="Q885" i="3"/>
  <c r="R885" i="3" s="1"/>
  <c r="Q886" i="3"/>
  <c r="R886" i="3" s="1"/>
  <c r="Q887" i="3"/>
  <c r="R887" i="3" s="1"/>
  <c r="Q888" i="3"/>
  <c r="R888" i="3" s="1"/>
  <c r="Q889" i="3"/>
  <c r="R889" i="3" s="1"/>
  <c r="Q890" i="3"/>
  <c r="R890" i="3" s="1"/>
  <c r="Q891" i="3"/>
  <c r="R891" i="3" s="1"/>
  <c r="Q892" i="3"/>
  <c r="R892" i="3" s="1"/>
  <c r="Q893" i="3"/>
  <c r="R893" i="3" s="1"/>
  <c r="Q894" i="3"/>
  <c r="R894" i="3" s="1"/>
  <c r="Q895" i="3"/>
  <c r="R895" i="3" s="1"/>
  <c r="Q896" i="3"/>
  <c r="R896" i="3" s="1"/>
  <c r="Q897" i="3"/>
  <c r="R897" i="3" s="1"/>
  <c r="Q898" i="3"/>
  <c r="R898" i="3" s="1"/>
  <c r="Q899" i="3"/>
  <c r="R899" i="3" s="1"/>
  <c r="Q900" i="3"/>
  <c r="R900" i="3" s="1"/>
  <c r="Q901" i="3"/>
  <c r="R901" i="3" s="1"/>
  <c r="Q902" i="3"/>
  <c r="R902" i="3" s="1"/>
  <c r="Q903" i="3"/>
  <c r="R903" i="3" s="1"/>
  <c r="Q904" i="3"/>
  <c r="R904" i="3" s="1"/>
  <c r="Q905" i="3"/>
  <c r="R905" i="3" s="1"/>
  <c r="Q906" i="3"/>
  <c r="R906" i="3" s="1"/>
  <c r="Q907" i="3"/>
  <c r="R907" i="3" s="1"/>
  <c r="Q908" i="3"/>
  <c r="R908" i="3" s="1"/>
  <c r="Q909" i="3"/>
  <c r="R909" i="3" s="1"/>
  <c r="Q910" i="3"/>
  <c r="R910" i="3" s="1"/>
  <c r="Q911" i="3"/>
  <c r="R911" i="3" s="1"/>
  <c r="Q912" i="3"/>
  <c r="R912" i="3" s="1"/>
  <c r="Q913" i="3"/>
  <c r="R913" i="3" s="1"/>
  <c r="Q914" i="3"/>
  <c r="R914" i="3" s="1"/>
  <c r="Q915" i="3"/>
  <c r="R915" i="3" s="1"/>
  <c r="Q916" i="3"/>
  <c r="R916" i="3" s="1"/>
  <c r="Q917" i="3"/>
  <c r="R917" i="3" s="1"/>
  <c r="Q918" i="3"/>
  <c r="R918" i="3" s="1"/>
  <c r="Q919" i="3"/>
  <c r="R919" i="3" s="1"/>
  <c r="Q920" i="3"/>
  <c r="R920" i="3" s="1"/>
  <c r="Q921" i="3"/>
  <c r="R921" i="3" s="1"/>
  <c r="Q922" i="3"/>
  <c r="R922" i="3" s="1"/>
  <c r="Q923" i="3"/>
  <c r="R923" i="3" s="1"/>
  <c r="Q924" i="3"/>
  <c r="R924" i="3" s="1"/>
  <c r="Q925" i="3"/>
  <c r="R925" i="3" s="1"/>
  <c r="Q926" i="3"/>
  <c r="R926" i="3" s="1"/>
  <c r="Q927" i="3"/>
  <c r="R927" i="3" s="1"/>
  <c r="Q928" i="3"/>
  <c r="R928" i="3" s="1"/>
  <c r="Q929" i="3"/>
  <c r="R929" i="3" s="1"/>
  <c r="Q930" i="3"/>
  <c r="R930" i="3" s="1"/>
  <c r="Q931" i="3"/>
  <c r="R931" i="3" s="1"/>
  <c r="Q932" i="3"/>
  <c r="R932" i="3" s="1"/>
  <c r="Q933" i="3"/>
  <c r="R933" i="3" s="1"/>
  <c r="Q934" i="3"/>
  <c r="R934" i="3" s="1"/>
  <c r="Q935" i="3"/>
  <c r="R935" i="3" s="1"/>
  <c r="Q936" i="3"/>
  <c r="R936" i="3" s="1"/>
  <c r="Q937" i="3"/>
  <c r="R937" i="3" s="1"/>
  <c r="Q938" i="3"/>
  <c r="R938" i="3" s="1"/>
  <c r="Q939" i="3"/>
  <c r="R939" i="3" s="1"/>
  <c r="Q940" i="3"/>
  <c r="R940" i="3" s="1"/>
  <c r="Q941" i="3"/>
  <c r="R941" i="3" s="1"/>
  <c r="Q942" i="3"/>
  <c r="R942" i="3" s="1"/>
  <c r="Q943" i="3"/>
  <c r="R943" i="3" s="1"/>
  <c r="Q944" i="3"/>
  <c r="R944" i="3" s="1"/>
  <c r="Q945" i="3"/>
  <c r="R945" i="3" s="1"/>
  <c r="Q946" i="3"/>
  <c r="R946" i="3" s="1"/>
  <c r="Q947" i="3"/>
  <c r="R947" i="3" s="1"/>
  <c r="Q948" i="3"/>
  <c r="R948" i="3" s="1"/>
  <c r="Q949" i="3"/>
  <c r="R949" i="3" s="1"/>
  <c r="Q950" i="3"/>
  <c r="R950" i="3" s="1"/>
  <c r="Q951" i="3"/>
  <c r="R951" i="3" s="1"/>
  <c r="Q952" i="3"/>
  <c r="R952" i="3" s="1"/>
  <c r="Q953" i="3"/>
  <c r="R953" i="3" s="1"/>
  <c r="Q954" i="3"/>
  <c r="R954" i="3" s="1"/>
  <c r="Q955" i="3"/>
  <c r="R955" i="3" s="1"/>
  <c r="Q956" i="3"/>
  <c r="R956" i="3" s="1"/>
  <c r="Q957" i="3"/>
  <c r="R957" i="3" s="1"/>
  <c r="Q958" i="3"/>
  <c r="R958" i="3" s="1"/>
  <c r="Q959" i="3"/>
  <c r="R959" i="3" s="1"/>
  <c r="Q960" i="3"/>
  <c r="R960" i="3" s="1"/>
  <c r="Q961" i="3"/>
  <c r="R961" i="3" s="1"/>
  <c r="Q962" i="3"/>
  <c r="R962" i="3" s="1"/>
  <c r="Q963" i="3"/>
  <c r="R963" i="3" s="1"/>
  <c r="Q964" i="3"/>
  <c r="R964" i="3" s="1"/>
  <c r="Q965" i="3"/>
  <c r="R965" i="3" s="1"/>
  <c r="Q966" i="3"/>
  <c r="R966" i="3" s="1"/>
  <c r="Q967" i="3"/>
  <c r="R967" i="3" s="1"/>
  <c r="Q968" i="3"/>
  <c r="R968" i="3" s="1"/>
  <c r="Q969" i="3"/>
  <c r="R969" i="3" s="1"/>
  <c r="Q970" i="3"/>
  <c r="R970" i="3" s="1"/>
  <c r="Q971" i="3"/>
  <c r="R971" i="3" s="1"/>
  <c r="Q972" i="3"/>
  <c r="R972" i="3" s="1"/>
  <c r="Q973" i="3"/>
  <c r="R973" i="3" s="1"/>
  <c r="Q974" i="3"/>
  <c r="R974" i="3" s="1"/>
  <c r="Q975" i="3"/>
  <c r="R975" i="3" s="1"/>
  <c r="Q976" i="3"/>
  <c r="R976" i="3" s="1"/>
  <c r="Q977" i="3"/>
  <c r="R977" i="3" s="1"/>
  <c r="Q978" i="3"/>
  <c r="R978" i="3" s="1"/>
  <c r="Q979" i="3"/>
  <c r="R979" i="3" s="1"/>
  <c r="Q980" i="3"/>
  <c r="R980" i="3" s="1"/>
  <c r="Q981" i="3"/>
  <c r="R981" i="3" s="1"/>
  <c r="Q982" i="3"/>
  <c r="R982" i="3" s="1"/>
  <c r="Q983" i="3"/>
  <c r="R983" i="3" s="1"/>
  <c r="Q984" i="3"/>
  <c r="R984" i="3" s="1"/>
  <c r="Q985" i="3"/>
  <c r="R985" i="3" s="1"/>
  <c r="Q986" i="3"/>
  <c r="R986" i="3" s="1"/>
  <c r="Q987" i="3"/>
  <c r="R987" i="3" s="1"/>
  <c r="Q988" i="3"/>
  <c r="R988" i="3" s="1"/>
  <c r="Q989" i="3"/>
  <c r="R989" i="3" s="1"/>
  <c r="Q990" i="3"/>
  <c r="R990" i="3" s="1"/>
  <c r="Q991" i="3"/>
  <c r="R991" i="3" s="1"/>
  <c r="Q992" i="3"/>
  <c r="R992" i="3" s="1"/>
  <c r="Q993" i="3"/>
  <c r="R993" i="3" s="1"/>
  <c r="Q994" i="3"/>
  <c r="R994" i="3" s="1"/>
  <c r="Q995" i="3"/>
  <c r="R995" i="3" s="1"/>
  <c r="Q996" i="3"/>
  <c r="R996" i="3" s="1"/>
  <c r="Q997" i="3"/>
  <c r="R997" i="3" s="1"/>
  <c r="Q998" i="3"/>
  <c r="R998" i="3" s="1"/>
  <c r="Q999" i="3"/>
  <c r="R999" i="3" s="1"/>
  <c r="Q1000" i="3"/>
  <c r="R1000" i="3" s="1"/>
  <c r="Q1001" i="3"/>
  <c r="R1001" i="3" s="1"/>
  <c r="Q1002" i="3"/>
  <c r="R1002" i="3" s="1"/>
  <c r="Q1003" i="3"/>
  <c r="R1003" i="3" s="1"/>
  <c r="Q1004" i="3"/>
  <c r="R1004" i="3" s="1"/>
  <c r="Q1005" i="3"/>
  <c r="R1005" i="3" s="1"/>
  <c r="Q1006" i="3"/>
  <c r="R1006" i="3" s="1"/>
  <c r="Q1007" i="3"/>
  <c r="R1007" i="3" s="1"/>
  <c r="Q1008" i="3"/>
  <c r="R1008" i="3" s="1"/>
  <c r="Q1009" i="3"/>
  <c r="R1009" i="3" s="1"/>
  <c r="Q1010" i="3"/>
  <c r="R1010" i="3" s="1"/>
  <c r="Q1011" i="3"/>
  <c r="R1011" i="3" s="1"/>
  <c r="Q1012" i="3"/>
  <c r="R1012" i="3" s="1"/>
  <c r="Q1013" i="3"/>
  <c r="R1013" i="3" s="1"/>
  <c r="Q1014" i="3"/>
  <c r="R1014" i="3" s="1"/>
  <c r="Q1015" i="3"/>
  <c r="R1015" i="3" s="1"/>
  <c r="Q1016" i="3"/>
  <c r="R1016" i="3" s="1"/>
  <c r="Q1017" i="3"/>
  <c r="R1017" i="3" s="1"/>
  <c r="Q1018" i="3"/>
  <c r="R1018" i="3" s="1"/>
  <c r="Q1019" i="3"/>
  <c r="R1019" i="3" s="1"/>
  <c r="Q1020" i="3"/>
  <c r="R1020" i="3" s="1"/>
  <c r="Q1021" i="3"/>
  <c r="R1021" i="3" s="1"/>
  <c r="Q1022" i="3"/>
  <c r="R1022" i="3" s="1"/>
  <c r="Q1023" i="3"/>
  <c r="R1023" i="3" s="1"/>
  <c r="Q1024" i="3"/>
  <c r="R1024" i="3" s="1"/>
  <c r="Q1025" i="3"/>
  <c r="R1025" i="3" s="1"/>
  <c r="Q1026" i="3"/>
  <c r="R1026" i="3" s="1"/>
  <c r="Q1027" i="3"/>
  <c r="R1027" i="3" s="1"/>
  <c r="Q1028" i="3"/>
  <c r="R1028" i="3" s="1"/>
  <c r="Q1029" i="3"/>
  <c r="R1029" i="3" s="1"/>
  <c r="Q1030" i="3"/>
  <c r="R1030" i="3" s="1"/>
  <c r="Q1031" i="3"/>
  <c r="R1031" i="3" s="1"/>
  <c r="Q1032" i="3"/>
  <c r="R1032" i="3" s="1"/>
  <c r="Q1033" i="3"/>
  <c r="R1033" i="3" s="1"/>
  <c r="Q1034" i="3"/>
  <c r="R1034" i="3" s="1"/>
  <c r="Q1035" i="3"/>
  <c r="R1035" i="3" s="1"/>
  <c r="Q1036" i="3"/>
  <c r="R1036" i="3" s="1"/>
  <c r="Q1037" i="3"/>
  <c r="R1037" i="3" s="1"/>
  <c r="Q1038" i="3"/>
  <c r="R1038" i="3" s="1"/>
  <c r="Q1039" i="3"/>
  <c r="R1039" i="3" s="1"/>
  <c r="Q1040" i="3"/>
  <c r="R1040" i="3" s="1"/>
  <c r="Q1041" i="3"/>
  <c r="R1041" i="3" s="1"/>
  <c r="Q1042" i="3"/>
  <c r="R1042" i="3" s="1"/>
  <c r="Q1043" i="3"/>
  <c r="R1043" i="3" s="1"/>
  <c r="Q1044" i="3"/>
  <c r="R1044" i="3" s="1"/>
  <c r="Q1045" i="3"/>
  <c r="R1045" i="3" s="1"/>
  <c r="Q1046" i="3"/>
  <c r="R1046" i="3" s="1"/>
  <c r="Q1047" i="3"/>
  <c r="R1047" i="3" s="1"/>
  <c r="Q1048" i="3"/>
  <c r="R1048" i="3" s="1"/>
  <c r="Q1049" i="3"/>
  <c r="R1049" i="3" s="1"/>
  <c r="Q1050" i="3"/>
  <c r="R1050" i="3" s="1"/>
  <c r="Q1051" i="3"/>
  <c r="R1051" i="3" s="1"/>
  <c r="Q1052" i="3"/>
  <c r="R1052" i="3" s="1"/>
  <c r="Q1053" i="3"/>
  <c r="R1053" i="3" s="1"/>
  <c r="Q1054" i="3"/>
  <c r="R1054" i="3" s="1"/>
  <c r="Q1055" i="3"/>
  <c r="R1055" i="3" s="1"/>
  <c r="Q1056" i="3"/>
  <c r="R1056" i="3" s="1"/>
  <c r="Q1057" i="3"/>
  <c r="R1057" i="3" s="1"/>
  <c r="Q1058" i="3"/>
  <c r="R1058" i="3" s="1"/>
  <c r="Q1059" i="3"/>
  <c r="R1059" i="3" s="1"/>
  <c r="Q1060" i="3"/>
  <c r="R1060" i="3" s="1"/>
  <c r="Q1061" i="3"/>
  <c r="R1061" i="3" s="1"/>
  <c r="Q1062" i="3"/>
  <c r="R1062" i="3" s="1"/>
  <c r="Q1063" i="3"/>
  <c r="R1063" i="3" s="1"/>
  <c r="Q1064" i="3"/>
  <c r="R1064" i="3" s="1"/>
  <c r="Q1065" i="3"/>
  <c r="R1065" i="3" s="1"/>
  <c r="Q1066" i="3"/>
  <c r="R1066" i="3" s="1"/>
  <c r="Q1067" i="3"/>
  <c r="R1067" i="3" s="1"/>
  <c r="Q1068" i="3"/>
  <c r="R1068" i="3" s="1"/>
  <c r="Q1069" i="3"/>
  <c r="R1069" i="3" s="1"/>
  <c r="Q1070" i="3"/>
  <c r="R1070" i="3" s="1"/>
  <c r="Q1071" i="3"/>
  <c r="R1071" i="3" s="1"/>
  <c r="Q1072" i="3"/>
  <c r="R1072" i="3" s="1"/>
  <c r="Q1073" i="3"/>
  <c r="R1073" i="3" s="1"/>
  <c r="Q1074" i="3"/>
  <c r="R1074" i="3" s="1"/>
  <c r="Q1075" i="3"/>
  <c r="R1075" i="3" s="1"/>
  <c r="Q1076" i="3"/>
  <c r="R1076" i="3" s="1"/>
  <c r="Q1077" i="3"/>
  <c r="R1077" i="3" s="1"/>
  <c r="Q1078" i="3"/>
  <c r="R1078" i="3" s="1"/>
  <c r="Q1079" i="3"/>
  <c r="R1079" i="3" s="1"/>
  <c r="Q1080" i="3"/>
  <c r="R1080" i="3" s="1"/>
  <c r="Q1081" i="3"/>
  <c r="R1081" i="3" s="1"/>
  <c r="Q1082" i="3"/>
  <c r="R1082" i="3" s="1"/>
  <c r="Q1083" i="3"/>
  <c r="R1083" i="3" s="1"/>
  <c r="Q1084" i="3"/>
  <c r="R1084" i="3" s="1"/>
  <c r="Q1085" i="3"/>
  <c r="R1085" i="3" s="1"/>
  <c r="Q1086" i="3"/>
  <c r="R1086" i="3" s="1"/>
  <c r="Q1087" i="3"/>
  <c r="R1087" i="3" s="1"/>
  <c r="Q1088" i="3"/>
  <c r="R1088" i="3" s="1"/>
  <c r="Q1089" i="3"/>
  <c r="R1089" i="3" s="1"/>
  <c r="Q1090" i="3"/>
  <c r="R1090" i="3" s="1"/>
  <c r="Q1091" i="3"/>
  <c r="R1091" i="3" s="1"/>
  <c r="Q1092" i="3"/>
  <c r="R1092" i="3" s="1"/>
  <c r="Q1093" i="3"/>
  <c r="R1093" i="3" s="1"/>
  <c r="Q1094" i="3"/>
  <c r="R1094" i="3" s="1"/>
  <c r="Q1095" i="3"/>
  <c r="R1095" i="3" s="1"/>
  <c r="Q1096" i="3"/>
  <c r="R1096" i="3" s="1"/>
  <c r="Q1097" i="3"/>
  <c r="R1097" i="3" s="1"/>
  <c r="Q1098" i="3"/>
  <c r="R1098" i="3" s="1"/>
  <c r="Q1099" i="3"/>
  <c r="R1099" i="3" s="1"/>
  <c r="Q1100" i="3"/>
  <c r="R1100" i="3" s="1"/>
  <c r="Q1101" i="3"/>
  <c r="R1101" i="3" s="1"/>
  <c r="Q1102" i="3"/>
  <c r="R1102" i="3" s="1"/>
  <c r="Q1103" i="3"/>
  <c r="R1103" i="3" s="1"/>
  <c r="Q1104" i="3"/>
  <c r="R1104" i="3" s="1"/>
  <c r="Q1105" i="3"/>
  <c r="R1105" i="3" s="1"/>
  <c r="Q1106" i="3"/>
  <c r="R1106" i="3" s="1"/>
  <c r="Q1107" i="3"/>
  <c r="R1107" i="3" s="1"/>
  <c r="Q1108" i="3"/>
  <c r="R1108" i="3" s="1"/>
  <c r="Q1109" i="3"/>
  <c r="R1109" i="3" s="1"/>
  <c r="Q1110" i="3"/>
  <c r="R1110" i="3" s="1"/>
  <c r="Q1111" i="3"/>
  <c r="R1111" i="3" s="1"/>
  <c r="Q1112" i="3"/>
  <c r="R1112" i="3" s="1"/>
  <c r="Q1113" i="3"/>
  <c r="R1113" i="3" s="1"/>
  <c r="Q1114" i="3"/>
  <c r="R1114" i="3" s="1"/>
  <c r="Q1115" i="3"/>
  <c r="R1115" i="3" s="1"/>
  <c r="Q1116" i="3"/>
  <c r="R1116" i="3" s="1"/>
  <c r="Q1117" i="3"/>
  <c r="R1117" i="3" s="1"/>
  <c r="Q1118" i="3"/>
  <c r="R1118" i="3" s="1"/>
  <c r="Q1119" i="3"/>
  <c r="R1119" i="3" s="1"/>
  <c r="Q1120" i="3"/>
  <c r="R1120" i="3" s="1"/>
  <c r="Q1121" i="3"/>
  <c r="R1121" i="3" s="1"/>
  <c r="Q1122" i="3"/>
  <c r="R1122" i="3" s="1"/>
  <c r="Q1123" i="3"/>
  <c r="R1123" i="3" s="1"/>
  <c r="Q1124" i="3"/>
  <c r="R1124" i="3" s="1"/>
  <c r="Q1125" i="3"/>
  <c r="R1125" i="3" s="1"/>
  <c r="Q1126" i="3"/>
  <c r="R1126" i="3" s="1"/>
  <c r="Q1127" i="3"/>
  <c r="R1127" i="3" s="1"/>
  <c r="Q1128" i="3"/>
  <c r="R1128" i="3" s="1"/>
  <c r="Q1129" i="3"/>
  <c r="R1129" i="3" s="1"/>
  <c r="Q1130" i="3"/>
  <c r="R1130" i="3" s="1"/>
  <c r="Q1131" i="3"/>
  <c r="R1131" i="3" s="1"/>
  <c r="Q1132" i="3"/>
  <c r="R1132" i="3" s="1"/>
  <c r="Q1133" i="3"/>
  <c r="R1133" i="3" s="1"/>
  <c r="Q1134" i="3"/>
  <c r="R1134" i="3" s="1"/>
  <c r="Q1135" i="3"/>
  <c r="R1135" i="3" s="1"/>
  <c r="Q1136" i="3"/>
  <c r="R1136" i="3" s="1"/>
  <c r="Q1137" i="3"/>
  <c r="R1137" i="3" s="1"/>
  <c r="Q1138" i="3"/>
  <c r="R1138" i="3" s="1"/>
  <c r="Q1139" i="3"/>
  <c r="R1139" i="3" s="1"/>
  <c r="Q1140" i="3"/>
  <c r="R1140" i="3" s="1"/>
  <c r="Q1141" i="3"/>
  <c r="R1141" i="3" s="1"/>
  <c r="Q1142" i="3"/>
  <c r="R1142" i="3" s="1"/>
  <c r="Q1143" i="3"/>
  <c r="R1143" i="3" s="1"/>
  <c r="Q1144" i="3"/>
  <c r="R1144" i="3" s="1"/>
  <c r="Q1145" i="3"/>
  <c r="R1145" i="3" s="1"/>
  <c r="Q1146" i="3"/>
  <c r="R1146" i="3" s="1"/>
  <c r="Q1147" i="3"/>
  <c r="R1147" i="3" s="1"/>
  <c r="Q1148" i="3"/>
  <c r="R1148" i="3" s="1"/>
  <c r="Q1149" i="3"/>
  <c r="R1149" i="3" s="1"/>
  <c r="Q1150" i="3"/>
  <c r="R1150" i="3" s="1"/>
  <c r="Q1151" i="3"/>
  <c r="R1151" i="3" s="1"/>
  <c r="Q1152" i="3"/>
  <c r="R1152" i="3" s="1"/>
  <c r="Q1153" i="3"/>
  <c r="R1153" i="3" s="1"/>
  <c r="Q1154" i="3"/>
  <c r="R1154" i="3" s="1"/>
  <c r="Q1155" i="3"/>
  <c r="R1155" i="3" s="1"/>
  <c r="Q1156" i="3"/>
  <c r="R1156" i="3" s="1"/>
  <c r="Q1157" i="3"/>
  <c r="R1157" i="3" s="1"/>
  <c r="Q1158" i="3"/>
  <c r="R1158" i="3" s="1"/>
  <c r="Q1159" i="3"/>
  <c r="R1159" i="3" s="1"/>
  <c r="Q1160" i="3"/>
  <c r="R1160" i="3" s="1"/>
  <c r="Q1161" i="3"/>
  <c r="R1161" i="3" s="1"/>
  <c r="Q1162" i="3"/>
  <c r="R1162" i="3" s="1"/>
  <c r="Q1163" i="3"/>
  <c r="R1163" i="3" s="1"/>
  <c r="Q1164" i="3"/>
  <c r="R1164" i="3" s="1"/>
  <c r="Q1165" i="3"/>
  <c r="R1165" i="3" s="1"/>
  <c r="Q1166" i="3"/>
  <c r="R1166" i="3" s="1"/>
  <c r="Q1167" i="3"/>
  <c r="R1167" i="3" s="1"/>
  <c r="Q1168" i="3"/>
  <c r="R1168" i="3" s="1"/>
  <c r="Q1169" i="3"/>
  <c r="R1169" i="3" s="1"/>
  <c r="Q1170" i="3"/>
  <c r="R1170" i="3" s="1"/>
  <c r="Q1171" i="3"/>
  <c r="R1171" i="3" s="1"/>
  <c r="Q1172" i="3"/>
  <c r="R1172" i="3" s="1"/>
  <c r="Q1173" i="3"/>
  <c r="R1173" i="3" s="1"/>
  <c r="Q1174" i="3"/>
  <c r="R1174" i="3" s="1"/>
  <c r="Q1175" i="3"/>
  <c r="R1175" i="3" s="1"/>
  <c r="Q1176" i="3"/>
  <c r="R1176" i="3" s="1"/>
  <c r="Q1177" i="3"/>
  <c r="R1177" i="3" s="1"/>
  <c r="Q1178" i="3"/>
  <c r="R1178" i="3" s="1"/>
  <c r="Q1179" i="3"/>
  <c r="R1179" i="3" s="1"/>
  <c r="Q1180" i="3"/>
  <c r="R1180" i="3" s="1"/>
  <c r="Q1181" i="3"/>
  <c r="R1181" i="3" s="1"/>
  <c r="Q1182" i="3"/>
  <c r="R1182" i="3" s="1"/>
  <c r="Q1183" i="3"/>
  <c r="R1183" i="3" s="1"/>
  <c r="Q1184" i="3"/>
  <c r="R1184" i="3" s="1"/>
  <c r="Q1185" i="3"/>
  <c r="R1185" i="3" s="1"/>
  <c r="Q1186" i="3"/>
  <c r="R1186" i="3" s="1"/>
  <c r="Q1187" i="3"/>
  <c r="R1187" i="3" s="1"/>
  <c r="Q1188" i="3"/>
  <c r="R1188" i="3" s="1"/>
  <c r="Q1189" i="3"/>
  <c r="R1189" i="3" s="1"/>
  <c r="Q1190" i="3"/>
  <c r="R1190" i="3" s="1"/>
  <c r="Q1191" i="3"/>
  <c r="R1191" i="3" s="1"/>
  <c r="Q1192" i="3"/>
  <c r="R1192" i="3" s="1"/>
  <c r="Q1193" i="3"/>
  <c r="R1193" i="3" s="1"/>
  <c r="Q1194" i="3"/>
  <c r="R1194" i="3" s="1"/>
  <c r="Q1195" i="3"/>
  <c r="R1195" i="3" s="1"/>
  <c r="Q1196" i="3"/>
  <c r="R1196" i="3" s="1"/>
  <c r="Q1197" i="3"/>
  <c r="R1197" i="3" s="1"/>
  <c r="Q1198" i="3"/>
  <c r="R1198" i="3" s="1"/>
  <c r="Q1199" i="3"/>
  <c r="R1199" i="3" s="1"/>
  <c r="Q1200" i="3"/>
  <c r="R1200" i="3" s="1"/>
  <c r="Q1201" i="3"/>
  <c r="R1201" i="3" s="1"/>
  <c r="Q1202" i="3"/>
  <c r="R1202" i="3" s="1"/>
  <c r="Q1203" i="3"/>
  <c r="R1203" i="3" s="1"/>
  <c r="Q1204" i="3"/>
  <c r="R1204" i="3" s="1"/>
  <c r="Q1205" i="3"/>
  <c r="R1205" i="3" s="1"/>
  <c r="Q1206" i="3"/>
  <c r="R1206" i="3" s="1"/>
  <c r="Q1207" i="3"/>
  <c r="R1207" i="3" s="1"/>
  <c r="Q1208" i="3"/>
  <c r="R1208" i="3" s="1"/>
  <c r="Q1209" i="3"/>
  <c r="R1209" i="3" s="1"/>
  <c r="Q1210" i="3"/>
  <c r="R1210" i="3" s="1"/>
  <c r="Q1211" i="3"/>
  <c r="R1211" i="3" s="1"/>
  <c r="Q1212" i="3"/>
  <c r="R1212" i="3" s="1"/>
  <c r="Q1213" i="3"/>
  <c r="R1213" i="3" s="1"/>
  <c r="Q1214" i="3"/>
  <c r="R1214" i="3" s="1"/>
  <c r="Q1215" i="3"/>
  <c r="R1215" i="3" s="1"/>
  <c r="Q1216" i="3"/>
  <c r="R1216" i="3" s="1"/>
  <c r="Q1217" i="3"/>
  <c r="R1217" i="3" s="1"/>
  <c r="Q1218" i="3"/>
  <c r="R1218" i="3" s="1"/>
  <c r="Q1219" i="3"/>
  <c r="R1219" i="3" s="1"/>
  <c r="Q1220" i="3"/>
  <c r="R1220" i="3" s="1"/>
  <c r="Q1221" i="3"/>
  <c r="R1221" i="3" s="1"/>
  <c r="Q1222" i="3"/>
  <c r="R1222" i="3" s="1"/>
  <c r="Q1223" i="3"/>
  <c r="R1223" i="3" s="1"/>
  <c r="Q1224" i="3"/>
  <c r="R1224" i="3" s="1"/>
  <c r="Q1225" i="3"/>
  <c r="R1225" i="3" s="1"/>
  <c r="Q1226" i="3"/>
  <c r="R1226" i="3" s="1"/>
  <c r="Q1227" i="3"/>
  <c r="R1227" i="3" s="1"/>
  <c r="Q1228" i="3"/>
  <c r="R1228" i="3" s="1"/>
  <c r="Q1229" i="3"/>
  <c r="R1229" i="3" s="1"/>
  <c r="Q1230" i="3"/>
  <c r="R1230" i="3" s="1"/>
  <c r="Q1231" i="3"/>
  <c r="R1231" i="3" s="1"/>
  <c r="Q1232" i="3"/>
  <c r="R1232" i="3" s="1"/>
  <c r="Q1233" i="3"/>
  <c r="R1233" i="3" s="1"/>
  <c r="Q1234" i="3"/>
  <c r="R1234" i="3" s="1"/>
  <c r="Q1235" i="3"/>
  <c r="R1235" i="3" s="1"/>
  <c r="Q1236" i="3"/>
  <c r="R1236" i="3" s="1"/>
  <c r="Q1237" i="3"/>
  <c r="R1237" i="3" s="1"/>
  <c r="Q1238" i="3"/>
  <c r="R1238" i="3" s="1"/>
  <c r="Q1239" i="3"/>
  <c r="R1239" i="3" s="1"/>
  <c r="Q1240" i="3"/>
  <c r="R1240" i="3" s="1"/>
  <c r="Q1241" i="3"/>
  <c r="R1241" i="3" s="1"/>
  <c r="Q1242" i="3"/>
  <c r="R1242" i="3" s="1"/>
  <c r="Q1243" i="3"/>
  <c r="R1243" i="3" s="1"/>
  <c r="Q1244" i="3"/>
  <c r="R1244" i="3" s="1"/>
  <c r="Q1245" i="3"/>
  <c r="R1245" i="3" s="1"/>
  <c r="Q1246" i="3"/>
  <c r="R1246" i="3" s="1"/>
  <c r="Q1247" i="3"/>
  <c r="R1247" i="3" s="1"/>
  <c r="Q1248" i="3"/>
  <c r="R1248" i="3" s="1"/>
  <c r="Q1249" i="3"/>
  <c r="R1249" i="3" s="1"/>
  <c r="Q1250" i="3"/>
  <c r="R1250" i="3" s="1"/>
  <c r="Q1251" i="3"/>
  <c r="R1251" i="3" s="1"/>
  <c r="Q1252" i="3"/>
  <c r="R1252" i="3" s="1"/>
  <c r="Q1253" i="3"/>
  <c r="R1253" i="3" s="1"/>
  <c r="Q1254" i="3"/>
  <c r="R1254" i="3" s="1"/>
  <c r="Q1255" i="3"/>
  <c r="R1255" i="3" s="1"/>
  <c r="Q1256" i="3"/>
  <c r="R1256" i="3" s="1"/>
  <c r="Q1257" i="3"/>
  <c r="R1257" i="3" s="1"/>
  <c r="Q1258" i="3"/>
  <c r="R1258" i="3" s="1"/>
  <c r="Q1259" i="3"/>
  <c r="R1259" i="3" s="1"/>
  <c r="Q1260" i="3"/>
  <c r="R1260" i="3" s="1"/>
  <c r="Q1261" i="3"/>
  <c r="R1261" i="3" s="1"/>
  <c r="Q1262" i="3"/>
  <c r="R1262" i="3" s="1"/>
  <c r="Q1263" i="3"/>
  <c r="R1263" i="3" s="1"/>
  <c r="Q1264" i="3"/>
  <c r="R1264" i="3" s="1"/>
  <c r="Q1265" i="3"/>
  <c r="R1265" i="3" s="1"/>
  <c r="Q1266" i="3"/>
  <c r="R1266" i="3" s="1"/>
  <c r="Q1267" i="3"/>
  <c r="R1267" i="3" s="1"/>
  <c r="Q1268" i="3"/>
  <c r="R1268" i="3" s="1"/>
  <c r="Q1269" i="3"/>
  <c r="R1269" i="3" s="1"/>
  <c r="Q1270" i="3"/>
  <c r="R1270" i="3" s="1"/>
  <c r="Q1271" i="3"/>
  <c r="R1271" i="3" s="1"/>
  <c r="Q1272" i="3"/>
  <c r="R1272" i="3" s="1"/>
  <c r="Q1273" i="3"/>
  <c r="R1273" i="3" s="1"/>
  <c r="Q1274" i="3"/>
  <c r="R1274" i="3" s="1"/>
  <c r="Q1275" i="3"/>
  <c r="R1275" i="3" s="1"/>
  <c r="Q1276" i="3"/>
  <c r="R1276" i="3" s="1"/>
  <c r="Q1277" i="3"/>
  <c r="R1277" i="3" s="1"/>
  <c r="Q1278" i="3"/>
  <c r="R1278" i="3" s="1"/>
  <c r="Q1279" i="3"/>
  <c r="R1279" i="3" s="1"/>
  <c r="Q1280" i="3"/>
  <c r="R1280" i="3" s="1"/>
  <c r="Q1281" i="3"/>
  <c r="R1281" i="3" s="1"/>
  <c r="Q1282" i="3"/>
  <c r="R1282" i="3" s="1"/>
  <c r="Q1283" i="3"/>
  <c r="R1283" i="3" s="1"/>
  <c r="Q1284" i="3"/>
  <c r="R1284" i="3" s="1"/>
  <c r="Q1285" i="3"/>
  <c r="R1285" i="3" s="1"/>
  <c r="Q1286" i="3"/>
  <c r="R1286" i="3" s="1"/>
  <c r="Q1287" i="3"/>
  <c r="R1287" i="3" s="1"/>
  <c r="Q1288" i="3"/>
  <c r="R1288" i="3" s="1"/>
  <c r="Q1289" i="3"/>
  <c r="R1289" i="3" s="1"/>
  <c r="Q1290" i="3"/>
  <c r="R1290" i="3" s="1"/>
  <c r="Q1291" i="3"/>
  <c r="R1291" i="3" s="1"/>
  <c r="Q1292" i="3"/>
  <c r="R1292" i="3" s="1"/>
  <c r="Q1293" i="3"/>
  <c r="R1293" i="3" s="1"/>
  <c r="Q1294" i="3"/>
  <c r="R1294" i="3" s="1"/>
  <c r="Q1295" i="3"/>
  <c r="R1295" i="3" s="1"/>
  <c r="Q1296" i="3"/>
  <c r="R1296" i="3" s="1"/>
  <c r="Q1297" i="3"/>
  <c r="R1297" i="3" s="1"/>
  <c r="Q1298" i="3"/>
  <c r="R1298" i="3" s="1"/>
  <c r="Q1299" i="3"/>
  <c r="R1299" i="3" s="1"/>
  <c r="Q1300" i="3"/>
  <c r="R1300" i="3" s="1"/>
  <c r="Q1301" i="3"/>
  <c r="R1301" i="3" s="1"/>
  <c r="Q1302" i="3"/>
  <c r="R1302" i="3" s="1"/>
  <c r="Q1303" i="3"/>
  <c r="R1303" i="3" s="1"/>
  <c r="Q1304" i="3"/>
  <c r="R1304" i="3" s="1"/>
  <c r="Q1305" i="3"/>
  <c r="R1305" i="3" s="1"/>
  <c r="Q1306" i="3"/>
  <c r="R1306" i="3" s="1"/>
  <c r="Q1307" i="3"/>
  <c r="R1307" i="3" s="1"/>
  <c r="Q1308" i="3"/>
  <c r="R1308" i="3" s="1"/>
  <c r="Q1309" i="3"/>
  <c r="R1309" i="3" s="1"/>
  <c r="Q1310" i="3"/>
  <c r="R1310" i="3" s="1"/>
  <c r="Q1311" i="3"/>
  <c r="R1311" i="3" s="1"/>
  <c r="Q1312" i="3"/>
  <c r="R1312" i="3" s="1"/>
  <c r="Q1313" i="3"/>
  <c r="R1313" i="3" s="1"/>
  <c r="Q1314" i="3"/>
  <c r="R1314" i="3" s="1"/>
  <c r="Q1315" i="3"/>
  <c r="R1315" i="3" s="1"/>
  <c r="Q1316" i="3"/>
  <c r="R1316" i="3" s="1"/>
  <c r="Q1317" i="3"/>
  <c r="R1317" i="3" s="1"/>
  <c r="Q1318" i="3"/>
  <c r="R1318" i="3" s="1"/>
  <c r="Q1319" i="3"/>
  <c r="R1319" i="3" s="1"/>
  <c r="Q1320" i="3"/>
  <c r="R1320" i="3" s="1"/>
  <c r="Q1321" i="3"/>
  <c r="R1321" i="3" s="1"/>
  <c r="Q1322" i="3"/>
  <c r="R1322" i="3" s="1"/>
  <c r="Q1323" i="3"/>
  <c r="R1323" i="3" s="1"/>
  <c r="Q1324" i="3"/>
  <c r="R1324" i="3" s="1"/>
  <c r="Q1325" i="3"/>
  <c r="R1325" i="3" s="1"/>
  <c r="Q1326" i="3"/>
  <c r="R1326" i="3" s="1"/>
  <c r="Q1327" i="3"/>
  <c r="R1327" i="3" s="1"/>
  <c r="Q1328" i="3"/>
  <c r="R1328" i="3" s="1"/>
  <c r="Q1329" i="3"/>
  <c r="R1329" i="3" s="1"/>
  <c r="Q1330" i="3"/>
  <c r="R1330" i="3" s="1"/>
  <c r="Q1331" i="3"/>
  <c r="R1331" i="3" s="1"/>
  <c r="Q1332" i="3"/>
  <c r="R1332" i="3" s="1"/>
  <c r="Q1333" i="3"/>
  <c r="R1333" i="3" s="1"/>
  <c r="Q1334" i="3"/>
  <c r="R1334" i="3" s="1"/>
  <c r="Q1335" i="3"/>
  <c r="R1335" i="3" s="1"/>
  <c r="Q1336" i="3"/>
  <c r="R1336" i="3" s="1"/>
  <c r="Q1337" i="3"/>
  <c r="R1337" i="3" s="1"/>
  <c r="Q1338" i="3"/>
  <c r="R1338" i="3" s="1"/>
  <c r="Q1339" i="3"/>
  <c r="R1339" i="3" s="1"/>
  <c r="Q1340" i="3"/>
  <c r="R1340" i="3" s="1"/>
  <c r="Q1341" i="3"/>
  <c r="R1341" i="3" s="1"/>
  <c r="Q1342" i="3"/>
  <c r="R1342" i="3" s="1"/>
  <c r="Q1343" i="3"/>
  <c r="R1343" i="3" s="1"/>
  <c r="Q1344" i="3"/>
  <c r="R1344" i="3" s="1"/>
  <c r="Q1345" i="3"/>
  <c r="R1345" i="3" s="1"/>
  <c r="Q1346" i="3"/>
  <c r="R1346" i="3" s="1"/>
  <c r="Q1347" i="3"/>
  <c r="R1347" i="3" s="1"/>
  <c r="Q1348" i="3"/>
  <c r="R1348" i="3" s="1"/>
  <c r="Q1349" i="3"/>
  <c r="R1349" i="3" s="1"/>
  <c r="Q1350" i="3"/>
  <c r="R1350" i="3" s="1"/>
  <c r="Q1351" i="3"/>
  <c r="R1351" i="3" s="1"/>
  <c r="Q1352" i="3"/>
  <c r="R1352" i="3" s="1"/>
  <c r="Q1353" i="3"/>
  <c r="R1353" i="3" s="1"/>
  <c r="Q1354" i="3"/>
  <c r="R1354" i="3" s="1"/>
  <c r="Q1355" i="3"/>
  <c r="R1355" i="3" s="1"/>
  <c r="Q1356" i="3"/>
  <c r="R1356" i="3" s="1"/>
  <c r="Q1357" i="3"/>
  <c r="R1357" i="3" s="1"/>
  <c r="Q1358" i="3"/>
  <c r="R1358" i="3" s="1"/>
  <c r="Q1359" i="3"/>
  <c r="R1359" i="3" s="1"/>
  <c r="Q1360" i="3"/>
  <c r="R1360" i="3" s="1"/>
  <c r="Q1361" i="3"/>
  <c r="R1361" i="3" s="1"/>
  <c r="Q1362" i="3"/>
  <c r="R1362" i="3" s="1"/>
  <c r="Q1363" i="3"/>
  <c r="R1363" i="3" s="1"/>
  <c r="Q1364" i="3"/>
  <c r="R1364" i="3" s="1"/>
  <c r="Q1365" i="3"/>
  <c r="R1365" i="3" s="1"/>
  <c r="Q1366" i="3"/>
  <c r="R1366" i="3" s="1"/>
  <c r="Q1367" i="3"/>
  <c r="R1367" i="3" s="1"/>
  <c r="Q1368" i="3"/>
  <c r="R1368" i="3" s="1"/>
  <c r="Q1369" i="3"/>
  <c r="R1369" i="3" s="1"/>
  <c r="Q1370" i="3"/>
  <c r="R1370" i="3" s="1"/>
  <c r="Q1371" i="3"/>
  <c r="R1371" i="3" s="1"/>
  <c r="Q1372" i="3"/>
  <c r="R1372" i="3" s="1"/>
  <c r="Q1373" i="3"/>
  <c r="R1373" i="3" s="1"/>
  <c r="Q1374" i="3"/>
  <c r="R1374" i="3" s="1"/>
  <c r="Q1375" i="3"/>
  <c r="R1375" i="3" s="1"/>
  <c r="Q1376" i="3"/>
  <c r="R1376" i="3" s="1"/>
  <c r="Q1377" i="3"/>
  <c r="R1377" i="3" s="1"/>
  <c r="Q1378" i="3"/>
  <c r="R1378" i="3" s="1"/>
  <c r="Q1379" i="3"/>
  <c r="R1379" i="3" s="1"/>
  <c r="Q1380" i="3"/>
  <c r="R1380" i="3" s="1"/>
  <c r="Q1381" i="3"/>
  <c r="R1381" i="3" s="1"/>
  <c r="Q1382" i="3"/>
  <c r="R1382" i="3" s="1"/>
  <c r="Q1383" i="3"/>
  <c r="R1383" i="3" s="1"/>
  <c r="Q1384" i="3"/>
  <c r="R1384" i="3" s="1"/>
  <c r="Q1385" i="3"/>
  <c r="R1385" i="3" s="1"/>
  <c r="Q1386" i="3"/>
  <c r="R1386" i="3" s="1"/>
  <c r="Q1387" i="3"/>
  <c r="R1387" i="3" s="1"/>
  <c r="Q1388" i="3"/>
  <c r="R1388" i="3" s="1"/>
  <c r="Q1389" i="3"/>
  <c r="R1389" i="3" s="1"/>
  <c r="Q1390" i="3"/>
  <c r="R1390" i="3" s="1"/>
  <c r="Q1391" i="3"/>
  <c r="R1391" i="3" s="1"/>
  <c r="Q1392" i="3"/>
  <c r="R1392" i="3" s="1"/>
  <c r="Q1393" i="3"/>
  <c r="R1393" i="3" s="1"/>
  <c r="Q1394" i="3"/>
  <c r="R1394" i="3" s="1"/>
  <c r="Q1395" i="3"/>
  <c r="R1395" i="3" s="1"/>
  <c r="Q1396" i="3"/>
  <c r="R1396" i="3" s="1"/>
  <c r="Q1397" i="3"/>
  <c r="R1397" i="3" s="1"/>
  <c r="Q1398" i="3"/>
  <c r="R1398" i="3" s="1"/>
  <c r="Q1399" i="3"/>
  <c r="R1399" i="3" s="1"/>
  <c r="Q1400" i="3"/>
  <c r="R1400" i="3" s="1"/>
  <c r="Q1401" i="3"/>
  <c r="R1401" i="3" s="1"/>
  <c r="Q1402" i="3"/>
  <c r="R1402" i="3" s="1"/>
  <c r="Q1403" i="3"/>
  <c r="R1403" i="3" s="1"/>
  <c r="Q1404" i="3"/>
  <c r="R1404" i="3" s="1"/>
  <c r="Q1405" i="3"/>
  <c r="R1405" i="3" s="1"/>
  <c r="Q1406" i="3"/>
  <c r="R1406" i="3" s="1"/>
  <c r="Q1407" i="3"/>
  <c r="R1407" i="3" s="1"/>
  <c r="Q1408" i="3"/>
  <c r="R1408" i="3" s="1"/>
  <c r="Q1409" i="3"/>
  <c r="R1409" i="3" s="1"/>
  <c r="Q1410" i="3"/>
  <c r="R1410" i="3" s="1"/>
  <c r="Q1411" i="3"/>
  <c r="R1411" i="3" s="1"/>
  <c r="Q1412" i="3"/>
  <c r="R1412" i="3" s="1"/>
  <c r="Q1413" i="3"/>
  <c r="R1413" i="3" s="1"/>
  <c r="Q1414" i="3"/>
  <c r="R1414" i="3" s="1"/>
  <c r="Q1415" i="3"/>
  <c r="R1415" i="3" s="1"/>
  <c r="Q1416" i="3"/>
  <c r="R1416" i="3" s="1"/>
  <c r="Q1417" i="3"/>
  <c r="R1417" i="3" s="1"/>
  <c r="Q1418" i="3"/>
  <c r="R1418" i="3" s="1"/>
  <c r="Q1419" i="3"/>
  <c r="R1419" i="3" s="1"/>
  <c r="Q1420" i="3"/>
  <c r="R1420" i="3" s="1"/>
  <c r="Q1421" i="3"/>
  <c r="R1421" i="3" s="1"/>
  <c r="Q1422" i="3"/>
  <c r="R1422" i="3" s="1"/>
  <c r="Q1423" i="3"/>
  <c r="R1423" i="3" s="1"/>
  <c r="Q1424" i="3"/>
  <c r="R1424" i="3" s="1"/>
  <c r="Q1425" i="3"/>
  <c r="R1425" i="3" s="1"/>
  <c r="Q1426" i="3"/>
  <c r="R1426" i="3" s="1"/>
  <c r="Q1427" i="3"/>
  <c r="R1427" i="3" s="1"/>
  <c r="Q1428" i="3"/>
  <c r="R1428" i="3" s="1"/>
  <c r="Q1429" i="3"/>
  <c r="R1429" i="3" s="1"/>
  <c r="Q1430" i="3"/>
  <c r="R1430" i="3" s="1"/>
  <c r="Q1431" i="3"/>
  <c r="R1431" i="3" s="1"/>
  <c r="Q1432" i="3"/>
  <c r="R1432" i="3" s="1"/>
  <c r="Q1433" i="3"/>
  <c r="R1433" i="3" s="1"/>
  <c r="Q1434" i="3"/>
  <c r="R1434" i="3" s="1"/>
  <c r="Q1435" i="3"/>
  <c r="R1435" i="3" s="1"/>
  <c r="Q1436" i="3"/>
  <c r="R1436" i="3" s="1"/>
  <c r="Q1437" i="3"/>
  <c r="R1437" i="3" s="1"/>
  <c r="Q1438" i="3"/>
  <c r="R1438" i="3" s="1"/>
  <c r="Q1439" i="3"/>
  <c r="R1439" i="3" s="1"/>
  <c r="Q1440" i="3"/>
  <c r="R1440" i="3" s="1"/>
  <c r="Q1441" i="3"/>
  <c r="R1441" i="3" s="1"/>
  <c r="Q1442" i="3"/>
  <c r="R1442" i="3" s="1"/>
  <c r="Q1443" i="3"/>
  <c r="R1443" i="3" s="1"/>
  <c r="Q1444" i="3"/>
  <c r="R1444" i="3" s="1"/>
  <c r="Q1445" i="3"/>
  <c r="R1445" i="3" s="1"/>
  <c r="Q1446" i="3"/>
  <c r="R1446" i="3" s="1"/>
  <c r="Q1447" i="3"/>
  <c r="R1447" i="3" s="1"/>
  <c r="Q1448" i="3"/>
  <c r="R1448" i="3" s="1"/>
  <c r="Q1449" i="3"/>
  <c r="R1449" i="3" s="1"/>
  <c r="Q1450" i="3"/>
  <c r="R1450" i="3" s="1"/>
  <c r="Q1451" i="3"/>
  <c r="R1451" i="3" s="1"/>
  <c r="Q1452" i="3"/>
  <c r="R1452" i="3" s="1"/>
  <c r="Q1453" i="3"/>
  <c r="R1453" i="3" s="1"/>
  <c r="Q1454" i="3"/>
  <c r="R1454" i="3" s="1"/>
  <c r="Q1455" i="3"/>
  <c r="R1455" i="3" s="1"/>
  <c r="Q1456" i="3"/>
  <c r="R1456" i="3" s="1"/>
  <c r="Q1457" i="3"/>
  <c r="R1457" i="3" s="1"/>
  <c r="Q1458" i="3"/>
  <c r="R1458" i="3" s="1"/>
  <c r="Q1459" i="3"/>
  <c r="R1459" i="3" s="1"/>
  <c r="Q1460" i="3"/>
  <c r="R1460" i="3" s="1"/>
  <c r="Q1461" i="3"/>
  <c r="R1461" i="3" s="1"/>
  <c r="Q1462" i="3"/>
  <c r="R1462" i="3" s="1"/>
  <c r="Q1463" i="3"/>
  <c r="R1463" i="3" s="1"/>
  <c r="Q1464" i="3"/>
  <c r="R1464" i="3" s="1"/>
  <c r="Q1465" i="3"/>
  <c r="R1465" i="3" s="1"/>
  <c r="Q1466" i="3"/>
  <c r="R1466" i="3" s="1"/>
  <c r="Q1467" i="3"/>
  <c r="R1467" i="3" s="1"/>
  <c r="Q1468" i="3"/>
  <c r="R1468" i="3" s="1"/>
  <c r="Q1469" i="3"/>
  <c r="R1469" i="3" s="1"/>
  <c r="Q1470" i="3"/>
  <c r="R1470" i="3" s="1"/>
  <c r="Q1471" i="3"/>
  <c r="R1471" i="3" s="1"/>
  <c r="Q1472" i="3"/>
  <c r="R1472" i="3" s="1"/>
  <c r="Q1473" i="3"/>
  <c r="R1473" i="3" s="1"/>
  <c r="Q1474" i="3"/>
  <c r="R1474" i="3" s="1"/>
  <c r="Q1475" i="3"/>
  <c r="R1475" i="3" s="1"/>
  <c r="Q13" i="3"/>
  <c r="R13" i="3" s="1"/>
  <c r="L10" i="3"/>
  <c r="M4" i="3"/>
  <c r="M5" i="3"/>
  <c r="M6" i="3"/>
  <c r="M7" i="3"/>
  <c r="M8" i="3"/>
  <c r="M9" i="3"/>
  <c r="M3" i="3"/>
  <c r="V84" i="3" l="1"/>
  <c r="V13" i="3"/>
  <c r="V203" i="3"/>
  <c r="V195" i="3"/>
  <c r="V100" i="3"/>
  <c r="W273" i="3"/>
  <c r="V273" i="3"/>
  <c r="W234" i="3"/>
  <c r="V234" i="3"/>
  <c r="X381" i="3"/>
  <c r="V381" i="3"/>
  <c r="X516" i="3"/>
  <c r="V516" i="3"/>
  <c r="X984" i="3"/>
  <c r="V984" i="3"/>
  <c r="V116" i="3"/>
  <c r="X438" i="3"/>
  <c r="V438" i="3"/>
  <c r="W249" i="3"/>
  <c r="V249" i="3"/>
  <c r="X277" i="3"/>
  <c r="V277" i="3"/>
  <c r="X398" i="3"/>
  <c r="V398" i="3"/>
  <c r="X446" i="3"/>
  <c r="V446" i="3"/>
  <c r="V188" i="3"/>
  <c r="V68" i="3"/>
  <c r="X270" i="3"/>
  <c r="V270" i="3"/>
  <c r="X528" i="3"/>
  <c r="V528" i="3"/>
  <c r="X245" i="3"/>
  <c r="V245" i="3"/>
  <c r="X49" i="3"/>
  <c r="Y49" i="3" s="1"/>
  <c r="W250" i="3"/>
  <c r="V250" i="3"/>
  <c r="W278" i="3"/>
  <c r="V278" i="3"/>
  <c r="X315" i="3"/>
  <c r="V315" i="3"/>
  <c r="X357" i="3"/>
  <c r="V357" i="3"/>
  <c r="W576" i="3"/>
  <c r="V576" i="3"/>
  <c r="V172" i="3"/>
  <c r="V20" i="3"/>
  <c r="X390" i="3"/>
  <c r="V390" i="3"/>
  <c r="X76" i="3"/>
  <c r="V76" i="3"/>
  <c r="X309" i="3"/>
  <c r="V309" i="3"/>
  <c r="X396" i="3"/>
  <c r="V396" i="3"/>
  <c r="X540" i="3"/>
  <c r="V540" i="3"/>
  <c r="W256" i="3"/>
  <c r="V256" i="3"/>
  <c r="W469" i="3"/>
  <c r="V469" i="3"/>
  <c r="X587" i="3"/>
  <c r="V587" i="3"/>
  <c r="W798" i="3"/>
  <c r="V798" i="3"/>
  <c r="V131" i="3"/>
  <c r="V422" i="3"/>
  <c r="X307" i="3"/>
  <c r="V307" i="3"/>
  <c r="X229" i="3"/>
  <c r="V229" i="3"/>
  <c r="X292" i="3"/>
  <c r="V292" i="3"/>
  <c r="X374" i="3"/>
  <c r="V374" i="3"/>
  <c r="W481" i="3"/>
  <c r="V481" i="3"/>
  <c r="X611" i="3"/>
  <c r="V611" i="3"/>
  <c r="X826" i="3"/>
  <c r="V826" i="3"/>
  <c r="V124" i="3"/>
  <c r="X698" i="3"/>
  <c r="V698" i="3"/>
  <c r="W233" i="3"/>
  <c r="V233" i="3"/>
  <c r="X262" i="3"/>
  <c r="V262" i="3"/>
  <c r="X333" i="3"/>
  <c r="V333" i="3"/>
  <c r="W903" i="3"/>
  <c r="V903" i="3"/>
  <c r="V123" i="3"/>
  <c r="V1251" i="3"/>
  <c r="X13" i="3"/>
  <c r="Y13" i="3" s="1"/>
  <c r="X1475" i="3"/>
  <c r="Y1475" i="3" s="1"/>
  <c r="Z1475" i="3" s="1"/>
  <c r="W1475" i="3"/>
  <c r="AE1475" i="3"/>
  <c r="AC1475" i="3"/>
  <c r="AD1475" i="3"/>
  <c r="AJ1475" i="3"/>
  <c r="V189" i="3"/>
  <c r="V181" i="3"/>
  <c r="V173" i="3"/>
  <c r="V157" i="3"/>
  <c r="V141" i="3"/>
  <c r="V117" i="3"/>
  <c r="V109" i="3"/>
  <c r="V101" i="3"/>
  <c r="V69" i="3"/>
  <c r="V61" i="3"/>
  <c r="V53" i="3"/>
  <c r="V45" i="3"/>
  <c r="V37" i="3"/>
  <c r="V29" i="3"/>
  <c r="V108" i="3"/>
  <c r="V92" i="3"/>
  <c r="V60" i="3"/>
  <c r="X128" i="3"/>
  <c r="Y128" i="3" s="1"/>
  <c r="V211" i="3"/>
  <c r="V83" i="3"/>
  <c r="V19" i="3"/>
  <c r="V130" i="3"/>
  <c r="V217" i="3"/>
  <c r="V161" i="3"/>
  <c r="V153" i="3"/>
  <c r="V145" i="3"/>
  <c r="V137" i="3"/>
  <c r="V113" i="3"/>
  <c r="V97" i="3"/>
  <c r="V73" i="3"/>
  <c r="V65" i="3"/>
  <c r="V57" i="3"/>
  <c r="V49" i="3"/>
  <c r="V41" i="3"/>
  <c r="V33" i="3"/>
  <c r="V144" i="3"/>
  <c r="V136" i="3"/>
  <c r="V128" i="3"/>
  <c r="V72" i="3"/>
  <c r="V56" i="3"/>
  <c r="V24" i="3"/>
  <c r="V16" i="3"/>
  <c r="V183" i="3"/>
  <c r="V167" i="3"/>
  <c r="V87" i="3"/>
  <c r="V79" i="3"/>
  <c r="V47" i="3"/>
  <c r="V31" i="3"/>
  <c r="V23" i="3"/>
  <c r="V15" i="3"/>
  <c r="V214" i="3"/>
  <c r="V206" i="3"/>
  <c r="V198" i="3"/>
  <c r="V158" i="3"/>
  <c r="V150" i="3"/>
  <c r="V142" i="3"/>
  <c r="V94" i="3"/>
  <c r="V86" i="3"/>
  <c r="V78" i="3"/>
  <c r="V70" i="3"/>
  <c r="V62" i="3"/>
  <c r="V54" i="3"/>
  <c r="V46" i="3"/>
  <c r="V38" i="3"/>
  <c r="V30" i="3"/>
  <c r="V22" i="3"/>
  <c r="V14" i="3"/>
  <c r="W166" i="3"/>
  <c r="X166" i="3"/>
  <c r="W286" i="3"/>
  <c r="X286" i="3"/>
  <c r="X325" i="3"/>
  <c r="W325" i="3"/>
  <c r="Y325" i="3" s="1"/>
  <c r="X78" i="3"/>
  <c r="Y78" i="3" s="1"/>
  <c r="U197" i="3"/>
  <c r="W197" i="3" s="1"/>
  <c r="U213" i="3"/>
  <c r="U228" i="3"/>
  <c r="U244" i="3"/>
  <c r="U272" i="3"/>
  <c r="U287" i="3"/>
  <c r="U308" i="3"/>
  <c r="V308" i="3" s="1"/>
  <c r="U330" i="3"/>
  <c r="U349" i="3"/>
  <c r="U371" i="3"/>
  <c r="U395" i="3"/>
  <c r="V395" i="3" s="1"/>
  <c r="U412" i="3"/>
  <c r="U439" i="3"/>
  <c r="U470" i="3"/>
  <c r="V470" i="3" s="1"/>
  <c r="U517" i="3"/>
  <c r="W517" i="3" s="1"/>
  <c r="U563" i="3"/>
  <c r="U613" i="3"/>
  <c r="U682" i="3"/>
  <c r="U768" i="3"/>
  <c r="V768" i="3" s="1"/>
  <c r="U905" i="3"/>
  <c r="V905" i="3" s="1"/>
  <c r="X95" i="3"/>
  <c r="W95" i="3"/>
  <c r="U480" i="3"/>
  <c r="U527" i="3"/>
  <c r="U575" i="3"/>
  <c r="U630" i="3"/>
  <c r="U694" i="3"/>
  <c r="U796" i="3"/>
  <c r="V796" i="3" s="1"/>
  <c r="W263" i="3"/>
  <c r="X263" i="3"/>
  <c r="X295" i="3"/>
  <c r="W295" i="3"/>
  <c r="Y295" i="3" s="1"/>
  <c r="U1073" i="3"/>
  <c r="V1073" i="3" s="1"/>
  <c r="U175" i="3"/>
  <c r="U191" i="3"/>
  <c r="V191" i="3" s="1"/>
  <c r="U205" i="3"/>
  <c r="U220" i="3"/>
  <c r="U236" i="3"/>
  <c r="U252" i="3"/>
  <c r="V252" i="3" s="1"/>
  <c r="U264" i="3"/>
  <c r="U280" i="3"/>
  <c r="U299" i="3"/>
  <c r="U317" i="3"/>
  <c r="U338" i="3"/>
  <c r="V338" i="3" s="1"/>
  <c r="U361" i="3"/>
  <c r="U383" i="3"/>
  <c r="V383" i="3" s="1"/>
  <c r="U403" i="3"/>
  <c r="V403" i="3" s="1"/>
  <c r="U426" i="3"/>
  <c r="U451" i="3"/>
  <c r="V451" i="3" s="1"/>
  <c r="U493" i="3"/>
  <c r="U541" i="3"/>
  <c r="U588" i="3"/>
  <c r="U649" i="3"/>
  <c r="U715" i="3"/>
  <c r="U828" i="3"/>
  <c r="U1081" i="3"/>
  <c r="U221" i="3"/>
  <c r="W221" i="3" s="1"/>
  <c r="U237" i="3"/>
  <c r="U265" i="3"/>
  <c r="U281" i="3"/>
  <c r="U300" i="3"/>
  <c r="U322" i="3"/>
  <c r="V322" i="3" s="1"/>
  <c r="U340" i="3"/>
  <c r="W340" i="3" s="1"/>
  <c r="U362" i="3"/>
  <c r="U388" i="3"/>
  <c r="W388" i="3" s="1"/>
  <c r="U405" i="3"/>
  <c r="U427" i="3"/>
  <c r="V427" i="3" s="1"/>
  <c r="U457" i="3"/>
  <c r="U503" i="3"/>
  <c r="U596" i="3"/>
  <c r="V596" i="3" s="1"/>
  <c r="U738" i="3"/>
  <c r="W738" i="3" s="1"/>
  <c r="U1473" i="3"/>
  <c r="X1473" i="3" s="1"/>
  <c r="U1465" i="3"/>
  <c r="V1465" i="3" s="1"/>
  <c r="U1458" i="3"/>
  <c r="U1450" i="3"/>
  <c r="V1450" i="3" s="1"/>
  <c r="U1445" i="3"/>
  <c r="V1445" i="3" s="1"/>
  <c r="U1439" i="3"/>
  <c r="U1431" i="3"/>
  <c r="V1431" i="3" s="1"/>
  <c r="U1424" i="3"/>
  <c r="X1424" i="3" s="1"/>
  <c r="U1417" i="3"/>
  <c r="U1409" i="3"/>
  <c r="V1409" i="3" s="1"/>
  <c r="U1401" i="3"/>
  <c r="U1393" i="3"/>
  <c r="V1393" i="3" s="1"/>
  <c r="U1387" i="3"/>
  <c r="U1379" i="3"/>
  <c r="U1371" i="3"/>
  <c r="U1363" i="3"/>
  <c r="U1355" i="3"/>
  <c r="U1347" i="3"/>
  <c r="W1347" i="3" s="1"/>
  <c r="U1341" i="3"/>
  <c r="V1341" i="3" s="1"/>
  <c r="U1335" i="3"/>
  <c r="V1335" i="3" s="1"/>
  <c r="U1327" i="3"/>
  <c r="U1321" i="3"/>
  <c r="U1316" i="3"/>
  <c r="V1316" i="3" s="1"/>
  <c r="U1304" i="3"/>
  <c r="V1304" i="3" s="1"/>
  <c r="U1297" i="3"/>
  <c r="U1291" i="3"/>
  <c r="V1291" i="3" s="1"/>
  <c r="U1284" i="3"/>
  <c r="U1276" i="3"/>
  <c r="U1269" i="3"/>
  <c r="V1269" i="3" s="1"/>
  <c r="U1263" i="3"/>
  <c r="V1263" i="3" s="1"/>
  <c r="U1257" i="3"/>
  <c r="U1250" i="3"/>
  <c r="U1242" i="3"/>
  <c r="U1234" i="3"/>
  <c r="W1234" i="3" s="1"/>
  <c r="U1226" i="3"/>
  <c r="V1226" i="3" s="1"/>
  <c r="U1212" i="3"/>
  <c r="U1205" i="3"/>
  <c r="U1197" i="3"/>
  <c r="U1190" i="3"/>
  <c r="U1182" i="3"/>
  <c r="U1174" i="3"/>
  <c r="U1168" i="3"/>
  <c r="V1168" i="3" s="1"/>
  <c r="U1160" i="3"/>
  <c r="V1160" i="3" s="1"/>
  <c r="U1152" i="3"/>
  <c r="U1146" i="3"/>
  <c r="V1146" i="3" s="1"/>
  <c r="U1139" i="3"/>
  <c r="U1131" i="3"/>
  <c r="U1125" i="3"/>
  <c r="V1125" i="3" s="1"/>
  <c r="U1117" i="3"/>
  <c r="U1110" i="3"/>
  <c r="X1110" i="3" s="1"/>
  <c r="U1104" i="3"/>
  <c r="V1104" i="3" s="1"/>
  <c r="U1096" i="3"/>
  <c r="U1088" i="3"/>
  <c r="U1080" i="3"/>
  <c r="U1072" i="3"/>
  <c r="U1064" i="3"/>
  <c r="U1051" i="3"/>
  <c r="U1043" i="3"/>
  <c r="W1043" i="3" s="1"/>
  <c r="U1035" i="3"/>
  <c r="V1035" i="3" s="1"/>
  <c r="U1028" i="3"/>
  <c r="V1028" i="3" s="1"/>
  <c r="U1020" i="3"/>
  <c r="U1014" i="3"/>
  <c r="U1007" i="3"/>
  <c r="U1001" i="3"/>
  <c r="V1001" i="3" s="1"/>
  <c r="U995" i="3"/>
  <c r="U988" i="3"/>
  <c r="U976" i="3"/>
  <c r="V976" i="3" s="1"/>
  <c r="U968" i="3"/>
  <c r="U961" i="3"/>
  <c r="V961" i="3" s="1"/>
  <c r="U953" i="3"/>
  <c r="U945" i="3"/>
  <c r="V945" i="3" s="1"/>
  <c r="U938" i="3"/>
  <c r="U924" i="3"/>
  <c r="X924" i="3" s="1"/>
  <c r="U916" i="3"/>
  <c r="X916" i="3" s="1"/>
  <c r="U910" i="3"/>
  <c r="V910" i="3" s="1"/>
  <c r="U902" i="3"/>
  <c r="U895" i="3"/>
  <c r="U888" i="3"/>
  <c r="U881" i="3"/>
  <c r="V881" i="3" s="1"/>
  <c r="U874" i="3"/>
  <c r="W874" i="3" s="1"/>
  <c r="U1472" i="3"/>
  <c r="U1464" i="3"/>
  <c r="X1464" i="3" s="1"/>
  <c r="U1457" i="3"/>
  <c r="U1449" i="3"/>
  <c r="V1449" i="3" s="1"/>
  <c r="U1438" i="3"/>
  <c r="U1430" i="3"/>
  <c r="U1423" i="3"/>
  <c r="V1423" i="3" s="1"/>
  <c r="U1416" i="3"/>
  <c r="X1416" i="3" s="1"/>
  <c r="U1408" i="3"/>
  <c r="U1400" i="3"/>
  <c r="U1386" i="3"/>
  <c r="V1386" i="3" s="1"/>
  <c r="U1378" i="3"/>
  <c r="V1378" i="3" s="1"/>
  <c r="U1370" i="3"/>
  <c r="V1370" i="3" s="1"/>
  <c r="U1362" i="3"/>
  <c r="V1362" i="3" s="1"/>
  <c r="U1354" i="3"/>
  <c r="V1354" i="3" s="1"/>
  <c r="U1346" i="3"/>
  <c r="V1346" i="3" s="1"/>
  <c r="U1334" i="3"/>
  <c r="U1326" i="3"/>
  <c r="W1326" i="3" s="1"/>
  <c r="U1315" i="3"/>
  <c r="U1309" i="3"/>
  <c r="V1309" i="3" s="1"/>
  <c r="U1303" i="3"/>
  <c r="U1296" i="3"/>
  <c r="V1296" i="3" s="1"/>
  <c r="U1290" i="3"/>
  <c r="V1290" i="3" s="1"/>
  <c r="U1283" i="3"/>
  <c r="U1275" i="3"/>
  <c r="U1262" i="3"/>
  <c r="V1262" i="3" s="1"/>
  <c r="U1249" i="3"/>
  <c r="V1249" i="3" s="1"/>
  <c r="U1241" i="3"/>
  <c r="U1233" i="3"/>
  <c r="U1219" i="3"/>
  <c r="V1219" i="3" s="1"/>
  <c r="U1211" i="3"/>
  <c r="U1204" i="3"/>
  <c r="X1204" i="3" s="1"/>
  <c r="U1196" i="3"/>
  <c r="U1189" i="3"/>
  <c r="U1181" i="3"/>
  <c r="V1181" i="3" s="1"/>
  <c r="U1167" i="3"/>
  <c r="U1159" i="3"/>
  <c r="V1159" i="3" s="1"/>
  <c r="U1151" i="3"/>
  <c r="V1151" i="3" s="1"/>
  <c r="U1145" i="3"/>
  <c r="V1145" i="3" s="1"/>
  <c r="U1138" i="3"/>
  <c r="V1138" i="3" s="1"/>
  <c r="U1130" i="3"/>
  <c r="U1124" i="3"/>
  <c r="U1116" i="3"/>
  <c r="V1116" i="3" s="1"/>
  <c r="U1103" i="3"/>
  <c r="U1095" i="3"/>
  <c r="V1095" i="3" s="1"/>
  <c r="U1087" i="3"/>
  <c r="V1087" i="3" s="1"/>
  <c r="U1079" i="3"/>
  <c r="U1071" i="3"/>
  <c r="V1071" i="3" s="1"/>
  <c r="U1063" i="3"/>
  <c r="W1063" i="3" s="1"/>
  <c r="U1050" i="3"/>
  <c r="W1050" i="3" s="1"/>
  <c r="U1042" i="3"/>
  <c r="U1034" i="3"/>
  <c r="V1034" i="3" s="1"/>
  <c r="U1027" i="3"/>
  <c r="U1019" i="3"/>
  <c r="V1019" i="3" s="1"/>
  <c r="U1013" i="3"/>
  <c r="U1006" i="3"/>
  <c r="W1006" i="3" s="1"/>
  <c r="U994" i="3"/>
  <c r="U987" i="3"/>
  <c r="X987" i="3" s="1"/>
  <c r="U982" i="3"/>
  <c r="V982" i="3" s="1"/>
  <c r="U975" i="3"/>
  <c r="U967" i="3"/>
  <c r="U960" i="3"/>
  <c r="V960" i="3" s="1"/>
  <c r="U952" i="3"/>
  <c r="U937" i="3"/>
  <c r="V937" i="3" s="1"/>
  <c r="U931" i="3"/>
  <c r="V931" i="3" s="1"/>
  <c r="U923" i="3"/>
  <c r="V923" i="3" s="1"/>
  <c r="U909" i="3"/>
  <c r="U901" i="3"/>
  <c r="U887" i="3"/>
  <c r="U880" i="3"/>
  <c r="U873" i="3"/>
  <c r="V873" i="3" s="1"/>
  <c r="U1471" i="3"/>
  <c r="X1471" i="3" s="1"/>
  <c r="U1456" i="3"/>
  <c r="U1444" i="3"/>
  <c r="V1444" i="3" s="1"/>
  <c r="U1437" i="3"/>
  <c r="V1437" i="3" s="1"/>
  <c r="U1429" i="3"/>
  <c r="U1422" i="3"/>
  <c r="U1415" i="3"/>
  <c r="V1415" i="3" s="1"/>
  <c r="U1407" i="3"/>
  <c r="U1399" i="3"/>
  <c r="U1392" i="3"/>
  <c r="V1392" i="3" s="1"/>
  <c r="U1385" i="3"/>
  <c r="V1385" i="3" s="1"/>
  <c r="U1377" i="3"/>
  <c r="U1369" i="3"/>
  <c r="V1369" i="3" s="1"/>
  <c r="U1361" i="3"/>
  <c r="V1361" i="3" s="1"/>
  <c r="U1353" i="3"/>
  <c r="U1345" i="3"/>
  <c r="V1345" i="3" s="1"/>
  <c r="U1340" i="3"/>
  <c r="V1340" i="3" s="1"/>
  <c r="U1333" i="3"/>
  <c r="U1320" i="3"/>
  <c r="V1320" i="3" s="1"/>
  <c r="U1308" i="3"/>
  <c r="U1302" i="3"/>
  <c r="V1302" i="3" s="1"/>
  <c r="U1295" i="3"/>
  <c r="U1289" i="3"/>
  <c r="V1289" i="3" s="1"/>
  <c r="U1282" i="3"/>
  <c r="V1282" i="3" s="1"/>
  <c r="U1268" i="3"/>
  <c r="V1268" i="3" s="1"/>
  <c r="U1261" i="3"/>
  <c r="U1256" i="3"/>
  <c r="V1256" i="3" s="1"/>
  <c r="U1248" i="3"/>
  <c r="U1240" i="3"/>
  <c r="V1240" i="3" s="1"/>
  <c r="U1232" i="3"/>
  <c r="V1232" i="3" s="1"/>
  <c r="U1225" i="3"/>
  <c r="V1225" i="3" s="1"/>
  <c r="U1218" i="3"/>
  <c r="U1203" i="3"/>
  <c r="X1203" i="3" s="1"/>
  <c r="U1195" i="3"/>
  <c r="U1188" i="3"/>
  <c r="X1188" i="3" s="1"/>
  <c r="U1180" i="3"/>
  <c r="V1180" i="3" s="1"/>
  <c r="U1166" i="3"/>
  <c r="U1158" i="3"/>
  <c r="U1150" i="3"/>
  <c r="U1144" i="3"/>
  <c r="U1137" i="3"/>
  <c r="V1137" i="3" s="1"/>
  <c r="U1129" i="3"/>
  <c r="X1129" i="3" s="1"/>
  <c r="U1123" i="3"/>
  <c r="W1123" i="3" s="1"/>
  <c r="U1115" i="3"/>
  <c r="V1115" i="3" s="1"/>
  <c r="U1109" i="3"/>
  <c r="V1109" i="3" s="1"/>
  <c r="U1102" i="3"/>
  <c r="V1102" i="3" s="1"/>
  <c r="U1094" i="3"/>
  <c r="V1094" i="3" s="1"/>
  <c r="U1086" i="3"/>
  <c r="V1086" i="3" s="1"/>
  <c r="U1078" i="3"/>
  <c r="U1070" i="3"/>
  <c r="U1062" i="3"/>
  <c r="V1062" i="3" s="1"/>
  <c r="U1057" i="3"/>
  <c r="V1057" i="3" s="1"/>
  <c r="U1049" i="3"/>
  <c r="U1041" i="3"/>
  <c r="U1033" i="3"/>
  <c r="V1033" i="3" s="1"/>
  <c r="U1026" i="3"/>
  <c r="U1018" i="3"/>
  <c r="W1018" i="3" s="1"/>
  <c r="U1012" i="3"/>
  <c r="U1005" i="3"/>
  <c r="W1005" i="3" s="1"/>
  <c r="U1000" i="3"/>
  <c r="V1000" i="3" s="1"/>
  <c r="U993" i="3"/>
  <c r="U986" i="3"/>
  <c r="U981" i="3"/>
  <c r="U974" i="3"/>
  <c r="U966" i="3"/>
  <c r="U959" i="3"/>
  <c r="U951" i="3"/>
  <c r="W951" i="3" s="1"/>
  <c r="U944" i="3"/>
  <c r="V944" i="3" s="1"/>
  <c r="U930" i="3"/>
  <c r="V930" i="3" s="1"/>
  <c r="U922" i="3"/>
  <c r="U915" i="3"/>
  <c r="V915" i="3" s="1"/>
  <c r="U908" i="3"/>
  <c r="U894" i="3"/>
  <c r="V894" i="3" s="1"/>
  <c r="U886" i="3"/>
  <c r="U879" i="3"/>
  <c r="U872" i="3"/>
  <c r="V872" i="3" s="1"/>
  <c r="U1470" i="3"/>
  <c r="U1463" i="3"/>
  <c r="V1463" i="3" s="1"/>
  <c r="U1455" i="3"/>
  <c r="V1455" i="3" s="1"/>
  <c r="U1448" i="3"/>
  <c r="V1448" i="3" s="1"/>
  <c r="U1443" i="3"/>
  <c r="W1443" i="3" s="1"/>
  <c r="U1436" i="3"/>
  <c r="U1428" i="3"/>
  <c r="W1428" i="3" s="1"/>
  <c r="U1421" i="3"/>
  <c r="V1421" i="3" s="1"/>
  <c r="U1414" i="3"/>
  <c r="U1406" i="3"/>
  <c r="U1398" i="3"/>
  <c r="V1398" i="3" s="1"/>
  <c r="U1391" i="3"/>
  <c r="U1384" i="3"/>
  <c r="V1384" i="3" s="1"/>
  <c r="U1376" i="3"/>
  <c r="U1368" i="3"/>
  <c r="X1368" i="3" s="1"/>
  <c r="U1360" i="3"/>
  <c r="V1360" i="3" s="1"/>
  <c r="U1352" i="3"/>
  <c r="U1344" i="3"/>
  <c r="U1339" i="3"/>
  <c r="V1339" i="3" s="1"/>
  <c r="U1332" i="3"/>
  <c r="U1319" i="3"/>
  <c r="X1319" i="3" s="1"/>
  <c r="U1314" i="3"/>
  <c r="V1314" i="3" s="1"/>
  <c r="U1307" i="3"/>
  <c r="U1301" i="3"/>
  <c r="U1294" i="3"/>
  <c r="V1294" i="3" s="1"/>
  <c r="U1288" i="3"/>
  <c r="U1281" i="3"/>
  <c r="V1281" i="3" s="1"/>
  <c r="U1274" i="3"/>
  <c r="V1274" i="3" s="1"/>
  <c r="U1267" i="3"/>
  <c r="X1267" i="3" s="1"/>
  <c r="U1260" i="3"/>
  <c r="X1260" i="3" s="1"/>
  <c r="U1255" i="3"/>
  <c r="W1255" i="3" s="1"/>
  <c r="U1247" i="3"/>
  <c r="V1247" i="3" s="1"/>
  <c r="U1239" i="3"/>
  <c r="U1231" i="3"/>
  <c r="U1224" i="3"/>
  <c r="U1217" i="3"/>
  <c r="U1210" i="3"/>
  <c r="V1210" i="3" s="1"/>
  <c r="U1202" i="3"/>
  <c r="U1187" i="3"/>
  <c r="W1187" i="3" s="1"/>
  <c r="U1179" i="3"/>
  <c r="V1179" i="3" s="1"/>
  <c r="U1173" i="3"/>
  <c r="V1173" i="3" s="1"/>
  <c r="U1165" i="3"/>
  <c r="U1157" i="3"/>
  <c r="V1157" i="3" s="1"/>
  <c r="U1143" i="3"/>
  <c r="U1136" i="3"/>
  <c r="U1128" i="3"/>
  <c r="U1122" i="3"/>
  <c r="V1122" i="3" s="1"/>
  <c r="U1114" i="3"/>
  <c r="U1101" i="3"/>
  <c r="U1093" i="3"/>
  <c r="U1085" i="3"/>
  <c r="U1077" i="3"/>
  <c r="U1069" i="3"/>
  <c r="U1061" i="3"/>
  <c r="U1056" i="3"/>
  <c r="W1056" i="3" s="1"/>
  <c r="U1048" i="3"/>
  <c r="V1048" i="3" s="1"/>
  <c r="U1040" i="3"/>
  <c r="V1040" i="3" s="1"/>
  <c r="U1032" i="3"/>
  <c r="U1025" i="3"/>
  <c r="U1011" i="3"/>
  <c r="U999" i="3"/>
  <c r="U992" i="3"/>
  <c r="U980" i="3"/>
  <c r="U973" i="3"/>
  <c r="V973" i="3" s="1"/>
  <c r="U965" i="3"/>
  <c r="V965" i="3" s="1"/>
  <c r="U958" i="3"/>
  <c r="U950" i="3"/>
  <c r="U943" i="3"/>
  <c r="V943" i="3" s="1"/>
  <c r="U936" i="3"/>
  <c r="V936" i="3" s="1"/>
  <c r="U929" i="3"/>
  <c r="U921" i="3"/>
  <c r="U914" i="3"/>
  <c r="U907" i="3"/>
  <c r="U900" i="3"/>
  <c r="V900" i="3" s="1"/>
  <c r="U893" i="3"/>
  <c r="V893" i="3" s="1"/>
  <c r="U878" i="3"/>
  <c r="U871" i="3"/>
  <c r="U1469" i="3"/>
  <c r="U1462" i="3"/>
  <c r="W1462" i="3" s="1"/>
  <c r="U1454" i="3"/>
  <c r="U1442" i="3"/>
  <c r="V1442" i="3" s="1"/>
  <c r="U1435" i="3"/>
  <c r="U1420" i="3"/>
  <c r="V1420" i="3" s="1"/>
  <c r="U1413" i="3"/>
  <c r="U1405" i="3"/>
  <c r="U1397" i="3"/>
  <c r="U1390" i="3"/>
  <c r="W1390" i="3" s="1"/>
  <c r="U1383" i="3"/>
  <c r="V1383" i="3" s="1"/>
  <c r="U1375" i="3"/>
  <c r="X1375" i="3" s="1"/>
  <c r="U1367" i="3"/>
  <c r="U1359" i="3"/>
  <c r="U1351" i="3"/>
  <c r="U1343" i="3"/>
  <c r="X1343" i="3" s="1"/>
  <c r="U1338" i="3"/>
  <c r="U1331" i="3"/>
  <c r="U1325" i="3"/>
  <c r="V1325" i="3" s="1"/>
  <c r="U1318" i="3"/>
  <c r="U1313" i="3"/>
  <c r="V1313" i="3" s="1"/>
  <c r="U1300" i="3"/>
  <c r="U1293" i="3"/>
  <c r="V1293" i="3" s="1"/>
  <c r="U1280" i="3"/>
  <c r="W1280" i="3" s="1"/>
  <c r="U1273" i="3"/>
  <c r="U1266" i="3"/>
  <c r="U1254" i="3"/>
  <c r="U1246" i="3"/>
  <c r="V1246" i="3" s="1"/>
  <c r="U1238" i="3"/>
  <c r="V1238" i="3" s="1"/>
  <c r="U1230" i="3"/>
  <c r="U1223" i="3"/>
  <c r="U1216" i="3"/>
  <c r="V1216" i="3" s="1"/>
  <c r="U1209" i="3"/>
  <c r="U1201" i="3"/>
  <c r="W1201" i="3" s="1"/>
  <c r="U1194" i="3"/>
  <c r="V1194" i="3" s="1"/>
  <c r="U1186" i="3"/>
  <c r="V1186" i="3" s="1"/>
  <c r="U1178" i="3"/>
  <c r="V1178" i="3" s="1"/>
  <c r="U1172" i="3"/>
  <c r="V1172" i="3" s="1"/>
  <c r="U1164" i="3"/>
  <c r="U1156" i="3"/>
  <c r="U1149" i="3"/>
  <c r="V1149" i="3" s="1"/>
  <c r="U1142" i="3"/>
  <c r="W1142" i="3" s="1"/>
  <c r="U1135" i="3"/>
  <c r="V1135" i="3" s="1"/>
  <c r="U1127" i="3"/>
  <c r="X1127" i="3" s="1"/>
  <c r="U1121" i="3"/>
  <c r="V1121" i="3" s="1"/>
  <c r="U1113" i="3"/>
  <c r="U1108" i="3"/>
  <c r="V1108" i="3" s="1"/>
  <c r="U1100" i="3"/>
  <c r="W1100" i="3" s="1"/>
  <c r="U1092" i="3"/>
  <c r="U1084" i="3"/>
  <c r="U1076" i="3"/>
  <c r="V1076" i="3" s="1"/>
  <c r="U1068" i="3"/>
  <c r="U1060" i="3"/>
  <c r="U1055" i="3"/>
  <c r="V1055" i="3" s="1"/>
  <c r="U1047" i="3"/>
  <c r="U1039" i="3"/>
  <c r="W1039" i="3" s="1"/>
  <c r="U1031" i="3"/>
  <c r="U1024" i="3"/>
  <c r="U1017" i="3"/>
  <c r="V1017" i="3" s="1"/>
  <c r="U1004" i="3"/>
  <c r="V1004" i="3" s="1"/>
  <c r="U998" i="3"/>
  <c r="U991" i="3"/>
  <c r="U979" i="3"/>
  <c r="U972" i="3"/>
  <c r="U964" i="3"/>
  <c r="U957" i="3"/>
  <c r="V957" i="3" s="1"/>
  <c r="U949" i="3"/>
  <c r="V949" i="3" s="1"/>
  <c r="U942" i="3"/>
  <c r="U935" i="3"/>
  <c r="V935" i="3" s="1"/>
  <c r="U928" i="3"/>
  <c r="V928" i="3" s="1"/>
  <c r="U920" i="3"/>
  <c r="U913" i="3"/>
  <c r="U906" i="3"/>
  <c r="U899" i="3"/>
  <c r="W899" i="3" s="1"/>
  <c r="U892" i="3"/>
  <c r="U885" i="3"/>
  <c r="V885" i="3" s="1"/>
  <c r="U877" i="3"/>
  <c r="U870" i="3"/>
  <c r="U1468" i="3"/>
  <c r="U1461" i="3"/>
  <c r="U1453" i="3"/>
  <c r="U1447" i="3"/>
  <c r="V1447" i="3" s="1"/>
  <c r="U1441" i="3"/>
  <c r="U1434" i="3"/>
  <c r="V1434" i="3" s="1"/>
  <c r="U1427" i="3"/>
  <c r="V1427" i="3" s="1"/>
  <c r="U1412" i="3"/>
  <c r="U1404" i="3"/>
  <c r="U1396" i="3"/>
  <c r="U1389" i="3"/>
  <c r="U1382" i="3"/>
  <c r="W1382" i="3" s="1"/>
  <c r="U1374" i="3"/>
  <c r="V1374" i="3" s="1"/>
  <c r="U1366" i="3"/>
  <c r="U1358" i="3"/>
  <c r="U1350" i="3"/>
  <c r="V1350" i="3" s="1"/>
  <c r="U1342" i="3"/>
  <c r="U1337" i="3"/>
  <c r="V1337" i="3" s="1"/>
  <c r="U1330" i="3"/>
  <c r="U1324" i="3"/>
  <c r="W1324" i="3" s="1"/>
  <c r="U1312" i="3"/>
  <c r="U1306" i="3"/>
  <c r="V1306" i="3" s="1"/>
  <c r="U1299" i="3"/>
  <c r="U1287" i="3"/>
  <c r="V1287" i="3" s="1"/>
  <c r="U1279" i="3"/>
  <c r="V1279" i="3" s="1"/>
  <c r="U1272" i="3"/>
  <c r="U1265" i="3"/>
  <c r="U1259" i="3"/>
  <c r="V1259" i="3" s="1"/>
  <c r="U1253" i="3"/>
  <c r="V1253" i="3" s="1"/>
  <c r="U1245" i="3"/>
  <c r="V1245" i="3" s="1"/>
  <c r="U1237" i="3"/>
  <c r="V1237" i="3" s="1"/>
  <c r="U1229" i="3"/>
  <c r="U1222" i="3"/>
  <c r="U1215" i="3"/>
  <c r="V1215" i="3" s="1"/>
  <c r="U1208" i="3"/>
  <c r="U1200" i="3"/>
  <c r="V1200" i="3" s="1"/>
  <c r="U1193" i="3"/>
  <c r="V1193" i="3" s="1"/>
  <c r="U1185" i="3"/>
  <c r="V1185" i="3" s="1"/>
  <c r="U1177" i="3"/>
  <c r="V1177" i="3" s="1"/>
  <c r="U1171" i="3"/>
  <c r="U1163" i="3"/>
  <c r="U1155" i="3"/>
  <c r="U1134" i="3"/>
  <c r="U1120" i="3"/>
  <c r="U1107" i="3"/>
  <c r="U1099" i="3"/>
  <c r="U1091" i="3"/>
  <c r="V1091" i="3" s="1"/>
  <c r="U1083" i="3"/>
  <c r="U1075" i="3"/>
  <c r="V1075" i="3" s="1"/>
  <c r="U1067" i="3"/>
  <c r="U1059" i="3"/>
  <c r="U1054" i="3"/>
  <c r="V1054" i="3" s="1"/>
  <c r="U1046" i="3"/>
  <c r="V1046" i="3" s="1"/>
  <c r="U1038" i="3"/>
  <c r="V1038" i="3" s="1"/>
  <c r="U1030" i="3"/>
  <c r="V1030" i="3" s="1"/>
  <c r="U1023" i="3"/>
  <c r="V1023" i="3" s="1"/>
  <c r="U1467" i="3"/>
  <c r="U1411" i="3"/>
  <c r="V1411" i="3" s="1"/>
  <c r="U1381" i="3"/>
  <c r="U1349" i="3"/>
  <c r="W1349" i="3" s="1"/>
  <c r="U1323" i="3"/>
  <c r="V1323" i="3" s="1"/>
  <c r="U1271" i="3"/>
  <c r="V1271" i="3" s="1"/>
  <c r="U1244" i="3"/>
  <c r="U1214" i="3"/>
  <c r="V1214" i="3" s="1"/>
  <c r="U1184" i="3"/>
  <c r="U1154" i="3"/>
  <c r="V1154" i="3" s="1"/>
  <c r="U1126" i="3"/>
  <c r="V1126" i="3" s="1"/>
  <c r="U1098" i="3"/>
  <c r="V1098" i="3" s="1"/>
  <c r="U1066" i="3"/>
  <c r="V1066" i="3" s="1"/>
  <c r="U1037" i="3"/>
  <c r="U1010" i="3"/>
  <c r="V1010" i="3" s="1"/>
  <c r="U996" i="3"/>
  <c r="V996" i="3" s="1"/>
  <c r="U978" i="3"/>
  <c r="V978" i="3" s="1"/>
  <c r="U956" i="3"/>
  <c r="X956" i="3" s="1"/>
  <c r="U939" i="3"/>
  <c r="U918" i="3"/>
  <c r="U898" i="3"/>
  <c r="U882" i="3"/>
  <c r="W882" i="3" s="1"/>
  <c r="U865" i="3"/>
  <c r="V865" i="3" s="1"/>
  <c r="U853" i="3"/>
  <c r="V853" i="3" s="1"/>
  <c r="U845" i="3"/>
  <c r="U839" i="3"/>
  <c r="U833" i="3"/>
  <c r="V833" i="3" s="1"/>
  <c r="U825" i="3"/>
  <c r="V825" i="3" s="1"/>
  <c r="U817" i="3"/>
  <c r="U810" i="3"/>
  <c r="W810" i="3" s="1"/>
  <c r="U803" i="3"/>
  <c r="U795" i="3"/>
  <c r="V795" i="3" s="1"/>
  <c r="U787" i="3"/>
  <c r="V787" i="3" s="1"/>
  <c r="U780" i="3"/>
  <c r="W780" i="3" s="1"/>
  <c r="U773" i="3"/>
  <c r="U765" i="3"/>
  <c r="U759" i="3"/>
  <c r="U751" i="3"/>
  <c r="U745" i="3"/>
  <c r="V745" i="3" s="1"/>
  <c r="U737" i="3"/>
  <c r="V737" i="3" s="1"/>
  <c r="U729" i="3"/>
  <c r="U722" i="3"/>
  <c r="W722" i="3" s="1"/>
  <c r="U710" i="3"/>
  <c r="U705" i="3"/>
  <c r="V705" i="3" s="1"/>
  <c r="U697" i="3"/>
  <c r="V697" i="3" s="1"/>
  <c r="U691" i="3"/>
  <c r="U679" i="3"/>
  <c r="U673" i="3"/>
  <c r="V673" i="3" s="1"/>
  <c r="U667" i="3"/>
  <c r="V667" i="3" s="1"/>
  <c r="U660" i="3"/>
  <c r="W660" i="3" s="1"/>
  <c r="U648" i="3"/>
  <c r="U642" i="3"/>
  <c r="V642" i="3" s="1"/>
  <c r="U636" i="3"/>
  <c r="U623" i="3"/>
  <c r="W623" i="3" s="1"/>
  <c r="U615" i="3"/>
  <c r="U608" i="3"/>
  <c r="V608" i="3" s="1"/>
  <c r="U601" i="3"/>
  <c r="U595" i="3"/>
  <c r="V595" i="3" s="1"/>
  <c r="U582" i="3"/>
  <c r="U574" i="3"/>
  <c r="U566" i="3"/>
  <c r="U552" i="3"/>
  <c r="U546" i="3"/>
  <c r="U538" i="3"/>
  <c r="V538" i="3" s="1"/>
  <c r="U530" i="3"/>
  <c r="V530" i="3" s="1"/>
  <c r="U523" i="3"/>
  <c r="W523" i="3" s="1"/>
  <c r="U515" i="3"/>
  <c r="U508" i="3"/>
  <c r="U500" i="3"/>
  <c r="V500" i="3" s="1"/>
  <c r="U486" i="3"/>
  <c r="V486" i="3" s="1"/>
  <c r="U478" i="3"/>
  <c r="U471" i="3"/>
  <c r="V471" i="3" s="1"/>
  <c r="U464" i="3"/>
  <c r="U456" i="3"/>
  <c r="V456" i="3" s="1"/>
  <c r="U450" i="3"/>
  <c r="U444" i="3"/>
  <c r="U437" i="3"/>
  <c r="V437" i="3" s="1"/>
  <c r="U429" i="3"/>
  <c r="U1466" i="3"/>
  <c r="V1466" i="3" s="1"/>
  <c r="U1440" i="3"/>
  <c r="V1440" i="3" s="1"/>
  <c r="U1410" i="3"/>
  <c r="V1410" i="3" s="1"/>
  <c r="U1380" i="3"/>
  <c r="V1380" i="3" s="1"/>
  <c r="U1348" i="3"/>
  <c r="U1322" i="3"/>
  <c r="U1298" i="3"/>
  <c r="V1298" i="3" s="1"/>
  <c r="U1270" i="3"/>
  <c r="V1270" i="3" s="1"/>
  <c r="U1243" i="3"/>
  <c r="V1243" i="3" s="1"/>
  <c r="U1213" i="3"/>
  <c r="V1213" i="3" s="1"/>
  <c r="U1183" i="3"/>
  <c r="U1153" i="3"/>
  <c r="V1153" i="3" s="1"/>
  <c r="U1097" i="3"/>
  <c r="U1065" i="3"/>
  <c r="U1036" i="3"/>
  <c r="V1036" i="3" s="1"/>
  <c r="U1009" i="3"/>
  <c r="X1009" i="3" s="1"/>
  <c r="U977" i="3"/>
  <c r="U955" i="3"/>
  <c r="U934" i="3"/>
  <c r="V934" i="3" s="1"/>
  <c r="U917" i="3"/>
  <c r="V917" i="3" s="1"/>
  <c r="U897" i="3"/>
  <c r="U864" i="3"/>
  <c r="V864" i="3" s="1"/>
  <c r="U858" i="3"/>
  <c r="V858" i="3" s="1"/>
  <c r="U852" i="3"/>
  <c r="U838" i="3"/>
  <c r="V838" i="3" s="1"/>
  <c r="U832" i="3"/>
  <c r="V832" i="3" s="1"/>
  <c r="U824" i="3"/>
  <c r="V824" i="3" s="1"/>
  <c r="U816" i="3"/>
  <c r="V816" i="3" s="1"/>
  <c r="U809" i="3"/>
  <c r="U802" i="3"/>
  <c r="U794" i="3"/>
  <c r="V794" i="3" s="1"/>
  <c r="U786" i="3"/>
  <c r="U772" i="3"/>
  <c r="U764" i="3"/>
  <c r="V764" i="3" s="1"/>
  <c r="U758" i="3"/>
  <c r="U750" i="3"/>
  <c r="U744" i="3"/>
  <c r="U736" i="3"/>
  <c r="U728" i="3"/>
  <c r="U717" i="3"/>
  <c r="V717" i="3" s="1"/>
  <c r="U709" i="3"/>
  <c r="V709" i="3" s="1"/>
  <c r="U704" i="3"/>
  <c r="U696" i="3"/>
  <c r="V696" i="3" s="1"/>
  <c r="U690" i="3"/>
  <c r="W690" i="3" s="1"/>
  <c r="U678" i="3"/>
  <c r="X678" i="3" s="1"/>
  <c r="U672" i="3"/>
  <c r="U666" i="3"/>
  <c r="U659" i="3"/>
  <c r="W659" i="3" s="1"/>
  <c r="U654" i="3"/>
  <c r="V654" i="3" s="1"/>
  <c r="U647" i="3"/>
  <c r="V647" i="3" s="1"/>
  <c r="U641" i="3"/>
  <c r="U635" i="3"/>
  <c r="W635" i="3" s="1"/>
  <c r="U622" i="3"/>
  <c r="U607" i="3"/>
  <c r="W607" i="3" s="1"/>
  <c r="U600" i="3"/>
  <c r="U594" i="3"/>
  <c r="U589" i="3"/>
  <c r="V589" i="3" s="1"/>
  <c r="U581" i="3"/>
  <c r="V581" i="3" s="1"/>
  <c r="U573" i="3"/>
  <c r="U565" i="3"/>
  <c r="U558" i="3"/>
  <c r="V558" i="3" s="1"/>
  <c r="U551" i="3"/>
  <c r="X551" i="3" s="1"/>
  <c r="U545" i="3"/>
  <c r="V545" i="3" s="1"/>
  <c r="U537" i="3"/>
  <c r="V537" i="3" s="1"/>
  <c r="U529" i="3"/>
  <c r="V529" i="3" s="1"/>
  <c r="U522" i="3"/>
  <c r="V522" i="3" s="1"/>
  <c r="U514" i="3"/>
  <c r="V514" i="3" s="1"/>
  <c r="U507" i="3"/>
  <c r="W507" i="3" s="1"/>
  <c r="U499" i="3"/>
  <c r="U492" i="3"/>
  <c r="V492" i="3" s="1"/>
  <c r="U485" i="3"/>
  <c r="U477" i="3"/>
  <c r="X477" i="3" s="1"/>
  <c r="U463" i="3"/>
  <c r="U436" i="3"/>
  <c r="V436" i="3" s="1"/>
  <c r="U428" i="3"/>
  <c r="U421" i="3"/>
  <c r="U413" i="3"/>
  <c r="U407" i="3"/>
  <c r="U393" i="3"/>
  <c r="V393" i="3" s="1"/>
  <c r="U387" i="3"/>
  <c r="V387" i="3" s="1"/>
  <c r="U380" i="3"/>
  <c r="U372" i="3"/>
  <c r="V372" i="3" s="1"/>
  <c r="U364" i="3"/>
  <c r="U358" i="3"/>
  <c r="V358" i="3" s="1"/>
  <c r="U351" i="3"/>
  <c r="V351" i="3" s="1"/>
  <c r="U343" i="3"/>
  <c r="W343" i="3" s="1"/>
  <c r="U336" i="3"/>
  <c r="V336" i="3" s="1"/>
  <c r="U329" i="3"/>
  <c r="U1460" i="3"/>
  <c r="U1433" i="3"/>
  <c r="V1433" i="3" s="1"/>
  <c r="U1403" i="3"/>
  <c r="U1373" i="3"/>
  <c r="U1317" i="3"/>
  <c r="V1317" i="3" s="1"/>
  <c r="U1292" i="3"/>
  <c r="V1292" i="3" s="1"/>
  <c r="U1264" i="3"/>
  <c r="U1236" i="3"/>
  <c r="U1207" i="3"/>
  <c r="V1207" i="3" s="1"/>
  <c r="U1176" i="3"/>
  <c r="V1176" i="3" s="1"/>
  <c r="U1148" i="3"/>
  <c r="V1148" i="3" s="1"/>
  <c r="U1119" i="3"/>
  <c r="X1119" i="3" s="1"/>
  <c r="U1090" i="3"/>
  <c r="U1029" i="3"/>
  <c r="U1008" i="3"/>
  <c r="V1008" i="3" s="1"/>
  <c r="U990" i="3"/>
  <c r="V990" i="3" s="1"/>
  <c r="U971" i="3"/>
  <c r="U954" i="3"/>
  <c r="V954" i="3" s="1"/>
  <c r="U933" i="3"/>
  <c r="U912" i="3"/>
  <c r="U896" i="3"/>
  <c r="U876" i="3"/>
  <c r="V876" i="3" s="1"/>
  <c r="U863" i="3"/>
  <c r="U857" i="3"/>
  <c r="V857" i="3" s="1"/>
  <c r="U851" i="3"/>
  <c r="V851" i="3" s="1"/>
  <c r="U831" i="3"/>
  <c r="V831" i="3" s="1"/>
  <c r="U823" i="3"/>
  <c r="U808" i="3"/>
  <c r="U801" i="3"/>
  <c r="U793" i="3"/>
  <c r="U785" i="3"/>
  <c r="V785" i="3" s="1"/>
  <c r="U779" i="3"/>
  <c r="V779" i="3" s="1"/>
  <c r="U771" i="3"/>
  <c r="U763" i="3"/>
  <c r="U757" i="3"/>
  <c r="U749" i="3"/>
  <c r="W749" i="3" s="1"/>
  <c r="U743" i="3"/>
  <c r="U735" i="3"/>
  <c r="W735" i="3" s="1"/>
  <c r="U727" i="3"/>
  <c r="U716" i="3"/>
  <c r="W716" i="3" s="1"/>
  <c r="U708" i="3"/>
  <c r="U703" i="3"/>
  <c r="V703" i="3" s="1"/>
  <c r="U695" i="3"/>
  <c r="U685" i="3"/>
  <c r="V685" i="3" s="1"/>
  <c r="U677" i="3"/>
  <c r="U671" i="3"/>
  <c r="W671" i="3" s="1"/>
  <c r="U665" i="3"/>
  <c r="U653" i="3"/>
  <c r="W653" i="3" s="1"/>
  <c r="U646" i="3"/>
  <c r="U640" i="3"/>
  <c r="U634" i="3"/>
  <c r="U629" i="3"/>
  <c r="V629" i="3" s="1"/>
  <c r="U621" i="3"/>
  <c r="U614" i="3"/>
  <c r="V614" i="3" s="1"/>
  <c r="U1459" i="3"/>
  <c r="V1459" i="3" s="1"/>
  <c r="U1432" i="3"/>
  <c r="X1432" i="3" s="1"/>
  <c r="U1402" i="3"/>
  <c r="V1402" i="3" s="1"/>
  <c r="U1372" i="3"/>
  <c r="V1372" i="3" s="1"/>
  <c r="U1235" i="3"/>
  <c r="V1235" i="3" s="1"/>
  <c r="U1206" i="3"/>
  <c r="U1175" i="3"/>
  <c r="U1147" i="3"/>
  <c r="U1118" i="3"/>
  <c r="V1118" i="3" s="1"/>
  <c r="U1089" i="3"/>
  <c r="V1089" i="3" s="1"/>
  <c r="U1058" i="3"/>
  <c r="V1058" i="3" s="1"/>
  <c r="U1003" i="3"/>
  <c r="V1003" i="3" s="1"/>
  <c r="U989" i="3"/>
  <c r="V989" i="3" s="1"/>
  <c r="U970" i="3"/>
  <c r="U948" i="3"/>
  <c r="U932" i="3"/>
  <c r="V932" i="3" s="1"/>
  <c r="U891" i="3"/>
  <c r="V891" i="3" s="1"/>
  <c r="U875" i="3"/>
  <c r="V875" i="3" s="1"/>
  <c r="U862" i="3"/>
  <c r="U856" i="3"/>
  <c r="V856" i="3" s="1"/>
  <c r="U850" i="3"/>
  <c r="V850" i="3" s="1"/>
  <c r="U844" i="3"/>
  <c r="V844" i="3" s="1"/>
  <c r="U837" i="3"/>
  <c r="V837" i="3" s="1"/>
  <c r="U830" i="3"/>
  <c r="V830" i="3" s="1"/>
  <c r="U822" i="3"/>
  <c r="V822" i="3" s="1"/>
  <c r="U815" i="3"/>
  <c r="V815" i="3" s="1"/>
  <c r="U807" i="3"/>
  <c r="U800" i="3"/>
  <c r="U792" i="3"/>
  <c r="V792" i="3" s="1"/>
  <c r="U784" i="3"/>
  <c r="X784" i="3" s="1"/>
  <c r="U778" i="3"/>
  <c r="W778" i="3" s="1"/>
  <c r="U770" i="3"/>
  <c r="W770" i="3" s="1"/>
  <c r="U762" i="3"/>
  <c r="V762" i="3" s="1"/>
  <c r="U756" i="3"/>
  <c r="U748" i="3"/>
  <c r="U742" i="3"/>
  <c r="V742" i="3" s="1"/>
  <c r="U734" i="3"/>
  <c r="V734" i="3" s="1"/>
  <c r="U726" i="3"/>
  <c r="U721" i="3"/>
  <c r="V721" i="3" s="1"/>
  <c r="U1452" i="3"/>
  <c r="U1426" i="3"/>
  <c r="U1395" i="3"/>
  <c r="U1365" i="3"/>
  <c r="V1365" i="3" s="1"/>
  <c r="U1336" i="3"/>
  <c r="V1336" i="3" s="1"/>
  <c r="U1311" i="3"/>
  <c r="U1286" i="3"/>
  <c r="V1286" i="3" s="1"/>
  <c r="U1228" i="3"/>
  <c r="U1199" i="3"/>
  <c r="V1199" i="3" s="1"/>
  <c r="U1170" i="3"/>
  <c r="U1141" i="3"/>
  <c r="V1141" i="3" s="1"/>
  <c r="U1112" i="3"/>
  <c r="V1112" i="3" s="1"/>
  <c r="U1082" i="3"/>
  <c r="U1053" i="3"/>
  <c r="U1022" i="3"/>
  <c r="V1022" i="3" s="1"/>
  <c r="U1002" i="3"/>
  <c r="U985" i="3"/>
  <c r="V985" i="3" s="1"/>
  <c r="U969" i="3"/>
  <c r="V969" i="3" s="1"/>
  <c r="U947" i="3"/>
  <c r="U927" i="3"/>
  <c r="U911" i="3"/>
  <c r="V911" i="3" s="1"/>
  <c r="U890" i="3"/>
  <c r="U869" i="3"/>
  <c r="U855" i="3"/>
  <c r="U849" i="3"/>
  <c r="V849" i="3" s="1"/>
  <c r="U843" i="3"/>
  <c r="V843" i="3" s="1"/>
  <c r="U836" i="3"/>
  <c r="U829" i="3"/>
  <c r="U821" i="3"/>
  <c r="U814" i="3"/>
  <c r="U806" i="3"/>
  <c r="U799" i="3"/>
  <c r="U791" i="3"/>
  <c r="V791" i="3" s="1"/>
  <c r="U777" i="3"/>
  <c r="V777" i="3" s="1"/>
  <c r="U769" i="3"/>
  <c r="W769" i="3" s="1"/>
  <c r="U755" i="3"/>
  <c r="U747" i="3"/>
  <c r="V747" i="3" s="1"/>
  <c r="U741" i="3"/>
  <c r="W741" i="3" s="1"/>
  <c r="U733" i="3"/>
  <c r="U720" i="3"/>
  <c r="U714" i="3"/>
  <c r="U701" i="3"/>
  <c r="V701" i="3" s="1"/>
  <c r="U689" i="3"/>
  <c r="V689" i="3" s="1"/>
  <c r="U683" i="3"/>
  <c r="U675" i="3"/>
  <c r="V675" i="3" s="1"/>
  <c r="U663" i="3"/>
  <c r="U658" i="3"/>
  <c r="V658" i="3" s="1"/>
  <c r="U651" i="3"/>
  <c r="U644" i="3"/>
  <c r="U633" i="3"/>
  <c r="V633" i="3" s="1"/>
  <c r="U627" i="3"/>
  <c r="W627" i="3" s="1"/>
  <c r="U619" i="3"/>
  <c r="U612" i="3"/>
  <c r="U605" i="3"/>
  <c r="U592" i="3"/>
  <c r="U586" i="3"/>
  <c r="U578" i="3"/>
  <c r="U570" i="3"/>
  <c r="V570" i="3" s="1"/>
  <c r="U562" i="3"/>
  <c r="U555" i="3"/>
  <c r="U550" i="3"/>
  <c r="V550" i="3" s="1"/>
  <c r="U542" i="3"/>
  <c r="U534" i="3"/>
  <c r="V534" i="3" s="1"/>
  <c r="U526" i="3"/>
  <c r="U519" i="3"/>
  <c r="W519" i="3" s="1"/>
  <c r="U504" i="3"/>
  <c r="V504" i="3" s="1"/>
  <c r="U496" i="3"/>
  <c r="W496" i="3" s="1"/>
  <c r="U489" i="3"/>
  <c r="U482" i="3"/>
  <c r="V482" i="3" s="1"/>
  <c r="U474" i="3"/>
  <c r="W474" i="3" s="1"/>
  <c r="U468" i="3"/>
  <c r="U460" i="3"/>
  <c r="U454" i="3"/>
  <c r="V454" i="3" s="1"/>
  <c r="U447" i="3"/>
  <c r="V447" i="3" s="1"/>
  <c r="U1451" i="3"/>
  <c r="U1425" i="3"/>
  <c r="V1425" i="3" s="1"/>
  <c r="U1394" i="3"/>
  <c r="U1364" i="3"/>
  <c r="U1310" i="3"/>
  <c r="X1310" i="3" s="1"/>
  <c r="U1285" i="3"/>
  <c r="U1258" i="3"/>
  <c r="V1258" i="3" s="1"/>
  <c r="U1227" i="3"/>
  <c r="V1227" i="3" s="1"/>
  <c r="U1198" i="3"/>
  <c r="W1198" i="3" s="1"/>
  <c r="U1169" i="3"/>
  <c r="V1169" i="3" s="1"/>
  <c r="U1140" i="3"/>
  <c r="V1140" i="3" s="1"/>
  <c r="U1446" i="3"/>
  <c r="U1419" i="3"/>
  <c r="V1419" i="3" s="1"/>
  <c r="U1357" i="3"/>
  <c r="U1329" i="3"/>
  <c r="V1329" i="3" s="1"/>
  <c r="U1305" i="3"/>
  <c r="V1305" i="3" s="1"/>
  <c r="U1278" i="3"/>
  <c r="V1278" i="3" s="1"/>
  <c r="U1252" i="3"/>
  <c r="U1221" i="3"/>
  <c r="V1221" i="3" s="1"/>
  <c r="U1192" i="3"/>
  <c r="V1192" i="3" s="1"/>
  <c r="U1162" i="3"/>
  <c r="V1162" i="3" s="1"/>
  <c r="U1133" i="3"/>
  <c r="U1106" i="3"/>
  <c r="V1106" i="3" s="1"/>
  <c r="U1074" i="3"/>
  <c r="V1074" i="3" s="1"/>
  <c r="U1045" i="3"/>
  <c r="U1016" i="3"/>
  <c r="V1016" i="3" s="1"/>
  <c r="U997" i="3"/>
  <c r="V997" i="3" s="1"/>
  <c r="U983" i="3"/>
  <c r="U962" i="3"/>
  <c r="U941" i="3"/>
  <c r="U925" i="3"/>
  <c r="U904" i="3"/>
  <c r="U884" i="3"/>
  <c r="W884" i="3" s="1"/>
  <c r="U867" i="3"/>
  <c r="U860" i="3"/>
  <c r="V860" i="3" s="1"/>
  <c r="U854" i="3"/>
  <c r="V854" i="3" s="1"/>
  <c r="U847" i="3"/>
  <c r="X847" i="3" s="1"/>
  <c r="U841" i="3"/>
  <c r="W841" i="3" s="1"/>
  <c r="U834" i="3"/>
  <c r="U827" i="3"/>
  <c r="V827" i="3" s="1"/>
  <c r="U819" i="3"/>
  <c r="U812" i="3"/>
  <c r="U797" i="3"/>
  <c r="V797" i="3" s="1"/>
  <c r="U789" i="3"/>
  <c r="X789" i="3" s="1"/>
  <c r="U782" i="3"/>
  <c r="X782" i="3" s="1"/>
  <c r="U775" i="3"/>
  <c r="U767" i="3"/>
  <c r="U761" i="3"/>
  <c r="V761" i="3" s="1"/>
  <c r="U753" i="3"/>
  <c r="U739" i="3"/>
  <c r="U731" i="3"/>
  <c r="V731" i="3" s="1"/>
  <c r="U724" i="3"/>
  <c r="U718" i="3"/>
  <c r="U712" i="3"/>
  <c r="W712" i="3" s="1"/>
  <c r="U706" i="3"/>
  <c r="V706" i="3" s="1"/>
  <c r="U699" i="3"/>
  <c r="V699" i="3" s="1"/>
  <c r="U693" i="3"/>
  <c r="V693" i="3" s="1"/>
  <c r="U687" i="3"/>
  <c r="U681" i="3"/>
  <c r="V681" i="3" s="1"/>
  <c r="U669" i="3"/>
  <c r="V669" i="3" s="1"/>
  <c r="U662" i="3"/>
  <c r="V662" i="3" s="1"/>
  <c r="U656" i="3"/>
  <c r="U650" i="3"/>
  <c r="V650" i="3" s="1"/>
  <c r="U643" i="3"/>
  <c r="V643" i="3" s="1"/>
  <c r="U638" i="3"/>
  <c r="V638" i="3" s="1"/>
  <c r="U631" i="3"/>
  <c r="V631" i="3" s="1"/>
  <c r="U625" i="3"/>
  <c r="U617" i="3"/>
  <c r="U610" i="3"/>
  <c r="W610" i="3" s="1"/>
  <c r="U603" i="3"/>
  <c r="U1220" i="3"/>
  <c r="X1220" i="3" s="1"/>
  <c r="U1052" i="3"/>
  <c r="V1052" i="3" s="1"/>
  <c r="U963" i="3"/>
  <c r="U889" i="3"/>
  <c r="V889" i="3" s="1"/>
  <c r="U848" i="3"/>
  <c r="U820" i="3"/>
  <c r="X820" i="3" s="1"/>
  <c r="U790" i="3"/>
  <c r="X790" i="3" s="1"/>
  <c r="U732" i="3"/>
  <c r="U711" i="3"/>
  <c r="U676" i="3"/>
  <c r="V676" i="3" s="1"/>
  <c r="U661" i="3"/>
  <c r="U628" i="3"/>
  <c r="V628" i="3" s="1"/>
  <c r="U609" i="3"/>
  <c r="V609" i="3" s="1"/>
  <c r="U585" i="3"/>
  <c r="W585" i="3" s="1"/>
  <c r="U572" i="3"/>
  <c r="U560" i="3"/>
  <c r="U539" i="3"/>
  <c r="U525" i="3"/>
  <c r="V525" i="3" s="1"/>
  <c r="U513" i="3"/>
  <c r="V513" i="3" s="1"/>
  <c r="U502" i="3"/>
  <c r="V502" i="3" s="1"/>
  <c r="U490" i="3"/>
  <c r="V490" i="3" s="1"/>
  <c r="U479" i="3"/>
  <c r="V479" i="3" s="1"/>
  <c r="U467" i="3"/>
  <c r="W467" i="3" s="1"/>
  <c r="U435" i="3"/>
  <c r="W435" i="3" s="1"/>
  <c r="U425" i="3"/>
  <c r="V425" i="3" s="1"/>
  <c r="U417" i="3"/>
  <c r="V417" i="3" s="1"/>
  <c r="U401" i="3"/>
  <c r="X401" i="3" s="1"/>
  <c r="U394" i="3"/>
  <c r="V394" i="3" s="1"/>
  <c r="U386" i="3"/>
  <c r="V386" i="3" s="1"/>
  <c r="U378" i="3"/>
  <c r="V378" i="3" s="1"/>
  <c r="U369" i="3"/>
  <c r="U360" i="3"/>
  <c r="U353" i="3"/>
  <c r="U345" i="3"/>
  <c r="V345" i="3" s="1"/>
  <c r="U328" i="3"/>
  <c r="U321" i="3"/>
  <c r="U313" i="3"/>
  <c r="V313" i="3" s="1"/>
  <c r="U306" i="3"/>
  <c r="V306" i="3" s="1"/>
  <c r="U298" i="3"/>
  <c r="V298" i="3" s="1"/>
  <c r="U291" i="3"/>
  <c r="U284" i="3"/>
  <c r="U276" i="3"/>
  <c r="U268" i="3"/>
  <c r="U261" i="3"/>
  <c r="U255" i="3"/>
  <c r="V255" i="3" s="1"/>
  <c r="U248" i="3"/>
  <c r="X248" i="3" s="1"/>
  <c r="U240" i="3"/>
  <c r="U232" i="3"/>
  <c r="X232" i="3" s="1"/>
  <c r="U224" i="3"/>
  <c r="V224" i="3" s="1"/>
  <c r="U216" i="3"/>
  <c r="U209" i="3"/>
  <c r="X209" i="3" s="1"/>
  <c r="U201" i="3"/>
  <c r="U193" i="3"/>
  <c r="U187" i="3"/>
  <c r="W187" i="3" s="1"/>
  <c r="U179" i="3"/>
  <c r="W179" i="3" s="1"/>
  <c r="U171" i="3"/>
  <c r="W171" i="3" s="1"/>
  <c r="U164" i="3"/>
  <c r="W164" i="3" s="1"/>
  <c r="U156" i="3"/>
  <c r="U148" i="3"/>
  <c r="U140" i="3"/>
  <c r="U134" i="3"/>
  <c r="V134" i="3" s="1"/>
  <c r="U127" i="3"/>
  <c r="W127" i="3" s="1"/>
  <c r="U120" i="3"/>
  <c r="W120" i="3" s="1"/>
  <c r="U112" i="3"/>
  <c r="U104" i="3"/>
  <c r="W104" i="3" s="1"/>
  <c r="U96" i="3"/>
  <c r="U90" i="3"/>
  <c r="V90" i="3" s="1"/>
  <c r="U82" i="3"/>
  <c r="V82" i="3" s="1"/>
  <c r="U1418" i="3"/>
  <c r="U1191" i="3"/>
  <c r="U1044" i="3"/>
  <c r="U883" i="3"/>
  <c r="U846" i="3"/>
  <c r="U818" i="3"/>
  <c r="V818" i="3" s="1"/>
  <c r="U788" i="3"/>
  <c r="W788" i="3" s="1"/>
  <c r="U760" i="3"/>
  <c r="V760" i="3" s="1"/>
  <c r="U730" i="3"/>
  <c r="U707" i="3"/>
  <c r="U692" i="3"/>
  <c r="W692" i="3" s="1"/>
  <c r="U674" i="3"/>
  <c r="U626" i="3"/>
  <c r="V626" i="3" s="1"/>
  <c r="U606" i="3"/>
  <c r="V606" i="3" s="1"/>
  <c r="U584" i="3"/>
  <c r="X584" i="3" s="1"/>
  <c r="U571" i="3"/>
  <c r="U559" i="3"/>
  <c r="V559" i="3" s="1"/>
  <c r="U549" i="3"/>
  <c r="U536" i="3"/>
  <c r="W536" i="3" s="1"/>
  <c r="U512" i="3"/>
  <c r="U501" i="3"/>
  <c r="U488" i="3"/>
  <c r="U476" i="3"/>
  <c r="W476" i="3" s="1"/>
  <c r="U466" i="3"/>
  <c r="V466" i="3" s="1"/>
  <c r="U455" i="3"/>
  <c r="V455" i="3" s="1"/>
  <c r="U445" i="3"/>
  <c r="V445" i="3" s="1"/>
  <c r="U434" i="3"/>
  <c r="U424" i="3"/>
  <c r="U416" i="3"/>
  <c r="U400" i="3"/>
  <c r="V400" i="3" s="1"/>
  <c r="U385" i="3"/>
  <c r="U377" i="3"/>
  <c r="V377" i="3" s="1"/>
  <c r="U368" i="3"/>
  <c r="V368" i="3" s="1"/>
  <c r="U359" i="3"/>
  <c r="V359" i="3" s="1"/>
  <c r="U352" i="3"/>
  <c r="U344" i="3"/>
  <c r="U327" i="3"/>
  <c r="U320" i="3"/>
  <c r="V320" i="3" s="1"/>
  <c r="U312" i="3"/>
  <c r="U305" i="3"/>
  <c r="U297" i="3"/>
  <c r="V297" i="3" s="1"/>
  <c r="U290" i="3"/>
  <c r="V290" i="3" s="1"/>
  <c r="U283" i="3"/>
  <c r="U275" i="3"/>
  <c r="U267" i="3"/>
  <c r="U260" i="3"/>
  <c r="V260" i="3" s="1"/>
  <c r="U254" i="3"/>
  <c r="W254" i="3" s="1"/>
  <c r="U247" i="3"/>
  <c r="U239" i="3"/>
  <c r="V239" i="3" s="1"/>
  <c r="U231" i="3"/>
  <c r="U223" i="3"/>
  <c r="W223" i="3" s="1"/>
  <c r="U208" i="3"/>
  <c r="U200" i="3"/>
  <c r="U192" i="3"/>
  <c r="W192" i="3" s="1"/>
  <c r="U186" i="3"/>
  <c r="V186" i="3" s="1"/>
  <c r="U178" i="3"/>
  <c r="V178" i="3" s="1"/>
  <c r="U170" i="3"/>
  <c r="U163" i="3"/>
  <c r="W163" i="3" s="1"/>
  <c r="U155" i="3"/>
  <c r="W155" i="3" s="1"/>
  <c r="U147" i="3"/>
  <c r="U139" i="3"/>
  <c r="W139" i="3" s="1"/>
  <c r="U133" i="3"/>
  <c r="U126" i="3"/>
  <c r="W126" i="3" s="1"/>
  <c r="U119" i="3"/>
  <c r="U111" i="3"/>
  <c r="X111" i="3" s="1"/>
  <c r="U103" i="3"/>
  <c r="W103" i="3" s="1"/>
  <c r="U89" i="3"/>
  <c r="X89" i="3" s="1"/>
  <c r="U81" i="3"/>
  <c r="U75" i="3"/>
  <c r="W75" i="3" s="1"/>
  <c r="U67" i="3"/>
  <c r="X67" i="3" s="1"/>
  <c r="U59" i="3"/>
  <c r="W59" i="3" s="1"/>
  <c r="U51" i="3"/>
  <c r="U44" i="3"/>
  <c r="U36" i="3"/>
  <c r="W36" i="3" s="1"/>
  <c r="U28" i="3"/>
  <c r="X28" i="3" s="1"/>
  <c r="U21" i="3"/>
  <c r="U1388" i="3"/>
  <c r="V1388" i="3" s="1"/>
  <c r="U1161" i="3"/>
  <c r="U1021" i="3"/>
  <c r="W1021" i="3" s="1"/>
  <c r="U946" i="3"/>
  <c r="U868" i="3"/>
  <c r="U842" i="3"/>
  <c r="W842" i="3" s="1"/>
  <c r="U813" i="3"/>
  <c r="X813" i="3" s="1"/>
  <c r="U783" i="3"/>
  <c r="V783" i="3" s="1"/>
  <c r="U754" i="3"/>
  <c r="W754" i="3" s="1"/>
  <c r="U725" i="3"/>
  <c r="V725" i="3" s="1"/>
  <c r="U657" i="3"/>
  <c r="U639" i="3"/>
  <c r="U624" i="3"/>
  <c r="V624" i="3" s="1"/>
  <c r="U604" i="3"/>
  <c r="V604" i="3" s="1"/>
  <c r="U593" i="3"/>
  <c r="V593" i="3" s="1"/>
  <c r="U583" i="3"/>
  <c r="U569" i="3"/>
  <c r="U557" i="3"/>
  <c r="V557" i="3" s="1"/>
  <c r="U548" i="3"/>
  <c r="W548" i="3" s="1"/>
  <c r="U535" i="3"/>
  <c r="U524" i="3"/>
  <c r="V524" i="3" s="1"/>
  <c r="U511" i="3"/>
  <c r="V511" i="3" s="1"/>
  <c r="U498" i="3"/>
  <c r="U487" i="3"/>
  <c r="U475" i="3"/>
  <c r="U465" i="3"/>
  <c r="V465" i="3" s="1"/>
  <c r="U453" i="3"/>
  <c r="U443" i="3"/>
  <c r="V443" i="3" s="1"/>
  <c r="U433" i="3"/>
  <c r="V433" i="3" s="1"/>
  <c r="U415" i="3"/>
  <c r="U408" i="3"/>
  <c r="V408" i="3" s="1"/>
  <c r="U392" i="3"/>
  <c r="V392" i="3" s="1"/>
  <c r="U384" i="3"/>
  <c r="X384" i="3" s="1"/>
  <c r="U376" i="3"/>
  <c r="V376" i="3" s="1"/>
  <c r="U367" i="3"/>
  <c r="V367" i="3" s="1"/>
  <c r="U342" i="3"/>
  <c r="U335" i="3"/>
  <c r="V335" i="3" s="1"/>
  <c r="U326" i="3"/>
  <c r="W326" i="3" s="1"/>
  <c r="U319" i="3"/>
  <c r="W319" i="3" s="1"/>
  <c r="U311" i="3"/>
  <c r="U304" i="3"/>
  <c r="U296" i="3"/>
  <c r="V296" i="3" s="1"/>
  <c r="U289" i="3"/>
  <c r="V289" i="3" s="1"/>
  <c r="U282" i="3"/>
  <c r="V282" i="3" s="1"/>
  <c r="U274" i="3"/>
  <c r="V274" i="3" s="1"/>
  <c r="U266" i="3"/>
  <c r="U259" i="3"/>
  <c r="W259" i="3" s="1"/>
  <c r="U253" i="3"/>
  <c r="U246" i="3"/>
  <c r="U238" i="3"/>
  <c r="V238" i="3" s="1"/>
  <c r="U230" i="3"/>
  <c r="X230" i="3" s="1"/>
  <c r="U222" i="3"/>
  <c r="U215" i="3"/>
  <c r="V215" i="3" s="1"/>
  <c r="U207" i="3"/>
  <c r="W207" i="3" s="1"/>
  <c r="U199" i="3"/>
  <c r="W199" i="3" s="1"/>
  <c r="U185" i="3"/>
  <c r="X185" i="3" s="1"/>
  <c r="U177" i="3"/>
  <c r="X177" i="3" s="1"/>
  <c r="U169" i="3"/>
  <c r="X169" i="3" s="1"/>
  <c r="U162" i="3"/>
  <c r="V162" i="3" s="1"/>
  <c r="U154" i="3"/>
  <c r="V154" i="3" s="1"/>
  <c r="U146" i="3"/>
  <c r="U138" i="3"/>
  <c r="X138" i="3" s="1"/>
  <c r="U132" i="3"/>
  <c r="U125" i="3"/>
  <c r="U118" i="3"/>
  <c r="W118" i="3" s="1"/>
  <c r="U110" i="3"/>
  <c r="W110" i="3" s="1"/>
  <c r="U102" i="3"/>
  <c r="W102" i="3" s="1"/>
  <c r="U88" i="3"/>
  <c r="U80" i="3"/>
  <c r="U74" i="3"/>
  <c r="V74" i="3" s="1"/>
  <c r="U66" i="3"/>
  <c r="U58" i="3"/>
  <c r="U50" i="3"/>
  <c r="W50" i="3" s="1"/>
  <c r="U43" i="3"/>
  <c r="U35" i="3"/>
  <c r="U1356" i="3"/>
  <c r="U1132" i="3"/>
  <c r="V1132" i="3" s="1"/>
  <c r="U1015" i="3"/>
  <c r="W1015" i="3" s="1"/>
  <c r="U940" i="3"/>
  <c r="X940" i="3" s="1"/>
  <c r="U866" i="3"/>
  <c r="U840" i="3"/>
  <c r="V840" i="3" s="1"/>
  <c r="U811" i="3"/>
  <c r="U781" i="3"/>
  <c r="U752" i="3"/>
  <c r="V752" i="3" s="1"/>
  <c r="U723" i="3"/>
  <c r="V723" i="3" s="1"/>
  <c r="U688" i="3"/>
  <c r="V688" i="3" s="1"/>
  <c r="U670" i="3"/>
  <c r="U655" i="3"/>
  <c r="U620" i="3"/>
  <c r="V620" i="3" s="1"/>
  <c r="U602" i="3"/>
  <c r="U591" i="3"/>
  <c r="W591" i="3" s="1"/>
  <c r="U580" i="3"/>
  <c r="U568" i="3"/>
  <c r="V568" i="3" s="1"/>
  <c r="U556" i="3"/>
  <c r="W556" i="3" s="1"/>
  <c r="U547" i="3"/>
  <c r="W547" i="3" s="1"/>
  <c r="U533" i="3"/>
  <c r="U521" i="3"/>
  <c r="U510" i="3"/>
  <c r="V510" i="3" s="1"/>
  <c r="U497" i="3"/>
  <c r="X497" i="3" s="1"/>
  <c r="U473" i="3"/>
  <c r="V473" i="3" s="1"/>
  <c r="U462" i="3"/>
  <c r="U452" i="3"/>
  <c r="W452" i="3" s="1"/>
  <c r="U442" i="3"/>
  <c r="U432" i="3"/>
  <c r="U423" i="3"/>
  <c r="V423" i="3" s="1"/>
  <c r="U414" i="3"/>
  <c r="V414" i="3" s="1"/>
  <c r="U406" i="3"/>
  <c r="W406" i="3" s="1"/>
  <c r="U399" i="3"/>
  <c r="V399" i="3" s="1"/>
  <c r="U391" i="3"/>
  <c r="V391" i="3" s="1"/>
  <c r="U375" i="3"/>
  <c r="V375" i="3" s="1"/>
  <c r="U366" i="3"/>
  <c r="W366" i="3" s="1"/>
  <c r="U350" i="3"/>
  <c r="U341" i="3"/>
  <c r="U334" i="3"/>
  <c r="V334" i="3" s="1"/>
  <c r="U318" i="3"/>
  <c r="V318" i="3" s="1"/>
  <c r="U310" i="3"/>
  <c r="U303" i="3"/>
  <c r="V303" i="3" s="1"/>
  <c r="U288" i="3"/>
  <c r="X288" i="3" s="1"/>
  <c r="U1328" i="3"/>
  <c r="U1111" i="3"/>
  <c r="U926" i="3"/>
  <c r="V926" i="3" s="1"/>
  <c r="U861" i="3"/>
  <c r="V861" i="3" s="1"/>
  <c r="U835" i="3"/>
  <c r="W835" i="3" s="1"/>
  <c r="U805" i="3"/>
  <c r="U776" i="3"/>
  <c r="U746" i="3"/>
  <c r="W746" i="3" s="1"/>
  <c r="U719" i="3"/>
  <c r="U702" i="3"/>
  <c r="U686" i="3"/>
  <c r="U652" i="3"/>
  <c r="V652" i="3" s="1"/>
  <c r="U637" i="3"/>
  <c r="W637" i="3" s="1"/>
  <c r="U618" i="3"/>
  <c r="U599" i="3"/>
  <c r="V599" i="3" s="1"/>
  <c r="U590" i="3"/>
  <c r="W590" i="3" s="1"/>
  <c r="U579" i="3"/>
  <c r="U567" i="3"/>
  <c r="U544" i="3"/>
  <c r="U532" i="3"/>
  <c r="V532" i="3" s="1"/>
  <c r="U520" i="3"/>
  <c r="U509" i="3"/>
  <c r="U495" i="3"/>
  <c r="U484" i="3"/>
  <c r="V484" i="3" s="1"/>
  <c r="U472" i="3"/>
  <c r="W472" i="3" s="1"/>
  <c r="U461" i="3"/>
  <c r="U1105" i="3"/>
  <c r="V1105" i="3" s="1"/>
  <c r="U919" i="3"/>
  <c r="U859" i="3"/>
  <c r="U804" i="3"/>
  <c r="V804" i="3" s="1"/>
  <c r="U774" i="3"/>
  <c r="U700" i="3"/>
  <c r="W700" i="3" s="1"/>
  <c r="U684" i="3"/>
  <c r="W684" i="3" s="1"/>
  <c r="U668" i="3"/>
  <c r="U616" i="3"/>
  <c r="W616" i="3" s="1"/>
  <c r="U598" i="3"/>
  <c r="V598" i="3" s="1"/>
  <c r="U577" i="3"/>
  <c r="X577" i="3" s="1"/>
  <c r="U564" i="3"/>
  <c r="U554" i="3"/>
  <c r="V554" i="3" s="1"/>
  <c r="U543" i="3"/>
  <c r="X543" i="3" s="1"/>
  <c r="U531" i="3"/>
  <c r="U518" i="3"/>
  <c r="U506" i="3"/>
  <c r="U494" i="3"/>
  <c r="V494" i="3" s="1"/>
  <c r="U483" i="3"/>
  <c r="V483" i="3" s="1"/>
  <c r="U459" i="3"/>
  <c r="V459" i="3" s="1"/>
  <c r="U449" i="3"/>
  <c r="V449" i="3" s="1"/>
  <c r="U440" i="3"/>
  <c r="V440" i="3" s="1"/>
  <c r="U430" i="3"/>
  <c r="V430" i="3" s="1"/>
  <c r="U420" i="3"/>
  <c r="U411" i="3"/>
  <c r="X411" i="3" s="1"/>
  <c r="U404" i="3"/>
  <c r="V404" i="3" s="1"/>
  <c r="U397" i="3"/>
  <c r="W397" i="3" s="1"/>
  <c r="U382" i="3"/>
  <c r="U373" i="3"/>
  <c r="U363" i="3"/>
  <c r="V363" i="3" s="1"/>
  <c r="U356" i="3"/>
  <c r="U348" i="3"/>
  <c r="U339" i="3"/>
  <c r="X339" i="3" s="1"/>
  <c r="U332" i="3"/>
  <c r="V332" i="3" s="1"/>
  <c r="U324" i="3"/>
  <c r="U316" i="3"/>
  <c r="W316" i="3" s="1"/>
  <c r="U301" i="3"/>
  <c r="V301" i="3" s="1"/>
  <c r="U294" i="3"/>
  <c r="W294" i="3" s="1"/>
  <c r="U279" i="3"/>
  <c r="U271" i="3"/>
  <c r="U257" i="3"/>
  <c r="V257" i="3" s="1"/>
  <c r="U251" i="3"/>
  <c r="U243" i="3"/>
  <c r="W243" i="3" s="1"/>
  <c r="U235" i="3"/>
  <c r="W235" i="3" s="1"/>
  <c r="U227" i="3"/>
  <c r="V227" i="3" s="1"/>
  <c r="U219" i="3"/>
  <c r="W219" i="3" s="1"/>
  <c r="U212" i="3"/>
  <c r="W212" i="3" s="1"/>
  <c r="U204" i="3"/>
  <c r="U196" i="3"/>
  <c r="W196" i="3" s="1"/>
  <c r="U190" i="3"/>
  <c r="U182" i="3"/>
  <c r="U174" i="3"/>
  <c r="U159" i="3"/>
  <c r="U151" i="3"/>
  <c r="W151" i="3" s="1"/>
  <c r="U143" i="3"/>
  <c r="W143" i="3" s="1"/>
  <c r="U135" i="3"/>
  <c r="U129" i="3"/>
  <c r="W129" i="3" s="1"/>
  <c r="U122" i="3"/>
  <c r="U115" i="3"/>
  <c r="W115" i="3" s="1"/>
  <c r="U107" i="3"/>
  <c r="U99" i="3"/>
  <c r="W99" i="3" s="1"/>
  <c r="U93" i="3"/>
  <c r="W93" i="3" s="1"/>
  <c r="U85" i="3"/>
  <c r="U71" i="3"/>
  <c r="U63" i="3"/>
  <c r="W63" i="3" s="1"/>
  <c r="U55" i="3"/>
  <c r="U48" i="3"/>
  <c r="U40" i="3"/>
  <c r="U32" i="3"/>
  <c r="U25" i="3"/>
  <c r="W25" i="3" s="1"/>
  <c r="U17" i="3"/>
  <c r="X17" i="3" s="1"/>
  <c r="U27" i="3"/>
  <c r="V27" i="3" s="1"/>
  <c r="U39" i="3"/>
  <c r="X39" i="3" s="1"/>
  <c r="U52" i="3"/>
  <c r="U64" i="3"/>
  <c r="W64" i="3" s="1"/>
  <c r="U77" i="3"/>
  <c r="U91" i="3"/>
  <c r="U105" i="3"/>
  <c r="X105" i="3" s="1"/>
  <c r="U121" i="3"/>
  <c r="V121" i="3" s="1"/>
  <c r="U149" i="3"/>
  <c r="U165" i="3"/>
  <c r="W165" i="3" s="1"/>
  <c r="U180" i="3"/>
  <c r="U194" i="3"/>
  <c r="V194" i="3" s="1"/>
  <c r="U210" i="3"/>
  <c r="V210" i="3" s="1"/>
  <c r="U225" i="3"/>
  <c r="U241" i="3"/>
  <c r="X241" i="3" s="1"/>
  <c r="U269" i="3"/>
  <c r="W269" i="3" s="1"/>
  <c r="U285" i="3"/>
  <c r="U302" i="3"/>
  <c r="U323" i="3"/>
  <c r="V323" i="3" s="1"/>
  <c r="U346" i="3"/>
  <c r="V346" i="3" s="1"/>
  <c r="U365" i="3"/>
  <c r="U389" i="3"/>
  <c r="V389" i="3" s="1"/>
  <c r="U409" i="3"/>
  <c r="X409" i="3" s="1"/>
  <c r="U431" i="3"/>
  <c r="U458" i="3"/>
  <c r="U505" i="3"/>
  <c r="V505" i="3" s="1"/>
  <c r="U553" i="3"/>
  <c r="V553" i="3" s="1"/>
  <c r="U597" i="3"/>
  <c r="V597" i="3" s="1"/>
  <c r="U664" i="3"/>
  <c r="V664" i="3" s="1"/>
  <c r="U740" i="3"/>
  <c r="U1277" i="3"/>
  <c r="V1277" i="3" s="1"/>
  <c r="X20" i="3"/>
  <c r="Y20" i="3" s="1"/>
  <c r="X33" i="3"/>
  <c r="W268" i="3"/>
  <c r="W317" i="3"/>
  <c r="W920" i="3"/>
  <c r="W1077" i="3"/>
  <c r="W1332" i="3"/>
  <c r="W54" i="3"/>
  <c r="Y54" i="3" s="1"/>
  <c r="W83" i="3"/>
  <c r="Y83" i="3" s="1"/>
  <c r="W206" i="3"/>
  <c r="Y206" i="3" s="1"/>
  <c r="W247" i="3"/>
  <c r="W405" i="3"/>
  <c r="W634" i="3"/>
  <c r="W757" i="3"/>
  <c r="X892" i="3"/>
  <c r="W927" i="3"/>
  <c r="W952" i="3"/>
  <c r="W1099" i="3"/>
  <c r="W1164" i="3"/>
  <c r="W1223" i="3"/>
  <c r="W1295" i="3"/>
  <c r="X73" i="3"/>
  <c r="Y73" i="3" s="1"/>
  <c r="X113" i="3"/>
  <c r="Y113" i="3" s="1"/>
  <c r="W142" i="3"/>
  <c r="Y142" i="3" s="1"/>
  <c r="W182" i="3"/>
  <c r="W573" i="3"/>
  <c r="X862" i="3"/>
  <c r="W867" i="3"/>
  <c r="W877" i="3"/>
  <c r="W901" i="3"/>
  <c r="W922" i="3"/>
  <c r="W1093" i="3"/>
  <c r="X1184" i="3"/>
  <c r="X1211" i="3"/>
  <c r="X1218" i="3"/>
  <c r="X1276" i="3"/>
  <c r="W1318" i="3"/>
  <c r="W277" i="3"/>
  <c r="X310" i="3"/>
  <c r="W315" i="3"/>
  <c r="W333" i="3"/>
  <c r="Y333" i="3" s="1"/>
  <c r="W374" i="3"/>
  <c r="W446" i="3"/>
  <c r="Y446" i="3" s="1"/>
  <c r="X469" i="3"/>
  <c r="W478" i="3"/>
  <c r="X562" i="3"/>
  <c r="W707" i="3"/>
  <c r="W753" i="3"/>
  <c r="W812" i="3"/>
  <c r="X823" i="3"/>
  <c r="X845" i="3"/>
  <c r="W898" i="3"/>
  <c r="W908" i="3"/>
  <c r="W977" i="3"/>
  <c r="W986" i="3"/>
  <c r="W998" i="3"/>
  <c r="W37" i="3"/>
  <c r="Y37" i="3" s="1"/>
  <c r="W69" i="3"/>
  <c r="Y69" i="3" s="1"/>
  <c r="W438" i="3"/>
  <c r="Y438" i="3" s="1"/>
  <c r="W457" i="3"/>
  <c r="W542" i="3"/>
  <c r="W611" i="3"/>
  <c r="X617" i="3"/>
  <c r="W657" i="3"/>
  <c r="X807" i="3"/>
  <c r="X1020" i="3"/>
  <c r="W1049" i="3"/>
  <c r="W1101" i="3"/>
  <c r="X1251" i="3"/>
  <c r="Y1251" i="3" s="1"/>
  <c r="X1297" i="3"/>
  <c r="X1391" i="3"/>
  <c r="W132" i="3"/>
  <c r="W172" i="3"/>
  <c r="Y172" i="3" s="1"/>
  <c r="X328" i="3"/>
  <c r="W382" i="3"/>
  <c r="W398" i="3"/>
  <c r="X453" i="3"/>
  <c r="X661" i="3"/>
  <c r="W698" i="3"/>
  <c r="Y698" i="3" s="1"/>
  <c r="W715" i="3"/>
  <c r="X729" i="3"/>
  <c r="W836" i="3"/>
  <c r="W859" i="3"/>
  <c r="X903" i="3"/>
  <c r="W70" i="3"/>
  <c r="Y70" i="3" s="1"/>
  <c r="W503" i="3"/>
  <c r="W516" i="3"/>
  <c r="Y516" i="3" s="1"/>
  <c r="W575" i="3"/>
  <c r="X618" i="3"/>
  <c r="W803" i="3"/>
  <c r="W890" i="3"/>
  <c r="X57" i="3"/>
  <c r="Y57" i="3" s="1"/>
  <c r="W148" i="3"/>
  <c r="X16" i="3"/>
  <c r="Y16" i="3" s="1"/>
  <c r="X30" i="3"/>
  <c r="Y30" i="3" s="1"/>
  <c r="Y33" i="3"/>
  <c r="X56" i="3"/>
  <c r="Y56" i="3" s="1"/>
  <c r="X87" i="3"/>
  <c r="Y87" i="3" s="1"/>
  <c r="W289" i="3"/>
  <c r="W473" i="3"/>
  <c r="X473" i="3"/>
  <c r="X502" i="3"/>
  <c r="W502" i="3"/>
  <c r="X709" i="3"/>
  <c r="W709" i="3"/>
  <c r="X850" i="3"/>
  <c r="W850" i="3"/>
  <c r="W838" i="3"/>
  <c r="X838" i="3"/>
  <c r="W1423" i="3"/>
  <c r="X1423" i="3"/>
  <c r="W40" i="3"/>
  <c r="W88" i="3"/>
  <c r="W158" i="3"/>
  <c r="Y158" i="3" s="1"/>
  <c r="X530" i="3"/>
  <c r="W530" i="3"/>
  <c r="X645" i="3"/>
  <c r="W645" i="3"/>
  <c r="W734" i="3"/>
  <c r="X829" i="3"/>
  <c r="X1282" i="3"/>
  <c r="W1282" i="3"/>
  <c r="X1365" i="3"/>
  <c r="W1365" i="3"/>
  <c r="W15" i="3"/>
  <c r="Y15" i="3" s="1"/>
  <c r="X24" i="3"/>
  <c r="Y24" i="3" s="1"/>
  <c r="W31" i="3"/>
  <c r="Y31" i="3" s="1"/>
  <c r="W38" i="3"/>
  <c r="Y38" i="3" s="1"/>
  <c r="X47" i="3"/>
  <c r="Y47" i="3" s="1"/>
  <c r="W51" i="3"/>
  <c r="X62" i="3"/>
  <c r="Y62" i="3" s="1"/>
  <c r="W86" i="3"/>
  <c r="Y86" i="3" s="1"/>
  <c r="X119" i="3"/>
  <c r="W123" i="3"/>
  <c r="Y123" i="3" s="1"/>
  <c r="X130" i="3"/>
  <c r="Y130" i="3" s="1"/>
  <c r="X167" i="3"/>
  <c r="Y167" i="3" s="1"/>
  <c r="W188" i="3"/>
  <c r="Y188" i="3" s="1"/>
  <c r="W198" i="3"/>
  <c r="Y198" i="3" s="1"/>
  <c r="X222" i="3"/>
  <c r="W261" i="3"/>
  <c r="X278" i="3"/>
  <c r="Y278" i="3" s="1"/>
  <c r="W309" i="3"/>
  <c r="Y309" i="3" s="1"/>
  <c r="X329" i="3"/>
  <c r="W422" i="3"/>
  <c r="Y422" i="3" s="1"/>
  <c r="W605" i="3"/>
  <c r="W619" i="3"/>
  <c r="W641" i="3"/>
  <c r="X766" i="3"/>
  <c r="W766" i="3"/>
  <c r="X1150" i="3"/>
  <c r="W1235" i="3"/>
  <c r="X1235" i="3"/>
  <c r="W1243" i="3"/>
  <c r="X1243" i="3"/>
  <c r="W236" i="3"/>
  <c r="W318" i="3"/>
  <c r="W35" i="3"/>
  <c r="X65" i="3"/>
  <c r="Y65" i="3" s="1"/>
  <c r="W174" i="3"/>
  <c r="W183" i="3"/>
  <c r="Y183" i="3" s="1"/>
  <c r="W245" i="3"/>
  <c r="Y245" i="3" s="1"/>
  <c r="X256" i="3"/>
  <c r="Y256" i="3" s="1"/>
  <c r="W270" i="3"/>
  <c r="Y270" i="3" s="1"/>
  <c r="X367" i="3"/>
  <c r="W390" i="3"/>
  <c r="X466" i="3"/>
  <c r="W466" i="3"/>
  <c r="W479" i="3"/>
  <c r="X713" i="3"/>
  <c r="W713" i="3"/>
  <c r="X913" i="3"/>
  <c r="X41" i="3"/>
  <c r="Y41" i="3" s="1"/>
  <c r="W48" i="3"/>
  <c r="W72" i="3"/>
  <c r="W79" i="3"/>
  <c r="Y79" i="3" s="1"/>
  <c r="W94" i="3"/>
  <c r="Y94" i="3" s="1"/>
  <c r="W140" i="3"/>
  <c r="W150" i="3"/>
  <c r="Y150" i="3" s="1"/>
  <c r="W214" i="3"/>
  <c r="Y214" i="3" s="1"/>
  <c r="W229" i="3"/>
  <c r="W262" i="3"/>
  <c r="W287" i="3"/>
  <c r="W292" i="3"/>
  <c r="X385" i="3"/>
  <c r="X878" i="3"/>
  <c r="X359" i="3"/>
  <c r="W19" i="3"/>
  <c r="Y19" i="3" s="1"/>
  <c r="W23" i="3"/>
  <c r="Y23" i="3" s="1"/>
  <c r="W46" i="3"/>
  <c r="Y46" i="3" s="1"/>
  <c r="W107" i="3"/>
  <c r="X293" i="3"/>
  <c r="W293" i="3"/>
  <c r="Y293" i="3" s="1"/>
  <c r="W571" i="3"/>
  <c r="W601" i="3"/>
  <c r="W786" i="3"/>
  <c r="W875" i="3"/>
  <c r="X97" i="3"/>
  <c r="Y97" i="3" s="1"/>
  <c r="W101" i="3"/>
  <c r="Y101" i="3" s="1"/>
  <c r="W136" i="3"/>
  <c r="Y136" i="3" s="1"/>
  <c r="W156" i="3"/>
  <c r="W342" i="3"/>
  <c r="W429" i="3"/>
  <c r="W514" i="3"/>
  <c r="W534" i="3"/>
  <c r="X546" i="3"/>
  <c r="X781" i="3"/>
  <c r="X796" i="3"/>
  <c r="W796" i="3"/>
  <c r="X945" i="3"/>
  <c r="W945" i="3"/>
  <c r="X1091" i="3"/>
  <c r="W1091" i="3"/>
  <c r="W1182" i="3"/>
  <c r="X1025" i="3"/>
  <c r="X1040" i="3"/>
  <c r="W1040" i="3"/>
  <c r="W1086" i="3"/>
  <c r="X1086" i="3"/>
  <c r="W1271" i="3"/>
  <c r="X1290" i="3"/>
  <c r="W1290" i="3"/>
  <c r="X305" i="3"/>
  <c r="W364" i="3"/>
  <c r="W380" i="3"/>
  <c r="W564" i="3"/>
  <c r="W694" i="3"/>
  <c r="W758" i="3"/>
  <c r="W771" i="3"/>
  <c r="X787" i="3"/>
  <c r="W787" i="3"/>
  <c r="W826" i="3"/>
  <c r="X851" i="3"/>
  <c r="W851" i="3"/>
  <c r="W1159" i="3"/>
  <c r="X1159" i="3"/>
  <c r="W1411" i="3"/>
  <c r="W1431" i="3"/>
  <c r="X1431" i="3"/>
  <c r="X1034" i="3"/>
  <c r="W1034" i="3"/>
  <c r="X1075" i="3"/>
  <c r="W1075" i="3"/>
  <c r="X1384" i="3"/>
  <c r="W324" i="3"/>
  <c r="W357" i="3"/>
  <c r="Y357" i="3" s="1"/>
  <c r="W365" i="3"/>
  <c r="W396" i="3"/>
  <c r="Y396" i="3" s="1"/>
  <c r="W412" i="3"/>
  <c r="W463" i="3"/>
  <c r="W535" i="3"/>
  <c r="W587" i="3"/>
  <c r="W646" i="3"/>
  <c r="W691" i="3"/>
  <c r="W739" i="3"/>
  <c r="W755" i="3"/>
  <c r="W381" i="3"/>
  <c r="Y381" i="3" s="1"/>
  <c r="W428" i="3"/>
  <c r="X481" i="3"/>
  <c r="X489" i="3"/>
  <c r="W540" i="3"/>
  <c r="W1069" i="3"/>
  <c r="X1083" i="3"/>
  <c r="W1102" i="3"/>
  <c r="X1102" i="3"/>
  <c r="X1232" i="3"/>
  <c r="W1232" i="3"/>
  <c r="X1240" i="3"/>
  <c r="W1240" i="3"/>
  <c r="X1279" i="3"/>
  <c r="W1279" i="3"/>
  <c r="Y1279" i="3" s="1"/>
  <c r="W974" i="3"/>
  <c r="W1165" i="3"/>
  <c r="W1356" i="3"/>
  <c r="X805" i="3"/>
  <c r="W852" i="3"/>
  <c r="X887" i="3"/>
  <c r="X902" i="3"/>
  <c r="W907" i="3"/>
  <c r="W984" i="3"/>
  <c r="Y984" i="3" s="1"/>
  <c r="W1041" i="3"/>
  <c r="X1060" i="3"/>
  <c r="X1079" i="3"/>
  <c r="X1103" i="3"/>
  <c r="X1183" i="3"/>
  <c r="W1217" i="3"/>
  <c r="W1233" i="3"/>
  <c r="X1236" i="3"/>
  <c r="W1241" i="3"/>
  <c r="X1244" i="3"/>
  <c r="W1272" i="3"/>
  <c r="W1303" i="3"/>
  <c r="X1342" i="3"/>
  <c r="X1351" i="3"/>
  <c r="W1403" i="3"/>
  <c r="X1407" i="3"/>
  <c r="W819" i="3"/>
  <c r="X895" i="3"/>
  <c r="W946" i="3"/>
  <c r="W968" i="3"/>
  <c r="X971" i="3"/>
  <c r="W993" i="3"/>
  <c r="W1026" i="3"/>
  <c r="W1032" i="3"/>
  <c r="X1088" i="3"/>
  <c r="X1096" i="3"/>
  <c r="X1252" i="3"/>
  <c r="W1257" i="3"/>
  <c r="W1288" i="3"/>
  <c r="X1311" i="3"/>
  <c r="W1395" i="3"/>
  <c r="W1468" i="3"/>
  <c r="X1143" i="3"/>
  <c r="X1152" i="3"/>
  <c r="W1166" i="3"/>
  <c r="X1299" i="3"/>
  <c r="X1352" i="3"/>
  <c r="X1367" i="3"/>
  <c r="W1387" i="3"/>
  <c r="W1404" i="3"/>
  <c r="W1413" i="3"/>
  <c r="W1429" i="3"/>
  <c r="X947" i="3"/>
  <c r="W1190" i="3"/>
  <c r="W1222" i="3"/>
  <c r="X1327" i="3"/>
  <c r="X1144" i="3"/>
  <c r="W1158" i="3"/>
  <c r="X1167" i="3"/>
  <c r="W1231" i="3"/>
  <c r="W1239" i="3"/>
  <c r="X1344" i="3"/>
  <c r="W1364" i="3"/>
  <c r="W1460" i="3"/>
  <c r="X114" i="3"/>
  <c r="W114" i="3"/>
  <c r="X42" i="3"/>
  <c r="W42" i="3"/>
  <c r="X106" i="3"/>
  <c r="W106" i="3"/>
  <c r="W160" i="3"/>
  <c r="X160" i="3"/>
  <c r="W210" i="3"/>
  <c r="X210" i="3"/>
  <c r="W186" i="3"/>
  <c r="X82" i="3"/>
  <c r="W82" i="3"/>
  <c r="W194" i="3"/>
  <c r="W184" i="3"/>
  <c r="X184" i="3"/>
  <c r="X394" i="3"/>
  <c r="W394" i="3"/>
  <c r="X34" i="3"/>
  <c r="W34" i="3"/>
  <c r="X98" i="3"/>
  <c r="W98" i="3"/>
  <c r="W162" i="3"/>
  <c r="X176" i="3"/>
  <c r="W176" i="3"/>
  <c r="W226" i="3"/>
  <c r="X226" i="3"/>
  <c r="X26" i="3"/>
  <c r="W26" i="3"/>
  <c r="W29" i="3"/>
  <c r="Y29" i="3" s="1"/>
  <c r="W61" i="3"/>
  <c r="Y61" i="3" s="1"/>
  <c r="Y72" i="3"/>
  <c r="W152" i="3"/>
  <c r="X152" i="3"/>
  <c r="W202" i="3"/>
  <c r="X202" i="3"/>
  <c r="W242" i="3"/>
  <c r="X242" i="3"/>
  <c r="X18" i="3"/>
  <c r="W18" i="3"/>
  <c r="W90" i="3"/>
  <c r="W178" i="3"/>
  <c r="X178" i="3"/>
  <c r="W258" i="3"/>
  <c r="X258" i="3"/>
  <c r="W337" i="3"/>
  <c r="X337" i="3"/>
  <c r="W377" i="3"/>
  <c r="X377" i="3"/>
  <c r="X1185" i="3"/>
  <c r="W45" i="3"/>
  <c r="Y45" i="3" s="1"/>
  <c r="W77" i="3"/>
  <c r="W109" i="3"/>
  <c r="Y109" i="3" s="1"/>
  <c r="W53" i="3"/>
  <c r="Y53" i="3" s="1"/>
  <c r="W85" i="3"/>
  <c r="W117" i="3"/>
  <c r="Y117" i="3" s="1"/>
  <c r="W144" i="3"/>
  <c r="Y144" i="3" s="1"/>
  <c r="W154" i="3"/>
  <c r="X154" i="3"/>
  <c r="W168" i="3"/>
  <c r="X168" i="3"/>
  <c r="W218" i="3"/>
  <c r="X218" i="3"/>
  <c r="W346" i="3"/>
  <c r="X355" i="3"/>
  <c r="W355" i="3"/>
  <c r="X233" i="3"/>
  <c r="Y233" i="3" s="1"/>
  <c r="X249" i="3"/>
  <c r="X265" i="3"/>
  <c r="X306" i="3"/>
  <c r="W306" i="3"/>
  <c r="X321" i="3"/>
  <c r="X338" i="3"/>
  <c r="W338" i="3"/>
  <c r="Y338" i="3" s="1"/>
  <c r="X347" i="3"/>
  <c r="W347" i="3"/>
  <c r="X369" i="3"/>
  <c r="X378" i="3"/>
  <c r="W378" i="3"/>
  <c r="X395" i="3"/>
  <c r="W395" i="3"/>
  <c r="X439" i="3"/>
  <c r="X298" i="3"/>
  <c r="X314" i="3"/>
  <c r="W314" i="3"/>
  <c r="X370" i="3"/>
  <c r="W370" i="3"/>
  <c r="X387" i="3"/>
  <c r="X403" i="3"/>
  <c r="W60" i="3"/>
  <c r="Y60" i="3" s="1"/>
  <c r="W68" i="3"/>
  <c r="Y68" i="3" s="1"/>
  <c r="W76" i="3"/>
  <c r="Y76" i="3" s="1"/>
  <c r="W84" i="3"/>
  <c r="Y84" i="3" s="1"/>
  <c r="W92" i="3"/>
  <c r="Y92" i="3" s="1"/>
  <c r="W100" i="3"/>
  <c r="Y100" i="3" s="1"/>
  <c r="W108" i="3"/>
  <c r="Y108" i="3" s="1"/>
  <c r="W116" i="3"/>
  <c r="Y116" i="3" s="1"/>
  <c r="W124" i="3"/>
  <c r="Y124" i="3" s="1"/>
  <c r="W131" i="3"/>
  <c r="Y131" i="3" s="1"/>
  <c r="W141" i="3"/>
  <c r="Y141" i="3" s="1"/>
  <c r="W157" i="3"/>
  <c r="Y157" i="3" s="1"/>
  <c r="W173" i="3"/>
  <c r="Y173" i="3" s="1"/>
  <c r="W181" i="3"/>
  <c r="Y181" i="3" s="1"/>
  <c r="W189" i="3"/>
  <c r="Y189" i="3" s="1"/>
  <c r="W195" i="3"/>
  <c r="Y195" i="3" s="1"/>
  <c r="W203" i="3"/>
  <c r="Y203" i="3" s="1"/>
  <c r="W205" i="3"/>
  <c r="W211" i="3"/>
  <c r="Y211" i="3" s="1"/>
  <c r="X273" i="3"/>
  <c r="Y273" i="3" s="1"/>
  <c r="X322" i="3"/>
  <c r="W322" i="3"/>
  <c r="X379" i="3"/>
  <c r="W379" i="3"/>
  <c r="X137" i="3"/>
  <c r="Y137" i="3" s="1"/>
  <c r="X145" i="3"/>
  <c r="Y145" i="3" s="1"/>
  <c r="X153" i="3"/>
  <c r="Y153" i="3" s="1"/>
  <c r="X161" i="3"/>
  <c r="Y161" i="3" s="1"/>
  <c r="X201" i="3"/>
  <c r="X217" i="3"/>
  <c r="Y217" i="3" s="1"/>
  <c r="X234" i="3"/>
  <c r="X250" i="3"/>
  <c r="X266" i="3"/>
  <c r="X281" i="3"/>
  <c r="W307" i="3"/>
  <c r="X418" i="3"/>
  <c r="W418" i="3"/>
  <c r="X664" i="3"/>
  <c r="W664" i="3"/>
  <c r="X667" i="3"/>
  <c r="W667" i="3"/>
  <c r="W14" i="3"/>
  <c r="Y14" i="3" s="1"/>
  <c r="W22" i="3"/>
  <c r="Y22" i="3" s="1"/>
  <c r="X331" i="3"/>
  <c r="W331" i="3"/>
  <c r="X354" i="3"/>
  <c r="W354" i="3"/>
  <c r="Y354" i="3" s="1"/>
  <c r="W363" i="3"/>
  <c r="X410" i="3"/>
  <c r="W410" i="3"/>
  <c r="X427" i="3"/>
  <c r="W427" i="3"/>
  <c r="X441" i="3"/>
  <c r="W441" i="3"/>
  <c r="W228" i="3"/>
  <c r="W244" i="3"/>
  <c r="X282" i="3"/>
  <c r="W282" i="3"/>
  <c r="X312" i="3"/>
  <c r="X402" i="3"/>
  <c r="W402" i="3"/>
  <c r="X419" i="3"/>
  <c r="W419" i="3"/>
  <c r="W483" i="3"/>
  <c r="W513" i="3"/>
  <c r="X631" i="3"/>
  <c r="W631" i="3"/>
  <c r="X529" i="3"/>
  <c r="W529" i="3"/>
  <c r="X448" i="3"/>
  <c r="W448" i="3"/>
  <c r="X459" i="3"/>
  <c r="W459" i="3"/>
  <c r="X537" i="3"/>
  <c r="X561" i="3"/>
  <c r="W561" i="3"/>
  <c r="W602" i="3"/>
  <c r="X491" i="3"/>
  <c r="W491" i="3"/>
  <c r="X768" i="3"/>
  <c r="W768" i="3"/>
  <c r="X873" i="3"/>
  <c r="W873" i="3"/>
  <c r="X596" i="3"/>
  <c r="W596" i="3"/>
  <c r="X680" i="3"/>
  <c r="W680" i="3"/>
  <c r="X889" i="3"/>
  <c r="W889" i="3"/>
  <c r="W555" i="3"/>
  <c r="X632" i="3"/>
  <c r="W632" i="3"/>
  <c r="W683" i="3"/>
  <c r="X752" i="3"/>
  <c r="W752" i="3"/>
  <c r="X1030" i="3"/>
  <c r="W1030" i="3"/>
  <c r="W464" i="3"/>
  <c r="W480" i="3"/>
  <c r="W520" i="3"/>
  <c r="W528" i="3"/>
  <c r="W552" i="3"/>
  <c r="X572" i="3"/>
  <c r="X576" i="3"/>
  <c r="Y576" i="3" s="1"/>
  <c r="X580" i="3"/>
  <c r="X588" i="3"/>
  <c r="W594" i="3"/>
  <c r="X696" i="3"/>
  <c r="W696" i="3"/>
  <c r="W509" i="3"/>
  <c r="W541" i="3"/>
  <c r="W549" i="3"/>
  <c r="W615" i="3"/>
  <c r="X824" i="3"/>
  <c r="W824" i="3"/>
  <c r="X628" i="3"/>
  <c r="W628" i="3"/>
  <c r="X760" i="3"/>
  <c r="W760" i="3"/>
  <c r="W604" i="3"/>
  <c r="W776" i="3"/>
  <c r="X792" i="3"/>
  <c r="W792" i="3"/>
  <c r="W808" i="3"/>
  <c r="W857" i="3"/>
  <c r="X934" i="3"/>
  <c r="W934" i="3"/>
  <c r="X905" i="3"/>
  <c r="W905" i="3"/>
  <c r="X935" i="3"/>
  <c r="W935" i="3"/>
  <c r="X965" i="3"/>
  <c r="W965" i="3"/>
  <c r="W1095" i="3"/>
  <c r="X1095" i="3"/>
  <c r="W817" i="3"/>
  <c r="W914" i="3"/>
  <c r="X917" i="3"/>
  <c r="W639" i="3"/>
  <c r="W663" i="3"/>
  <c r="W679" i="3"/>
  <c r="W687" i="3"/>
  <c r="W695" i="3"/>
  <c r="W719" i="3"/>
  <c r="W727" i="3"/>
  <c r="W751" i="3"/>
  <c r="X865" i="3"/>
  <c r="W865" i="3"/>
  <c r="X881" i="3"/>
  <c r="W881" i="3"/>
  <c r="X930" i="3"/>
  <c r="W930" i="3"/>
  <c r="W708" i="3"/>
  <c r="W724" i="3"/>
  <c r="W748" i="3"/>
  <c r="W756" i="3"/>
  <c r="W772" i="3"/>
  <c r="X798" i="3"/>
  <c r="X814" i="3"/>
  <c r="X989" i="3"/>
  <c r="W989" i="3"/>
  <c r="Y989" i="3" s="1"/>
  <c r="W1022" i="3"/>
  <c r="W919" i="3"/>
  <c r="W942" i="3"/>
  <c r="X979" i="3"/>
  <c r="X943" i="3"/>
  <c r="W943" i="3"/>
  <c r="X1071" i="3"/>
  <c r="W981" i="3"/>
  <c r="X933" i="3"/>
  <c r="W958" i="3"/>
  <c r="X963" i="3"/>
  <c r="X1038" i="3"/>
  <c r="W1154" i="3"/>
  <c r="X1186" i="3"/>
  <c r="W1186" i="3"/>
  <c r="W1011" i="3"/>
  <c r="W1027" i="3"/>
  <c r="X1207" i="3"/>
  <c r="W1207" i="3"/>
  <c r="X1162" i="3"/>
  <c r="W1013" i="3"/>
  <c r="W1037" i="3"/>
  <c r="W1045" i="3"/>
  <c r="W1053" i="3"/>
  <c r="W1068" i="3"/>
  <c r="X1072" i="3"/>
  <c r="X1169" i="3"/>
  <c r="W1169" i="3"/>
  <c r="X1138" i="3"/>
  <c r="X1192" i="3"/>
  <c r="W1192" i="3"/>
  <c r="W967" i="3"/>
  <c r="W975" i="3"/>
  <c r="W983" i="3"/>
  <c r="W999" i="3"/>
  <c r="W1007" i="3"/>
  <c r="W1047" i="3"/>
  <c r="X1089" i="3"/>
  <c r="X1121" i="3"/>
  <c r="W1121" i="3"/>
  <c r="X1145" i="3"/>
  <c r="W1145" i="3"/>
  <c r="X1177" i="3"/>
  <c r="W1177" i="3"/>
  <c r="X1146" i="3"/>
  <c r="W1146" i="3"/>
  <c r="X1178" i="3"/>
  <c r="W1178" i="3"/>
  <c r="X1237" i="3"/>
  <c r="W1237" i="3"/>
  <c r="X1205" i="3"/>
  <c r="X1269" i="3"/>
  <c r="W1269" i="3"/>
  <c r="X1337" i="3"/>
  <c r="W1353" i="3"/>
  <c r="X1238" i="3"/>
  <c r="W1238" i="3"/>
  <c r="X1270" i="3"/>
  <c r="W1270" i="3"/>
  <c r="Y1270" i="3" s="1"/>
  <c r="W1286" i="3"/>
  <c r="X1302" i="3"/>
  <c r="W1302" i="3"/>
  <c r="W1107" i="3"/>
  <c r="W1131" i="3"/>
  <c r="W1155" i="3"/>
  <c r="W1163" i="3"/>
  <c r="X1212" i="3"/>
  <c r="X1245" i="3"/>
  <c r="W1245" i="3"/>
  <c r="Y1245" i="3" s="1"/>
  <c r="X1293" i="3"/>
  <c r="W1293" i="3"/>
  <c r="X1246" i="3"/>
  <c r="W1246" i="3"/>
  <c r="W1278" i="3"/>
  <c r="X1294" i="3"/>
  <c r="W1294" i="3"/>
  <c r="X1354" i="3"/>
  <c r="W1354" i="3"/>
  <c r="X1361" i="3"/>
  <c r="W1361" i="3"/>
  <c r="X1402" i="3"/>
  <c r="W1402" i="3"/>
  <c r="Y1402" i="3" s="1"/>
  <c r="X1369" i="3"/>
  <c r="W1369" i="3"/>
  <c r="X1370" i="3"/>
  <c r="W1370" i="3"/>
  <c r="X1410" i="3"/>
  <c r="W1410" i="3"/>
  <c r="X1434" i="3"/>
  <c r="W1434" i="3"/>
  <c r="W1321" i="3"/>
  <c r="X1378" i="3"/>
  <c r="W1378" i="3"/>
  <c r="X1442" i="3"/>
  <c r="W1442" i="3"/>
  <c r="X1449" i="3"/>
  <c r="W1449" i="3"/>
  <c r="X1313" i="3"/>
  <c r="W1313" i="3"/>
  <c r="X1418" i="3"/>
  <c r="X1450" i="3"/>
  <c r="W1450" i="3"/>
  <c r="X1345" i="3"/>
  <c r="W1345" i="3"/>
  <c r="X1393" i="3"/>
  <c r="W1393" i="3"/>
  <c r="W1458" i="3"/>
  <c r="W1394" i="3"/>
  <c r="X1425" i="3"/>
  <c r="W1425" i="3"/>
  <c r="X1466" i="3"/>
  <c r="W1466" i="3"/>
  <c r="W1358" i="3"/>
  <c r="W1366" i="3"/>
  <c r="W1406" i="3"/>
  <c r="W1414" i="3"/>
  <c r="W1422" i="3"/>
  <c r="W1438" i="3"/>
  <c r="W1446" i="3"/>
  <c r="W1470" i="3"/>
  <c r="W1363" i="3"/>
  <c r="W1371" i="3"/>
  <c r="W1379" i="3"/>
  <c r="W1435" i="3"/>
  <c r="W1451" i="3"/>
  <c r="W1467" i="3"/>
  <c r="W1474" i="3"/>
  <c r="Y1474" i="3" s="1"/>
  <c r="Y262" i="3" l="1"/>
  <c r="Y390" i="3"/>
  <c r="Y82" i="3"/>
  <c r="Y798" i="3"/>
  <c r="W1385" i="3"/>
  <c r="W923" i="3"/>
  <c r="X1168" i="3"/>
  <c r="Y1168" i="3" s="1"/>
  <c r="Y315" i="3"/>
  <c r="W1465" i="3"/>
  <c r="W1168" i="3"/>
  <c r="X1073" i="3"/>
  <c r="W290" i="3"/>
  <c r="Y1034" i="3"/>
  <c r="W1122" i="3"/>
  <c r="X1122" i="3"/>
  <c r="Y1122" i="3" s="1"/>
  <c r="X830" i="3"/>
  <c r="Y234" i="3"/>
  <c r="X1199" i="3"/>
  <c r="X1409" i="3"/>
  <c r="X1277" i="3"/>
  <c r="W1062" i="3"/>
  <c r="X484" i="3"/>
  <c r="Y540" i="3"/>
  <c r="Y826" i="3"/>
  <c r="Y292" i="3"/>
  <c r="X1385" i="3"/>
  <c r="W1054" i="3"/>
  <c r="X451" i="3"/>
  <c r="X1062" i="3"/>
  <c r="W620" i="3"/>
  <c r="X1098" i="3"/>
  <c r="Y1098" i="3" s="1"/>
  <c r="X1465" i="3"/>
  <c r="Y1465" i="3" s="1"/>
  <c r="W1073" i="3"/>
  <c r="X923" i="3"/>
  <c r="Y943" i="3"/>
  <c r="X688" i="3"/>
  <c r="X440" i="3"/>
  <c r="Y667" i="3"/>
  <c r="X74" i="3"/>
  <c r="Y1294" i="3"/>
  <c r="W1277" i="3"/>
  <c r="X1286" i="3"/>
  <c r="X1329" i="3"/>
  <c r="Y1177" i="3"/>
  <c r="W1098" i="3"/>
  <c r="X1154" i="3"/>
  <c r="Y1154" i="3" s="1"/>
  <c r="W1071" i="3"/>
  <c r="Y1071" i="3" s="1"/>
  <c r="W917" i="3"/>
  <c r="X840" i="3"/>
  <c r="X604" i="3"/>
  <c r="Y680" i="3"/>
  <c r="W537" i="3"/>
  <c r="X483" i="3"/>
  <c r="W387" i="3"/>
  <c r="Y387" i="3" s="1"/>
  <c r="W484" i="3"/>
  <c r="Y484" i="3" s="1"/>
  <c r="X194" i="3"/>
  <c r="Y194" i="3" s="1"/>
  <c r="W1384" i="3"/>
  <c r="Y1384" i="3" s="1"/>
  <c r="X479" i="3"/>
  <c r="X318" i="3"/>
  <c r="Y318" i="3" s="1"/>
  <c r="X791" i="3"/>
  <c r="W430" i="3"/>
  <c r="Y398" i="3"/>
  <c r="Y611" i="3"/>
  <c r="X1022" i="3"/>
  <c r="W505" i="3"/>
  <c r="X1278" i="3"/>
  <c r="X1106" i="3"/>
  <c r="W1153" i="3"/>
  <c r="W849" i="3"/>
  <c r="X90" i="3"/>
  <c r="Y90" i="3" s="1"/>
  <c r="Y945" i="3"/>
  <c r="W375" i="3"/>
  <c r="W791" i="3"/>
  <c r="W1380" i="3"/>
  <c r="X430" i="3"/>
  <c r="W1346" i="3"/>
  <c r="W1106" i="3"/>
  <c r="X620" i="3"/>
  <c r="X1411" i="3"/>
  <c r="Y1411" i="3" s="1"/>
  <c r="X534" i="3"/>
  <c r="Y534" i="3" s="1"/>
  <c r="X1346" i="3"/>
  <c r="W1215" i="3"/>
  <c r="W1137" i="3"/>
  <c r="W1038" i="3"/>
  <c r="Y1038" i="3" s="1"/>
  <c r="X1153" i="3"/>
  <c r="X849" i="3"/>
  <c r="X857" i="3"/>
  <c r="Y857" i="3" s="1"/>
  <c r="W688" i="3"/>
  <c r="Y688" i="3" s="1"/>
  <c r="Y528" i="3"/>
  <c r="W932" i="3"/>
  <c r="W1185" i="3"/>
  <c r="X290" i="3"/>
  <c r="W456" i="3"/>
  <c r="X514" i="3"/>
  <c r="Y514" i="3" s="1"/>
  <c r="W359" i="3"/>
  <c r="Y359" i="3" s="1"/>
  <c r="Y229" i="3"/>
  <c r="W367" i="3"/>
  <c r="X734" i="3"/>
  <c r="X289" i="3"/>
  <c r="Y289" i="3" s="1"/>
  <c r="Y903" i="3"/>
  <c r="X1215" i="3"/>
  <c r="Y1215" i="3" s="1"/>
  <c r="X1137" i="3"/>
  <c r="W816" i="3"/>
  <c r="Y816" i="3" s="1"/>
  <c r="Y587" i="3"/>
  <c r="W937" i="3"/>
  <c r="X456" i="3"/>
  <c r="W1216" i="3"/>
  <c r="W1337" i="3"/>
  <c r="Y1337" i="3" s="1"/>
  <c r="W1199" i="3"/>
  <c r="W1089" i="3"/>
  <c r="W1138" i="3"/>
  <c r="Y1138" i="3" s="1"/>
  <c r="W1162" i="3"/>
  <c r="X1054" i="3"/>
  <c r="X816" i="3"/>
  <c r="W440" i="3"/>
  <c r="X513" i="3"/>
  <c r="Y513" i="3" s="1"/>
  <c r="X363" i="3"/>
  <c r="W403" i="3"/>
  <c r="Y403" i="3" s="1"/>
  <c r="W298" i="3"/>
  <c r="Y298" i="3" s="1"/>
  <c r="X346" i="3"/>
  <c r="X162" i="3"/>
  <c r="X186" i="3"/>
  <c r="Y186" i="3" s="1"/>
  <c r="W74" i="3"/>
  <c r="X937" i="3"/>
  <c r="X1271" i="3"/>
  <c r="X1216" i="3"/>
  <c r="Y1216" i="3" s="1"/>
  <c r="X875" i="3"/>
  <c r="Y1365" i="3"/>
  <c r="Y166" i="3"/>
  <c r="Y1286" i="3"/>
  <c r="V411" i="3"/>
  <c r="W411" i="3"/>
  <c r="Y411" i="3" s="1"/>
  <c r="V506" i="3"/>
  <c r="X506" i="3"/>
  <c r="W506" i="3"/>
  <c r="V686" i="3"/>
  <c r="X686" i="3"/>
  <c r="W686" i="3"/>
  <c r="X341" i="3"/>
  <c r="V341" i="3"/>
  <c r="W341" i="3"/>
  <c r="Y341" i="3" s="1"/>
  <c r="V521" i="3"/>
  <c r="W521" i="3"/>
  <c r="V50" i="3"/>
  <c r="X50" i="3"/>
  <c r="Y50" i="3" s="1"/>
  <c r="X246" i="3"/>
  <c r="V246" i="3"/>
  <c r="W304" i="3"/>
  <c r="V304" i="3"/>
  <c r="W384" i="3"/>
  <c r="Y384" i="3" s="1"/>
  <c r="V384" i="3"/>
  <c r="V475" i="3"/>
  <c r="W475" i="3"/>
  <c r="X569" i="3"/>
  <c r="V569" i="3"/>
  <c r="W569" i="3"/>
  <c r="Y569" i="3" s="1"/>
  <c r="X754" i="3"/>
  <c r="V754" i="3"/>
  <c r="V200" i="3"/>
  <c r="W200" i="3"/>
  <c r="X200" i="3"/>
  <c r="X267" i="3"/>
  <c r="V267" i="3"/>
  <c r="W267" i="3"/>
  <c r="Y267" i="3" s="1"/>
  <c r="X327" i="3"/>
  <c r="V327" i="3"/>
  <c r="X416" i="3"/>
  <c r="V416" i="3"/>
  <c r="W501" i="3"/>
  <c r="V501" i="3"/>
  <c r="X501" i="3"/>
  <c r="V846" i="3"/>
  <c r="W846" i="3"/>
  <c r="X846" i="3"/>
  <c r="X284" i="3"/>
  <c r="V284" i="3"/>
  <c r="W284" i="3"/>
  <c r="W353" i="3"/>
  <c r="V353" i="3"/>
  <c r="X353" i="3"/>
  <c r="Y353" i="3" s="1"/>
  <c r="X539" i="3"/>
  <c r="V539" i="3"/>
  <c r="X711" i="3"/>
  <c r="V711" i="3"/>
  <c r="W1220" i="3"/>
  <c r="Y1220" i="3" s="1"/>
  <c r="V1220" i="3"/>
  <c r="X767" i="3"/>
  <c r="V767" i="3"/>
  <c r="X834" i="3"/>
  <c r="V834" i="3"/>
  <c r="X925" i="3"/>
  <c r="V925" i="3"/>
  <c r="W925" i="3"/>
  <c r="X519" i="3"/>
  <c r="V519" i="3"/>
  <c r="X578" i="3"/>
  <c r="V578" i="3"/>
  <c r="X644" i="3"/>
  <c r="V644" i="3"/>
  <c r="W714" i="3"/>
  <c r="V714" i="3"/>
  <c r="X714" i="3"/>
  <c r="X1452" i="3"/>
  <c r="V1452" i="3"/>
  <c r="X770" i="3"/>
  <c r="Y770" i="3" s="1"/>
  <c r="V770" i="3"/>
  <c r="X1147" i="3"/>
  <c r="V1147" i="3"/>
  <c r="X671" i="3"/>
  <c r="Y671" i="3" s="1"/>
  <c r="V671" i="3"/>
  <c r="X735" i="3"/>
  <c r="Y735" i="3" s="1"/>
  <c r="V735" i="3"/>
  <c r="X793" i="3"/>
  <c r="V793" i="3"/>
  <c r="X1029" i="3"/>
  <c r="V1029" i="3"/>
  <c r="X343" i="3"/>
  <c r="Y343" i="3" s="1"/>
  <c r="V343" i="3"/>
  <c r="X407" i="3"/>
  <c r="V407" i="3"/>
  <c r="W551" i="3"/>
  <c r="Y551" i="3" s="1"/>
  <c r="V551" i="3"/>
  <c r="X607" i="3"/>
  <c r="Y607" i="3" s="1"/>
  <c r="V607" i="3"/>
  <c r="V672" i="3"/>
  <c r="X672" i="3"/>
  <c r="V736" i="3"/>
  <c r="W736" i="3"/>
  <c r="X802" i="3"/>
  <c r="V802" i="3"/>
  <c r="W802" i="3"/>
  <c r="W1065" i="3"/>
  <c r="V1065" i="3"/>
  <c r="X1065" i="3"/>
  <c r="X1322" i="3"/>
  <c r="V1322" i="3"/>
  <c r="W1322" i="3"/>
  <c r="Y1322" i="3" s="1"/>
  <c r="X444" i="3"/>
  <c r="V444" i="3"/>
  <c r="W444" i="3"/>
  <c r="X508" i="3"/>
  <c r="V508" i="3"/>
  <c r="W508" i="3"/>
  <c r="X574" i="3"/>
  <c r="V574" i="3"/>
  <c r="W574" i="3"/>
  <c r="X765" i="3"/>
  <c r="V765" i="3"/>
  <c r="W765" i="3"/>
  <c r="W918" i="3"/>
  <c r="V918" i="3"/>
  <c r="X1349" i="3"/>
  <c r="Y1349" i="3" s="1"/>
  <c r="V1349" i="3"/>
  <c r="W1120" i="3"/>
  <c r="V1120" i="3"/>
  <c r="X1324" i="3"/>
  <c r="Y1324" i="3" s="1"/>
  <c r="V1324" i="3"/>
  <c r="X1382" i="3"/>
  <c r="V1382" i="3"/>
  <c r="X899" i="3"/>
  <c r="V899" i="3"/>
  <c r="X1024" i="3"/>
  <c r="V1024" i="3"/>
  <c r="W1024" i="3"/>
  <c r="X1084" i="3"/>
  <c r="V1084" i="3"/>
  <c r="W1084" i="3"/>
  <c r="X1142" i="3"/>
  <c r="V1142" i="3"/>
  <c r="X1201" i="3"/>
  <c r="V1201" i="3"/>
  <c r="X1266" i="3"/>
  <c r="V1266" i="3"/>
  <c r="X1331" i="3"/>
  <c r="V1331" i="3"/>
  <c r="W1331" i="3"/>
  <c r="Y1331" i="3" s="1"/>
  <c r="X1390" i="3"/>
  <c r="Y1390" i="3" s="1"/>
  <c r="V1390" i="3"/>
  <c r="X1462" i="3"/>
  <c r="Y1462" i="3" s="1"/>
  <c r="V1462" i="3"/>
  <c r="X921" i="3"/>
  <c r="V921" i="3"/>
  <c r="W980" i="3"/>
  <c r="V980" i="3"/>
  <c r="X1056" i="3"/>
  <c r="Y1056" i="3" s="1"/>
  <c r="V1056" i="3"/>
  <c r="X1187" i="3"/>
  <c r="V1187" i="3"/>
  <c r="X1255" i="3"/>
  <c r="Y1255" i="3" s="1"/>
  <c r="V1255" i="3"/>
  <c r="X1307" i="3"/>
  <c r="V1307" i="3"/>
  <c r="W1368" i="3"/>
  <c r="Y1368" i="3" s="1"/>
  <c r="V1368" i="3"/>
  <c r="X1428" i="3"/>
  <c r="Y1428" i="3" s="1"/>
  <c r="V1428" i="3"/>
  <c r="W879" i="3"/>
  <c r="V879" i="3"/>
  <c r="X879" i="3"/>
  <c r="X951" i="3"/>
  <c r="Y951" i="3" s="1"/>
  <c r="V951" i="3"/>
  <c r="X1005" i="3"/>
  <c r="Y1005" i="3" s="1"/>
  <c r="V1005" i="3"/>
  <c r="X1123" i="3"/>
  <c r="Y1123" i="3" s="1"/>
  <c r="V1123" i="3"/>
  <c r="W1188" i="3"/>
  <c r="V1188" i="3"/>
  <c r="W987" i="3"/>
  <c r="V987" i="3"/>
  <c r="X1050" i="3"/>
  <c r="Y1050" i="3" s="1"/>
  <c r="V1050" i="3"/>
  <c r="X1124" i="3"/>
  <c r="V1124" i="3"/>
  <c r="W1124" i="3"/>
  <c r="W1189" i="3"/>
  <c r="V1189" i="3"/>
  <c r="X1326" i="3"/>
  <c r="Y1326" i="3" s="1"/>
  <c r="V1326" i="3"/>
  <c r="W1400" i="3"/>
  <c r="V1400" i="3"/>
  <c r="W1464" i="3"/>
  <c r="Y1464" i="3" s="1"/>
  <c r="V1464" i="3"/>
  <c r="W916" i="3"/>
  <c r="Y916" i="3" s="1"/>
  <c r="V916" i="3"/>
  <c r="W988" i="3"/>
  <c r="V988" i="3"/>
  <c r="X988" i="3"/>
  <c r="X1043" i="3"/>
  <c r="Y1043" i="3" s="1"/>
  <c r="V1043" i="3"/>
  <c r="W1110" i="3"/>
  <c r="V1110" i="3"/>
  <c r="X1234" i="3"/>
  <c r="Y1234" i="3" s="1"/>
  <c r="V1234" i="3"/>
  <c r="X1347" i="3"/>
  <c r="Y1347" i="3" s="1"/>
  <c r="V1347" i="3"/>
  <c r="X388" i="3"/>
  <c r="Y388" i="3" s="1"/>
  <c r="V388" i="3"/>
  <c r="W280" i="3"/>
  <c r="V280" i="3"/>
  <c r="X280" i="3"/>
  <c r="X575" i="3"/>
  <c r="Y575" i="3" s="1"/>
  <c r="V575" i="3"/>
  <c r="V613" i="3"/>
  <c r="X613" i="3"/>
  <c r="X349" i="3"/>
  <c r="V349" i="3"/>
  <c r="W349" i="3"/>
  <c r="X1381" i="3"/>
  <c r="V1381" i="3"/>
  <c r="X1059" i="3"/>
  <c r="V1059" i="3"/>
  <c r="X1134" i="3"/>
  <c r="V1134" i="3"/>
  <c r="X1208" i="3"/>
  <c r="V1208" i="3"/>
  <c r="X1265" i="3"/>
  <c r="V1265" i="3"/>
  <c r="X1330" i="3"/>
  <c r="V1330" i="3"/>
  <c r="X1389" i="3"/>
  <c r="V1389" i="3"/>
  <c r="X1453" i="3"/>
  <c r="V1453" i="3"/>
  <c r="X906" i="3"/>
  <c r="V906" i="3"/>
  <c r="W964" i="3"/>
  <c r="V964" i="3"/>
  <c r="X1031" i="3"/>
  <c r="V1031" i="3"/>
  <c r="X1092" i="3"/>
  <c r="V1092" i="3"/>
  <c r="X1209" i="3"/>
  <c r="V1209" i="3"/>
  <c r="X1273" i="3"/>
  <c r="V1273" i="3"/>
  <c r="X1338" i="3"/>
  <c r="V1338" i="3"/>
  <c r="X1397" i="3"/>
  <c r="V1397" i="3"/>
  <c r="W1397" i="3"/>
  <c r="X1469" i="3"/>
  <c r="V1469" i="3"/>
  <c r="X929" i="3"/>
  <c r="V929" i="3"/>
  <c r="X992" i="3"/>
  <c r="V992" i="3"/>
  <c r="X1061" i="3"/>
  <c r="V1061" i="3"/>
  <c r="W1128" i="3"/>
  <c r="V1128" i="3"/>
  <c r="W1202" i="3"/>
  <c r="V1202" i="3"/>
  <c r="W1260" i="3"/>
  <c r="Y1260" i="3" s="1"/>
  <c r="V1260" i="3"/>
  <c r="W1376" i="3"/>
  <c r="V1376" i="3"/>
  <c r="X1436" i="3"/>
  <c r="V1436" i="3"/>
  <c r="W886" i="3"/>
  <c r="Y886" i="3" s="1"/>
  <c r="V886" i="3"/>
  <c r="X886" i="3"/>
  <c r="X959" i="3"/>
  <c r="V959" i="3"/>
  <c r="W1012" i="3"/>
  <c r="V1012" i="3"/>
  <c r="W1070" i="3"/>
  <c r="V1070" i="3"/>
  <c r="W1129" i="3"/>
  <c r="Y1129" i="3" s="1"/>
  <c r="V1129" i="3"/>
  <c r="W1195" i="3"/>
  <c r="V1195" i="3"/>
  <c r="X1261" i="3"/>
  <c r="V1261" i="3"/>
  <c r="X1333" i="3"/>
  <c r="V1333" i="3"/>
  <c r="W1456" i="3"/>
  <c r="V1456" i="3"/>
  <c r="X994" i="3"/>
  <c r="V994" i="3"/>
  <c r="X1063" i="3"/>
  <c r="Y1063" i="3" s="1"/>
  <c r="V1063" i="3"/>
  <c r="X1130" i="3"/>
  <c r="V1130" i="3"/>
  <c r="W1196" i="3"/>
  <c r="V1196" i="3"/>
  <c r="W1275" i="3"/>
  <c r="V1275" i="3"/>
  <c r="W1334" i="3"/>
  <c r="V1334" i="3"/>
  <c r="W1408" i="3"/>
  <c r="V1408" i="3"/>
  <c r="X1408" i="3"/>
  <c r="W1472" i="3"/>
  <c r="V1472" i="3"/>
  <c r="W924" i="3"/>
  <c r="V924" i="3"/>
  <c r="X995" i="3"/>
  <c r="V995" i="3"/>
  <c r="X1051" i="3"/>
  <c r="V1051" i="3"/>
  <c r="X1117" i="3"/>
  <c r="V1117" i="3"/>
  <c r="W1117" i="3"/>
  <c r="X1174" i="3"/>
  <c r="V1174" i="3"/>
  <c r="X1242" i="3"/>
  <c r="V1242" i="3"/>
  <c r="W1297" i="3"/>
  <c r="Y1297" i="3" s="1"/>
  <c r="V1297" i="3"/>
  <c r="X1355" i="3"/>
  <c r="V1355" i="3"/>
  <c r="X1417" i="3"/>
  <c r="V1417" i="3"/>
  <c r="W1473" i="3"/>
  <c r="Y1473" i="3" s="1"/>
  <c r="V1473" i="3"/>
  <c r="X362" i="3"/>
  <c r="V362" i="3"/>
  <c r="X1081" i="3"/>
  <c r="V1081" i="3"/>
  <c r="X426" i="3"/>
  <c r="V426" i="3"/>
  <c r="W264" i="3"/>
  <c r="V264" i="3"/>
  <c r="X527" i="3"/>
  <c r="V527" i="3"/>
  <c r="X563" i="3"/>
  <c r="V563" i="3"/>
  <c r="X330" i="3"/>
  <c r="V330" i="3"/>
  <c r="W330" i="3"/>
  <c r="Y250" i="3"/>
  <c r="W302" i="3"/>
  <c r="V302" i="3"/>
  <c r="X302" i="3"/>
  <c r="V339" i="3"/>
  <c r="W339" i="3"/>
  <c r="Z1474" i="3"/>
  <c r="W416" i="3"/>
  <c r="Y416" i="3" s="1"/>
  <c r="X420" i="3"/>
  <c r="V420" i="3"/>
  <c r="X668" i="3"/>
  <c r="V668" i="3"/>
  <c r="W1111" i="3"/>
  <c r="V1111" i="3"/>
  <c r="X533" i="3"/>
  <c r="V533" i="3"/>
  <c r="X311" i="3"/>
  <c r="V311" i="3"/>
  <c r="X583" i="3"/>
  <c r="V583" i="3"/>
  <c r="X275" i="3"/>
  <c r="V275" i="3"/>
  <c r="X424" i="3"/>
  <c r="V424" i="3"/>
  <c r="X291" i="3"/>
  <c r="V291" i="3"/>
  <c r="X560" i="3"/>
  <c r="V560" i="3"/>
  <c r="X603" i="3"/>
  <c r="V603" i="3"/>
  <c r="X841" i="3"/>
  <c r="Y841" i="3" s="1"/>
  <c r="V841" i="3"/>
  <c r="X1357" i="3"/>
  <c r="V1357" i="3"/>
  <c r="X526" i="3"/>
  <c r="V526" i="3"/>
  <c r="X720" i="3"/>
  <c r="V720" i="3"/>
  <c r="W855" i="3"/>
  <c r="V855" i="3"/>
  <c r="W948" i="3"/>
  <c r="V948" i="3"/>
  <c r="X677" i="3"/>
  <c r="V677" i="3"/>
  <c r="X896" i="3"/>
  <c r="V896" i="3"/>
  <c r="X413" i="3"/>
  <c r="V413" i="3"/>
  <c r="X622" i="3"/>
  <c r="V622" i="3"/>
  <c r="X809" i="3"/>
  <c r="V809" i="3"/>
  <c r="X1348" i="3"/>
  <c r="V1348" i="3"/>
  <c r="X515" i="3"/>
  <c r="V515" i="3"/>
  <c r="X710" i="3"/>
  <c r="V710" i="3"/>
  <c r="X773" i="3"/>
  <c r="V773" i="3"/>
  <c r="W939" i="3"/>
  <c r="V939" i="3"/>
  <c r="Y1382" i="3"/>
  <c r="Y1187" i="3"/>
  <c r="W711" i="3"/>
  <c r="X926" i="3"/>
  <c r="W825" i="3"/>
  <c r="X736" i="3"/>
  <c r="W830" i="3"/>
  <c r="X1120" i="3"/>
  <c r="Y1188" i="3"/>
  <c r="W1200" i="3"/>
  <c r="Y1200" i="3" s="1"/>
  <c r="W407" i="3"/>
  <c r="X431" i="3"/>
  <c r="V431" i="3"/>
  <c r="W431" i="3"/>
  <c r="Y431" i="3" s="1"/>
  <c r="X269" i="3"/>
  <c r="Y269" i="3" s="1"/>
  <c r="V269" i="3"/>
  <c r="X279" i="3"/>
  <c r="V279" i="3"/>
  <c r="W279" i="3"/>
  <c r="X356" i="3"/>
  <c r="V356" i="3"/>
  <c r="W356" i="3"/>
  <c r="Y356" i="3" s="1"/>
  <c r="X531" i="3"/>
  <c r="V531" i="3"/>
  <c r="W531" i="3"/>
  <c r="X684" i="3"/>
  <c r="V684" i="3"/>
  <c r="X472" i="3"/>
  <c r="V472" i="3"/>
  <c r="X579" i="3"/>
  <c r="V579" i="3"/>
  <c r="X719" i="3"/>
  <c r="Y719" i="3" s="1"/>
  <c r="V719" i="3"/>
  <c r="W1328" i="3"/>
  <c r="Y1328" i="3" s="1"/>
  <c r="V1328" i="3"/>
  <c r="X1328" i="3"/>
  <c r="X366" i="3"/>
  <c r="Y366" i="3" s="1"/>
  <c r="V366" i="3"/>
  <c r="X442" i="3"/>
  <c r="V442" i="3"/>
  <c r="W442" i="3"/>
  <c r="X547" i="3"/>
  <c r="Y547" i="3" s="1"/>
  <c r="V547" i="3"/>
  <c r="V670" i="3"/>
  <c r="W670" i="3"/>
  <c r="W940" i="3"/>
  <c r="Y940" i="3" s="1"/>
  <c r="V940" i="3"/>
  <c r="V66" i="3"/>
  <c r="W66" i="3"/>
  <c r="X259" i="3"/>
  <c r="Y259" i="3" s="1"/>
  <c r="V259" i="3"/>
  <c r="X319" i="3"/>
  <c r="V319" i="3"/>
  <c r="X498" i="3"/>
  <c r="V498" i="3"/>
  <c r="W498" i="3"/>
  <c r="W813" i="3"/>
  <c r="Y813" i="3" s="1"/>
  <c r="V813" i="3"/>
  <c r="X283" i="3"/>
  <c r="V283" i="3"/>
  <c r="W283" i="3"/>
  <c r="W352" i="3"/>
  <c r="V352" i="3"/>
  <c r="X434" i="3"/>
  <c r="V434" i="3"/>
  <c r="W434" i="3"/>
  <c r="X536" i="3"/>
  <c r="Y536" i="3" s="1"/>
  <c r="V536" i="3"/>
  <c r="X692" i="3"/>
  <c r="Y692" i="3" s="1"/>
  <c r="V692" i="3"/>
  <c r="V1044" i="3"/>
  <c r="X1044" i="3"/>
  <c r="W240" i="3"/>
  <c r="V240" i="3"/>
  <c r="X240" i="3"/>
  <c r="W369" i="3"/>
  <c r="V369" i="3"/>
  <c r="V467" i="3"/>
  <c r="X467" i="3"/>
  <c r="Y467" i="3" s="1"/>
  <c r="W572" i="3"/>
  <c r="Y572" i="3" s="1"/>
  <c r="V572" i="3"/>
  <c r="W790" i="3"/>
  <c r="Y790" i="3" s="1"/>
  <c r="V790" i="3"/>
  <c r="X610" i="3"/>
  <c r="V610" i="3"/>
  <c r="X718" i="3"/>
  <c r="V718" i="3"/>
  <c r="W718" i="3"/>
  <c r="W782" i="3"/>
  <c r="Y782" i="3" s="1"/>
  <c r="V782" i="3"/>
  <c r="W847" i="3"/>
  <c r="V847" i="3"/>
  <c r="X962" i="3"/>
  <c r="V962" i="3"/>
  <c r="W962" i="3"/>
  <c r="V1310" i="3"/>
  <c r="W1310" i="3"/>
  <c r="Y1310" i="3" s="1"/>
  <c r="X468" i="3"/>
  <c r="V468" i="3"/>
  <c r="W468" i="3"/>
  <c r="W592" i="3"/>
  <c r="V592" i="3"/>
  <c r="X592" i="3"/>
  <c r="X733" i="3"/>
  <c r="V733" i="3"/>
  <c r="W733" i="3"/>
  <c r="W806" i="3"/>
  <c r="V806" i="3"/>
  <c r="X869" i="3"/>
  <c r="V869" i="3"/>
  <c r="W869" i="3"/>
  <c r="X726" i="3"/>
  <c r="V726" i="3"/>
  <c r="W726" i="3"/>
  <c r="V784" i="3"/>
  <c r="W784" i="3"/>
  <c r="Y784" i="3" s="1"/>
  <c r="X970" i="3"/>
  <c r="V970" i="3"/>
  <c r="X1206" i="3"/>
  <c r="V1206" i="3"/>
  <c r="W1206" i="3"/>
  <c r="X749" i="3"/>
  <c r="Y749" i="3" s="1"/>
  <c r="V749" i="3"/>
  <c r="V808" i="3"/>
  <c r="X808" i="3"/>
  <c r="Y808" i="3" s="1"/>
  <c r="W912" i="3"/>
  <c r="V912" i="3"/>
  <c r="X912" i="3"/>
  <c r="V1119" i="3"/>
  <c r="W1119" i="3"/>
  <c r="Y1119" i="3" s="1"/>
  <c r="X1373" i="3"/>
  <c r="V1373" i="3"/>
  <c r="W1373" i="3"/>
  <c r="X421" i="3"/>
  <c r="V421" i="3"/>
  <c r="W421" i="3"/>
  <c r="X507" i="3"/>
  <c r="Y507" i="3" s="1"/>
  <c r="V507" i="3"/>
  <c r="X565" i="3"/>
  <c r="V565" i="3"/>
  <c r="W565" i="3"/>
  <c r="X635" i="3"/>
  <c r="Y635" i="3" s="1"/>
  <c r="V635" i="3"/>
  <c r="V690" i="3"/>
  <c r="X690" i="3"/>
  <c r="Y690" i="3" s="1"/>
  <c r="X750" i="3"/>
  <c r="V750" i="3"/>
  <c r="W750" i="3"/>
  <c r="X523" i="3"/>
  <c r="Y523" i="3" s="1"/>
  <c r="V523" i="3"/>
  <c r="X660" i="3"/>
  <c r="Y660" i="3" s="1"/>
  <c r="V660" i="3"/>
  <c r="X722" i="3"/>
  <c r="Y722" i="3" s="1"/>
  <c r="V722" i="3"/>
  <c r="V780" i="3"/>
  <c r="X780" i="3"/>
  <c r="W839" i="3"/>
  <c r="V839" i="3"/>
  <c r="X839" i="3"/>
  <c r="W956" i="3"/>
  <c r="Y956" i="3" s="1"/>
  <c r="V956" i="3"/>
  <c r="X1067" i="3"/>
  <c r="V1067" i="3"/>
  <c r="W1067" i="3"/>
  <c r="X1155" i="3"/>
  <c r="Y1155" i="3" s="1"/>
  <c r="V1155" i="3"/>
  <c r="X1272" i="3"/>
  <c r="Y1272" i="3" s="1"/>
  <c r="V1272" i="3"/>
  <c r="X1396" i="3"/>
  <c r="V1396" i="3"/>
  <c r="V1461" i="3"/>
  <c r="X1461" i="3"/>
  <c r="W1461" i="3"/>
  <c r="Y1461" i="3" s="1"/>
  <c r="V913" i="3"/>
  <c r="W913" i="3"/>
  <c r="Y913" i="3" s="1"/>
  <c r="W972" i="3"/>
  <c r="V972" i="3"/>
  <c r="X972" i="3"/>
  <c r="X1039" i="3"/>
  <c r="V1039" i="3"/>
  <c r="X1100" i="3"/>
  <c r="Y1100" i="3" s="1"/>
  <c r="V1100" i="3"/>
  <c r="X1156" i="3"/>
  <c r="V1156" i="3"/>
  <c r="W1156" i="3"/>
  <c r="X1280" i="3"/>
  <c r="Y1280" i="3" s="1"/>
  <c r="V1280" i="3"/>
  <c r="W1343" i="3"/>
  <c r="V1343" i="3"/>
  <c r="W1405" i="3"/>
  <c r="V1405" i="3"/>
  <c r="X1405" i="3"/>
  <c r="W871" i="3"/>
  <c r="V871" i="3"/>
  <c r="X871" i="3"/>
  <c r="X999" i="3"/>
  <c r="Y999" i="3" s="1"/>
  <c r="V999" i="3"/>
  <c r="V1069" i="3"/>
  <c r="X1069" i="3"/>
  <c r="Y1069" i="3" s="1"/>
  <c r="V1136" i="3"/>
  <c r="W1136" i="3"/>
  <c r="X1136" i="3"/>
  <c r="W1267" i="3"/>
  <c r="Y1267" i="3" s="1"/>
  <c r="V1267" i="3"/>
  <c r="W1319" i="3"/>
  <c r="Y1319" i="3" s="1"/>
  <c r="V1319" i="3"/>
  <c r="X1443" i="3"/>
  <c r="Y1443" i="3" s="1"/>
  <c r="V1443" i="3"/>
  <c r="X966" i="3"/>
  <c r="V966" i="3"/>
  <c r="X1018" i="3"/>
  <c r="Y1018" i="3" s="1"/>
  <c r="V1018" i="3"/>
  <c r="V1078" i="3"/>
  <c r="W1078" i="3"/>
  <c r="X1078" i="3"/>
  <c r="W1203" i="3"/>
  <c r="Y1203" i="3" s="1"/>
  <c r="V1203" i="3"/>
  <c r="W1399" i="3"/>
  <c r="V1399" i="3"/>
  <c r="X1399" i="3"/>
  <c r="W1471" i="3"/>
  <c r="Y1471" i="3" s="1"/>
  <c r="V1471" i="3"/>
  <c r="X1006" i="3"/>
  <c r="Y1006" i="3" s="1"/>
  <c r="V1006" i="3"/>
  <c r="W1204" i="3"/>
  <c r="Y1204" i="3" s="1"/>
  <c r="V1204" i="3"/>
  <c r="W1283" i="3"/>
  <c r="V1283" i="3"/>
  <c r="X1283" i="3"/>
  <c r="W1416" i="3"/>
  <c r="Y1416" i="3" s="1"/>
  <c r="V1416" i="3"/>
  <c r="X874" i="3"/>
  <c r="Y874" i="3" s="1"/>
  <c r="V874" i="3"/>
  <c r="X938" i="3"/>
  <c r="V938" i="3"/>
  <c r="W938" i="3"/>
  <c r="W1064" i="3"/>
  <c r="V1064" i="3"/>
  <c r="X1064" i="3"/>
  <c r="V1182" i="3"/>
  <c r="X1182" i="3"/>
  <c r="Y1182" i="3" s="1"/>
  <c r="W1250" i="3"/>
  <c r="V1250" i="3"/>
  <c r="X1250" i="3"/>
  <c r="X1363" i="3"/>
  <c r="Y1363" i="3" s="1"/>
  <c r="V1363" i="3"/>
  <c r="W1424" i="3"/>
  <c r="Y1424" i="3" s="1"/>
  <c r="V1424" i="3"/>
  <c r="X738" i="3"/>
  <c r="Y738" i="3" s="1"/>
  <c r="V738" i="3"/>
  <c r="X340" i="3"/>
  <c r="V340" i="3"/>
  <c r="X828" i="3"/>
  <c r="V828" i="3"/>
  <c r="W828" i="3"/>
  <c r="X480" i="3"/>
  <c r="Y480" i="3" s="1"/>
  <c r="V480" i="3"/>
  <c r="X517" i="3"/>
  <c r="Y517" i="3" s="1"/>
  <c r="V517" i="3"/>
  <c r="Y319" i="3"/>
  <c r="Y899" i="3"/>
  <c r="Y519" i="3"/>
  <c r="V616" i="3"/>
  <c r="X616" i="3"/>
  <c r="Y616" i="3" s="1"/>
  <c r="Y754" i="3"/>
  <c r="Y847" i="3"/>
  <c r="X348" i="3"/>
  <c r="V348" i="3"/>
  <c r="X567" i="3"/>
  <c r="V567" i="3"/>
  <c r="X350" i="3"/>
  <c r="V350" i="3"/>
  <c r="X866" i="3"/>
  <c r="V866" i="3"/>
  <c r="X253" i="3"/>
  <c r="V253" i="3"/>
  <c r="X487" i="3"/>
  <c r="V487" i="3"/>
  <c r="X512" i="3"/>
  <c r="V512" i="3"/>
  <c r="W232" i="3"/>
  <c r="Y232" i="3" s="1"/>
  <c r="V232" i="3"/>
  <c r="X435" i="3"/>
  <c r="Y435" i="3" s="1"/>
  <c r="V435" i="3"/>
  <c r="X712" i="3"/>
  <c r="V712" i="3"/>
  <c r="W941" i="3"/>
  <c r="V941" i="3"/>
  <c r="W1285" i="3"/>
  <c r="V1285" i="3"/>
  <c r="X651" i="3"/>
  <c r="V651" i="3"/>
  <c r="X1002" i="3"/>
  <c r="V1002" i="3"/>
  <c r="X778" i="3"/>
  <c r="Y778" i="3" s="1"/>
  <c r="V778" i="3"/>
  <c r="W1175" i="3"/>
  <c r="V1175" i="3"/>
  <c r="X1175" i="3"/>
  <c r="X743" i="3"/>
  <c r="V743" i="3"/>
  <c r="X1090" i="3"/>
  <c r="V1090" i="3"/>
  <c r="X744" i="3"/>
  <c r="Y744" i="3" s="1"/>
  <c r="V744" i="3"/>
  <c r="X1097" i="3"/>
  <c r="V1097" i="3"/>
  <c r="X582" i="3"/>
  <c r="V582" i="3"/>
  <c r="Y987" i="3"/>
  <c r="W672" i="3"/>
  <c r="W744" i="3"/>
  <c r="X1200" i="3"/>
  <c r="Y481" i="3"/>
  <c r="X544" i="3"/>
  <c r="V544" i="3"/>
  <c r="W544" i="3"/>
  <c r="Y684" i="3"/>
  <c r="X505" i="3"/>
  <c r="X458" i="3"/>
  <c r="V458" i="3"/>
  <c r="X883" i="3"/>
  <c r="V883" i="3"/>
  <c r="W957" i="3"/>
  <c r="X475" i="3"/>
  <c r="X454" i="3"/>
  <c r="X521" i="3"/>
  <c r="X66" i="3"/>
  <c r="X224" i="3"/>
  <c r="Y224" i="3" s="1"/>
  <c r="X1400" i="3"/>
  <c r="Y1400" i="3" s="1"/>
  <c r="X352" i="3"/>
  <c r="W246" i="3"/>
  <c r="Y246" i="3" s="1"/>
  <c r="X670" i="3"/>
  <c r="X1380" i="3"/>
  <c r="X425" i="3"/>
  <c r="X626" i="3"/>
  <c r="Y340" i="3"/>
  <c r="W579" i="3"/>
  <c r="Y472" i="3"/>
  <c r="Y369" i="3"/>
  <c r="Y1343" i="3"/>
  <c r="Y1201" i="3"/>
  <c r="Y469" i="3"/>
  <c r="W926" i="3"/>
  <c r="Y1142" i="3"/>
  <c r="X285" i="3"/>
  <c r="V285" i="3"/>
  <c r="W271" i="3"/>
  <c r="V271" i="3"/>
  <c r="X518" i="3"/>
  <c r="V518" i="3"/>
  <c r="W461" i="3"/>
  <c r="V461" i="3"/>
  <c r="X702" i="3"/>
  <c r="V702" i="3"/>
  <c r="W702" i="3"/>
  <c r="X432" i="3"/>
  <c r="V432" i="3"/>
  <c r="X655" i="3"/>
  <c r="V655" i="3"/>
  <c r="W344" i="3"/>
  <c r="V344" i="3"/>
  <c r="X674" i="3"/>
  <c r="V674" i="3"/>
  <c r="W360" i="3"/>
  <c r="V360" i="3"/>
  <c r="X732" i="3"/>
  <c r="V732" i="3"/>
  <c r="X656" i="3"/>
  <c r="V656" i="3"/>
  <c r="W775" i="3"/>
  <c r="V775" i="3"/>
  <c r="X1133" i="3"/>
  <c r="V1133" i="3"/>
  <c r="X460" i="3"/>
  <c r="V460" i="3"/>
  <c r="X586" i="3"/>
  <c r="V586" i="3"/>
  <c r="W586" i="3"/>
  <c r="W799" i="3"/>
  <c r="V799" i="3"/>
  <c r="W1228" i="3"/>
  <c r="V1228" i="3"/>
  <c r="X621" i="3"/>
  <c r="V621" i="3"/>
  <c r="X801" i="3"/>
  <c r="V801" i="3"/>
  <c r="X499" i="3"/>
  <c r="V499" i="3"/>
  <c r="W678" i="3"/>
  <c r="Y678" i="3" s="1"/>
  <c r="V678" i="3"/>
  <c r="X897" i="3"/>
  <c r="V897" i="3"/>
  <c r="X450" i="3"/>
  <c r="V450" i="3"/>
  <c r="X648" i="3"/>
  <c r="V648" i="3"/>
  <c r="W644" i="3"/>
  <c r="X825" i="3"/>
  <c r="W454" i="3"/>
  <c r="Y454" i="3" s="1"/>
  <c r="W921" i="3"/>
  <c r="Y921" i="3" s="1"/>
  <c r="W626" i="3"/>
  <c r="W1307" i="3"/>
  <c r="Y1307" i="3" s="1"/>
  <c r="Y1110" i="3"/>
  <c r="W834" i="3"/>
  <c r="X980" i="3"/>
  <c r="Y980" i="3" s="1"/>
  <c r="Y610" i="3"/>
  <c r="W1262" i="3"/>
  <c r="Y1039" i="3"/>
  <c r="W1029" i="3"/>
  <c r="W1105" i="3"/>
  <c r="W793" i="3"/>
  <c r="W864" i="3"/>
  <c r="W512" i="3"/>
  <c r="W539" i="3"/>
  <c r="Y1346" i="3"/>
  <c r="W1409" i="3"/>
  <c r="X1262" i="3"/>
  <c r="W1147" i="3"/>
  <c r="W1329" i="3"/>
  <c r="X957" i="3"/>
  <c r="X1105" i="3"/>
  <c r="X806" i="3"/>
  <c r="Y806" i="3" s="1"/>
  <c r="W767" i="3"/>
  <c r="Y767" i="3" s="1"/>
  <c r="X864" i="3"/>
  <c r="Y965" i="3"/>
  <c r="W840" i="3"/>
  <c r="Y840" i="3" s="1"/>
  <c r="W578" i="3"/>
  <c r="X932" i="3"/>
  <c r="W451" i="3"/>
  <c r="Y451" i="3" s="1"/>
  <c r="Y307" i="3"/>
  <c r="Y378" i="3"/>
  <c r="Y306" i="3"/>
  <c r="W224" i="3"/>
  <c r="W1396" i="3"/>
  <c r="X1189" i="3"/>
  <c r="Y1189" i="3" s="1"/>
  <c r="W1452" i="3"/>
  <c r="Y1452" i="3" s="1"/>
  <c r="W970" i="3"/>
  <c r="W1044" i="3"/>
  <c r="Y1044" i="3" s="1"/>
  <c r="Y787" i="3"/>
  <c r="X304" i="3"/>
  <c r="W425" i="3"/>
  <c r="W613" i="3"/>
  <c r="W966" i="3"/>
  <c r="X918" i="3"/>
  <c r="Y918" i="3" s="1"/>
  <c r="W327" i="3"/>
  <c r="W1266" i="3"/>
  <c r="W409" i="3"/>
  <c r="Y409" i="3" s="1"/>
  <c r="V409" i="3"/>
  <c r="W241" i="3"/>
  <c r="Y241" i="3" s="1"/>
  <c r="V241" i="3"/>
  <c r="X294" i="3"/>
  <c r="Y294" i="3" s="1"/>
  <c r="V294" i="3"/>
  <c r="W543" i="3"/>
  <c r="Y543" i="3" s="1"/>
  <c r="V543" i="3"/>
  <c r="X700" i="3"/>
  <c r="Y700" i="3" s="1"/>
  <c r="V700" i="3"/>
  <c r="X590" i="3"/>
  <c r="Y590" i="3" s="1"/>
  <c r="V590" i="3"/>
  <c r="X746" i="3"/>
  <c r="Y746" i="3" s="1"/>
  <c r="V746" i="3"/>
  <c r="W288" i="3"/>
  <c r="Y288" i="3" s="1"/>
  <c r="V288" i="3"/>
  <c r="X452" i="3"/>
  <c r="Y452" i="3" s="1"/>
  <c r="V452" i="3"/>
  <c r="X556" i="3"/>
  <c r="Y556" i="3" s="1"/>
  <c r="V556" i="3"/>
  <c r="X1015" i="3"/>
  <c r="Y1015" i="3" s="1"/>
  <c r="V1015" i="3"/>
  <c r="W266" i="3"/>
  <c r="Y266" i="3" s="1"/>
  <c r="V266" i="3"/>
  <c r="X326" i="3"/>
  <c r="Y326" i="3" s="1"/>
  <c r="V326" i="3"/>
  <c r="X415" i="3"/>
  <c r="V415" i="3"/>
  <c r="X842" i="3"/>
  <c r="Y842" i="3" s="1"/>
  <c r="V842" i="3"/>
  <c r="W231" i="3"/>
  <c r="V231" i="3"/>
  <c r="X549" i="3"/>
  <c r="Y549" i="3" s="1"/>
  <c r="V549" i="3"/>
  <c r="X707" i="3"/>
  <c r="Y707" i="3" s="1"/>
  <c r="V707" i="3"/>
  <c r="X1191" i="3"/>
  <c r="V1191" i="3"/>
  <c r="W248" i="3"/>
  <c r="V248" i="3"/>
  <c r="X585" i="3"/>
  <c r="V585" i="3"/>
  <c r="W820" i="3"/>
  <c r="Y820" i="3" s="1"/>
  <c r="V820" i="3"/>
  <c r="W617" i="3"/>
  <c r="Y617" i="3" s="1"/>
  <c r="V617" i="3"/>
  <c r="X724" i="3"/>
  <c r="Y724" i="3" s="1"/>
  <c r="V724" i="3"/>
  <c r="W789" i="3"/>
  <c r="V789" i="3"/>
  <c r="X983" i="3"/>
  <c r="Y983" i="3" s="1"/>
  <c r="V983" i="3"/>
  <c r="X1446" i="3"/>
  <c r="Y1446" i="3" s="1"/>
  <c r="V1446" i="3"/>
  <c r="X1364" i="3"/>
  <c r="Y1364" i="3" s="1"/>
  <c r="V1364" i="3"/>
  <c r="X474" i="3"/>
  <c r="Y474" i="3" s="1"/>
  <c r="V474" i="3"/>
  <c r="X542" i="3"/>
  <c r="Y542" i="3" s="1"/>
  <c r="V542" i="3"/>
  <c r="X605" i="3"/>
  <c r="Y605" i="3" s="1"/>
  <c r="V605" i="3"/>
  <c r="X663" i="3"/>
  <c r="Y663" i="3" s="1"/>
  <c r="V663" i="3"/>
  <c r="X741" i="3"/>
  <c r="Y741" i="3" s="1"/>
  <c r="V741" i="3"/>
  <c r="W814" i="3"/>
  <c r="Y814" i="3" s="1"/>
  <c r="V814" i="3"/>
  <c r="X890" i="3"/>
  <c r="Y890" i="3" s="1"/>
  <c r="V890" i="3"/>
  <c r="X1053" i="3"/>
  <c r="Y1053" i="3" s="1"/>
  <c r="V1053" i="3"/>
  <c r="W1311" i="3"/>
  <c r="Y1311" i="3" s="1"/>
  <c r="V1311" i="3"/>
  <c r="X634" i="3"/>
  <c r="Y634" i="3" s="1"/>
  <c r="V634" i="3"/>
  <c r="X695" i="3"/>
  <c r="Y695" i="3" s="1"/>
  <c r="V695" i="3"/>
  <c r="X757" i="3"/>
  <c r="Y757" i="3" s="1"/>
  <c r="V757" i="3"/>
  <c r="W823" i="3"/>
  <c r="Y823" i="3" s="1"/>
  <c r="V823" i="3"/>
  <c r="W933" i="3"/>
  <c r="Y933" i="3" s="1"/>
  <c r="V933" i="3"/>
  <c r="X1403" i="3"/>
  <c r="Y1403" i="3" s="1"/>
  <c r="V1403" i="3"/>
  <c r="X364" i="3"/>
  <c r="Y364" i="3" s="1"/>
  <c r="V364" i="3"/>
  <c r="X428" i="3"/>
  <c r="Y428" i="3" s="1"/>
  <c r="V428" i="3"/>
  <c r="X573" i="3"/>
  <c r="Y573" i="3" s="1"/>
  <c r="V573" i="3"/>
  <c r="X641" i="3"/>
  <c r="Y641" i="3" s="1"/>
  <c r="V641" i="3"/>
  <c r="X758" i="3"/>
  <c r="Y758" i="3" s="1"/>
  <c r="V758" i="3"/>
  <c r="W1183" i="3"/>
  <c r="Y1183" i="3" s="1"/>
  <c r="V1183" i="3"/>
  <c r="X464" i="3"/>
  <c r="Y464" i="3" s="1"/>
  <c r="V464" i="3"/>
  <c r="X601" i="3"/>
  <c r="Y601" i="3" s="1"/>
  <c r="V601" i="3"/>
  <c r="W729" i="3"/>
  <c r="Y729" i="3" s="1"/>
  <c r="V729" i="3"/>
  <c r="W845" i="3"/>
  <c r="Y845" i="3" s="1"/>
  <c r="V845" i="3"/>
  <c r="W1184" i="3"/>
  <c r="Y1184" i="3" s="1"/>
  <c r="V1184" i="3"/>
  <c r="X1467" i="3"/>
  <c r="Y1467" i="3" s="1"/>
  <c r="V1467" i="3"/>
  <c r="X1163" i="3"/>
  <c r="Y1163" i="3" s="1"/>
  <c r="V1163" i="3"/>
  <c r="X1222" i="3"/>
  <c r="Y1222" i="3" s="1"/>
  <c r="V1222" i="3"/>
  <c r="W1342" i="3"/>
  <c r="Y1342" i="3" s="1"/>
  <c r="V1342" i="3"/>
  <c r="X1404" i="3"/>
  <c r="Y1404" i="3" s="1"/>
  <c r="V1404" i="3"/>
  <c r="X1468" i="3"/>
  <c r="Y1468" i="3" s="1"/>
  <c r="V1468" i="3"/>
  <c r="X920" i="3"/>
  <c r="Y920" i="3" s="1"/>
  <c r="V920" i="3"/>
  <c r="W979" i="3"/>
  <c r="Y979" i="3" s="1"/>
  <c r="V979" i="3"/>
  <c r="X1047" i="3"/>
  <c r="Y1047" i="3" s="1"/>
  <c r="V1047" i="3"/>
  <c r="X1164" i="3"/>
  <c r="Y1164" i="3" s="1"/>
  <c r="V1164" i="3"/>
  <c r="X1223" i="3"/>
  <c r="Y1223" i="3" s="1"/>
  <c r="V1223" i="3"/>
  <c r="W1351" i="3"/>
  <c r="Y1351" i="3" s="1"/>
  <c r="V1351" i="3"/>
  <c r="X1413" i="3"/>
  <c r="Y1413" i="3" s="1"/>
  <c r="V1413" i="3"/>
  <c r="W878" i="3"/>
  <c r="Y878" i="3" s="1"/>
  <c r="V878" i="3"/>
  <c r="X1011" i="3"/>
  <c r="Y1011" i="3" s="1"/>
  <c r="V1011" i="3"/>
  <c r="X1077" i="3"/>
  <c r="Y1077" i="3" s="1"/>
  <c r="V1077" i="3"/>
  <c r="W1143" i="3"/>
  <c r="Y1143" i="3" s="1"/>
  <c r="V1143" i="3"/>
  <c r="X1217" i="3"/>
  <c r="Y1217" i="3" s="1"/>
  <c r="V1217" i="3"/>
  <c r="X1332" i="3"/>
  <c r="Y1332" i="3" s="1"/>
  <c r="V1332" i="3"/>
  <c r="W1391" i="3"/>
  <c r="Y1391" i="3" s="1"/>
  <c r="V1391" i="3"/>
  <c r="X908" i="3"/>
  <c r="Y908" i="3" s="1"/>
  <c r="V908" i="3"/>
  <c r="X974" i="3"/>
  <c r="V974" i="3"/>
  <c r="X1026" i="3"/>
  <c r="Y1026" i="3" s="1"/>
  <c r="V1026" i="3"/>
  <c r="W1144" i="3"/>
  <c r="Y1144" i="3" s="1"/>
  <c r="V1144" i="3"/>
  <c r="W1218" i="3"/>
  <c r="Y1218" i="3" s="1"/>
  <c r="V1218" i="3"/>
  <c r="W1407" i="3"/>
  <c r="Y1407" i="3" s="1"/>
  <c r="V1407" i="3"/>
  <c r="X952" i="3"/>
  <c r="Y952" i="3" s="1"/>
  <c r="V952" i="3"/>
  <c r="X1013" i="3"/>
  <c r="Y1013" i="3" s="1"/>
  <c r="V1013" i="3"/>
  <c r="W1079" i="3"/>
  <c r="Y1079" i="3" s="1"/>
  <c r="V1079" i="3"/>
  <c r="W1211" i="3"/>
  <c r="Y1211" i="3" s="1"/>
  <c r="V1211" i="3"/>
  <c r="X1007" i="3"/>
  <c r="Y1007" i="3" s="1"/>
  <c r="V1007" i="3"/>
  <c r="W1072" i="3"/>
  <c r="Y1072" i="3" s="1"/>
  <c r="V1072" i="3"/>
  <c r="X1131" i="3"/>
  <c r="Y1131" i="3" s="1"/>
  <c r="V1131" i="3"/>
  <c r="X1190" i="3"/>
  <c r="Y1190" i="3" s="1"/>
  <c r="V1190" i="3"/>
  <c r="X1257" i="3"/>
  <c r="Y1257" i="3" s="1"/>
  <c r="V1257" i="3"/>
  <c r="X1371" i="3"/>
  <c r="Y1371" i="3" s="1"/>
  <c r="V1371" i="3"/>
  <c r="X715" i="3"/>
  <c r="Y715" i="3" s="1"/>
  <c r="V715" i="3"/>
  <c r="X236" i="3"/>
  <c r="Y236" i="3" s="1"/>
  <c r="V236" i="3"/>
  <c r="X287" i="3"/>
  <c r="Y287" i="3" s="1"/>
  <c r="V287" i="3"/>
  <c r="Y466" i="3"/>
  <c r="X231" i="3"/>
  <c r="Y231" i="3" s="1"/>
  <c r="Y502" i="3"/>
  <c r="Y277" i="3"/>
  <c r="X740" i="3"/>
  <c r="V740" i="3"/>
  <c r="X373" i="3"/>
  <c r="V373" i="3"/>
  <c r="W774" i="3"/>
  <c r="V774" i="3"/>
  <c r="X495" i="3"/>
  <c r="V495" i="3"/>
  <c r="X776" i="3"/>
  <c r="V776" i="3"/>
  <c r="X462" i="3"/>
  <c r="V462" i="3"/>
  <c r="X868" i="3"/>
  <c r="V868" i="3"/>
  <c r="X730" i="3"/>
  <c r="V730" i="3"/>
  <c r="W1418" i="3"/>
  <c r="V1418" i="3"/>
  <c r="W848" i="3"/>
  <c r="V848" i="3"/>
  <c r="W625" i="3"/>
  <c r="V625" i="3"/>
  <c r="X1394" i="3"/>
  <c r="V1394" i="3"/>
  <c r="W612" i="3"/>
  <c r="V612" i="3"/>
  <c r="X821" i="3"/>
  <c r="V821" i="3"/>
  <c r="W1082" i="3"/>
  <c r="V1082" i="3"/>
  <c r="W800" i="3"/>
  <c r="V800" i="3"/>
  <c r="W640" i="3"/>
  <c r="V640" i="3"/>
  <c r="X763" i="3"/>
  <c r="V763" i="3"/>
  <c r="X704" i="3"/>
  <c r="V704" i="3"/>
  <c r="X955" i="3"/>
  <c r="V955" i="3"/>
  <c r="W1083" i="3"/>
  <c r="V1083" i="3"/>
  <c r="X1171" i="3"/>
  <c r="V1171" i="3"/>
  <c r="W1229" i="3"/>
  <c r="V1229" i="3"/>
  <c r="X1412" i="3"/>
  <c r="V1412" i="3"/>
  <c r="W870" i="3"/>
  <c r="V870" i="3"/>
  <c r="X991" i="3"/>
  <c r="V991" i="3"/>
  <c r="W1113" i="3"/>
  <c r="V1113" i="3"/>
  <c r="X1230" i="3"/>
  <c r="V1230" i="3"/>
  <c r="W1300" i="3"/>
  <c r="V1300" i="3"/>
  <c r="W1359" i="3"/>
  <c r="V1359" i="3"/>
  <c r="W950" i="3"/>
  <c r="V950" i="3"/>
  <c r="W1025" i="3"/>
  <c r="V1025" i="3"/>
  <c r="X1085" i="3"/>
  <c r="V1085" i="3"/>
  <c r="X1224" i="3"/>
  <c r="V1224" i="3"/>
  <c r="X981" i="3"/>
  <c r="Y981" i="3" s="1"/>
  <c r="V981" i="3"/>
  <c r="W1150" i="3"/>
  <c r="V1150" i="3"/>
  <c r="X1353" i="3"/>
  <c r="Y1353" i="3" s="1"/>
  <c r="V1353" i="3"/>
  <c r="W880" i="3"/>
  <c r="V880" i="3"/>
  <c r="X1430" i="3"/>
  <c r="V1430" i="3"/>
  <c r="X888" i="3"/>
  <c r="V888" i="3"/>
  <c r="X953" i="3"/>
  <c r="V953" i="3"/>
  <c r="W1014" i="3"/>
  <c r="V1014" i="3"/>
  <c r="W1080" i="3"/>
  <c r="V1080" i="3"/>
  <c r="X1139" i="3"/>
  <c r="V1139" i="3"/>
  <c r="W1197" i="3"/>
  <c r="V1197" i="3"/>
  <c r="X1321" i="3"/>
  <c r="Y1321" i="3" s="1"/>
  <c r="V1321" i="3"/>
  <c r="X1379" i="3"/>
  <c r="Y1379" i="3" s="1"/>
  <c r="V1379" i="3"/>
  <c r="W1439" i="3"/>
  <c r="V1439" i="3"/>
  <c r="X503" i="3"/>
  <c r="Y503" i="3" s="1"/>
  <c r="V503" i="3"/>
  <c r="X300" i="3"/>
  <c r="V300" i="3"/>
  <c r="X649" i="3"/>
  <c r="V649" i="3"/>
  <c r="W361" i="3"/>
  <c r="V361" i="3"/>
  <c r="Y263" i="3"/>
  <c r="W439" i="3"/>
  <c r="Y439" i="3" s="1"/>
  <c r="V439" i="3"/>
  <c r="W272" i="3"/>
  <c r="V272" i="3"/>
  <c r="Y974" i="3"/>
  <c r="Y789" i="3"/>
  <c r="X365" i="3"/>
  <c r="Y365" i="3" s="1"/>
  <c r="V365" i="3"/>
  <c r="X235" i="3"/>
  <c r="Y235" i="3" s="1"/>
  <c r="V235" i="3"/>
  <c r="X316" i="3"/>
  <c r="Y316" i="3" s="1"/>
  <c r="V316" i="3"/>
  <c r="X382" i="3"/>
  <c r="Y382" i="3" s="1"/>
  <c r="V382" i="3"/>
  <c r="X564" i="3"/>
  <c r="Y564" i="3" s="1"/>
  <c r="V564" i="3"/>
  <c r="X509" i="3"/>
  <c r="Y509" i="3" s="1"/>
  <c r="V509" i="3"/>
  <c r="W618" i="3"/>
  <c r="Y618" i="3" s="1"/>
  <c r="V618" i="3"/>
  <c r="W805" i="3"/>
  <c r="Y805" i="3" s="1"/>
  <c r="V805" i="3"/>
  <c r="W310" i="3"/>
  <c r="Y310" i="3" s="1"/>
  <c r="V310" i="3"/>
  <c r="W580" i="3"/>
  <c r="Y580" i="3" s="1"/>
  <c r="V580" i="3"/>
  <c r="X1356" i="3"/>
  <c r="Y1356" i="3" s="1"/>
  <c r="V1356" i="3"/>
  <c r="X342" i="3"/>
  <c r="Y342" i="3" s="1"/>
  <c r="V342" i="3"/>
  <c r="X535" i="3"/>
  <c r="Y535" i="3" s="1"/>
  <c r="V535" i="3"/>
  <c r="X639" i="3"/>
  <c r="Y639" i="3" s="1"/>
  <c r="V639" i="3"/>
  <c r="X946" i="3"/>
  <c r="Y946" i="3" s="1"/>
  <c r="V946" i="3"/>
  <c r="X247" i="3"/>
  <c r="Y247" i="3" s="1"/>
  <c r="V247" i="3"/>
  <c r="W305" i="3"/>
  <c r="Y305" i="3" s="1"/>
  <c r="V305" i="3"/>
  <c r="X571" i="3"/>
  <c r="Y571" i="3" s="1"/>
  <c r="V571" i="3"/>
  <c r="X261" i="3"/>
  <c r="Y261" i="3" s="1"/>
  <c r="V261" i="3"/>
  <c r="W321" i="3"/>
  <c r="Y321" i="3" s="1"/>
  <c r="V321" i="3"/>
  <c r="X687" i="3"/>
  <c r="Y687" i="3" s="1"/>
  <c r="V687" i="3"/>
  <c r="X739" i="3"/>
  <c r="Y739" i="3" s="1"/>
  <c r="V739" i="3"/>
  <c r="X812" i="3"/>
  <c r="Y812" i="3" s="1"/>
  <c r="V812" i="3"/>
  <c r="X867" i="3"/>
  <c r="Y867" i="3" s="1"/>
  <c r="V867" i="3"/>
  <c r="W1252" i="3"/>
  <c r="Y1252" i="3" s="1"/>
  <c r="V1252" i="3"/>
  <c r="W489" i="3"/>
  <c r="Y489" i="3" s="1"/>
  <c r="V489" i="3"/>
  <c r="X555" i="3"/>
  <c r="Y555" i="3" s="1"/>
  <c r="V555" i="3"/>
  <c r="X619" i="3"/>
  <c r="Y619" i="3" s="1"/>
  <c r="V619" i="3"/>
  <c r="X683" i="3"/>
  <c r="Y683" i="3" s="1"/>
  <c r="V683" i="3"/>
  <c r="X755" i="3"/>
  <c r="Y755" i="3" s="1"/>
  <c r="V755" i="3"/>
  <c r="W829" i="3"/>
  <c r="Y829" i="3" s="1"/>
  <c r="V829" i="3"/>
  <c r="X927" i="3"/>
  <c r="Y927" i="3" s="1"/>
  <c r="V927" i="3"/>
  <c r="X748" i="3"/>
  <c r="Y748" i="3" s="1"/>
  <c r="V748" i="3"/>
  <c r="W807" i="3"/>
  <c r="Y807" i="3" s="1"/>
  <c r="V807" i="3"/>
  <c r="W862" i="3"/>
  <c r="Y862" i="3" s="1"/>
  <c r="V862" i="3"/>
  <c r="X646" i="3"/>
  <c r="Y646" i="3" s="1"/>
  <c r="V646" i="3"/>
  <c r="X708" i="3"/>
  <c r="Y708" i="3" s="1"/>
  <c r="V708" i="3"/>
  <c r="X771" i="3"/>
  <c r="Y771" i="3" s="1"/>
  <c r="V771" i="3"/>
  <c r="W971" i="3"/>
  <c r="Y971" i="3" s="1"/>
  <c r="V971" i="3"/>
  <c r="X1460" i="3"/>
  <c r="Y1460" i="3" s="1"/>
  <c r="V1460" i="3"/>
  <c r="X380" i="3"/>
  <c r="Y380" i="3" s="1"/>
  <c r="V380" i="3"/>
  <c r="X463" i="3"/>
  <c r="Y463" i="3" s="1"/>
  <c r="V463" i="3"/>
  <c r="X772" i="3"/>
  <c r="Y772" i="3" s="1"/>
  <c r="V772" i="3"/>
  <c r="X977" i="3"/>
  <c r="Y977" i="3" s="1"/>
  <c r="V977" i="3"/>
  <c r="X478" i="3"/>
  <c r="Y478" i="3" s="1"/>
  <c r="V478" i="3"/>
  <c r="W546" i="3"/>
  <c r="Y546" i="3" s="1"/>
  <c r="V546" i="3"/>
  <c r="X615" i="3"/>
  <c r="Y615" i="3" s="1"/>
  <c r="V615" i="3"/>
  <c r="X679" i="3"/>
  <c r="Y679" i="3" s="1"/>
  <c r="V679" i="3"/>
  <c r="X803" i="3"/>
  <c r="Y803" i="3" s="1"/>
  <c r="V803" i="3"/>
  <c r="W1244" i="3"/>
  <c r="Y1244" i="3" s="1"/>
  <c r="V1244" i="3"/>
  <c r="W1299" i="3"/>
  <c r="Y1299" i="3" s="1"/>
  <c r="V1299" i="3"/>
  <c r="X1358" i="3"/>
  <c r="Y1358" i="3" s="1"/>
  <c r="V1358" i="3"/>
  <c r="X877" i="3"/>
  <c r="Y877" i="3" s="1"/>
  <c r="V877" i="3"/>
  <c r="X998" i="3"/>
  <c r="Y998" i="3" s="1"/>
  <c r="V998" i="3"/>
  <c r="W1060" i="3"/>
  <c r="Y1060" i="3" s="1"/>
  <c r="V1060" i="3"/>
  <c r="W1367" i="3"/>
  <c r="Y1367" i="3" s="1"/>
  <c r="V1367" i="3"/>
  <c r="X1435" i="3"/>
  <c r="Y1435" i="3" s="1"/>
  <c r="V1435" i="3"/>
  <c r="X958" i="3"/>
  <c r="Y958" i="3" s="1"/>
  <c r="V958" i="3"/>
  <c r="X1032" i="3"/>
  <c r="Y1032" i="3" s="1"/>
  <c r="V1032" i="3"/>
  <c r="X1093" i="3"/>
  <c r="Y1093" i="3" s="1"/>
  <c r="V1093" i="3"/>
  <c r="X1165" i="3"/>
  <c r="Y1165" i="3" s="1"/>
  <c r="V1165" i="3"/>
  <c r="X1231" i="3"/>
  <c r="Y1231" i="3" s="1"/>
  <c r="V1231" i="3"/>
  <c r="X1288" i="3"/>
  <c r="Y1288" i="3" s="1"/>
  <c r="V1288" i="3"/>
  <c r="W1344" i="3"/>
  <c r="Y1344" i="3" s="1"/>
  <c r="V1344" i="3"/>
  <c r="X1406" i="3"/>
  <c r="Y1406" i="3" s="1"/>
  <c r="V1406" i="3"/>
  <c r="X922" i="3"/>
  <c r="Y922" i="3" s="1"/>
  <c r="V922" i="3"/>
  <c r="X986" i="3"/>
  <c r="Y986" i="3" s="1"/>
  <c r="V986" i="3"/>
  <c r="X1041" i="3"/>
  <c r="Y1041" i="3" s="1"/>
  <c r="V1041" i="3"/>
  <c r="X1158" i="3"/>
  <c r="Y1158" i="3" s="1"/>
  <c r="V1158" i="3"/>
  <c r="X1295" i="3"/>
  <c r="Y1295" i="3" s="1"/>
  <c r="V1295" i="3"/>
  <c r="X1422" i="3"/>
  <c r="Y1422" i="3" s="1"/>
  <c r="V1422" i="3"/>
  <c r="W887" i="3"/>
  <c r="Y887" i="3" s="1"/>
  <c r="V887" i="3"/>
  <c r="X967" i="3"/>
  <c r="Y967" i="3" s="1"/>
  <c r="V967" i="3"/>
  <c r="X1027" i="3"/>
  <c r="Y1027" i="3" s="1"/>
  <c r="V1027" i="3"/>
  <c r="X1233" i="3"/>
  <c r="Y1233" i="3" s="1"/>
  <c r="V1233" i="3"/>
  <c r="X1303" i="3"/>
  <c r="Y1303" i="3" s="1"/>
  <c r="V1303" i="3"/>
  <c r="X1438" i="3"/>
  <c r="Y1438" i="3" s="1"/>
  <c r="V1438" i="3"/>
  <c r="W895" i="3"/>
  <c r="Y895" i="3" s="1"/>
  <c r="V895" i="3"/>
  <c r="W1020" i="3"/>
  <c r="Y1020" i="3" s="1"/>
  <c r="V1020" i="3"/>
  <c r="W1088" i="3"/>
  <c r="Y1088" i="3" s="1"/>
  <c r="V1088" i="3"/>
  <c r="W1205" i="3"/>
  <c r="Y1205" i="3" s="1"/>
  <c r="V1205" i="3"/>
  <c r="W1327" i="3"/>
  <c r="Y1327" i="3" s="1"/>
  <c r="V1327" i="3"/>
  <c r="X1387" i="3"/>
  <c r="Y1387" i="3" s="1"/>
  <c r="V1387" i="3"/>
  <c r="X457" i="3"/>
  <c r="Y457" i="3" s="1"/>
  <c r="V457" i="3"/>
  <c r="W281" i="3"/>
  <c r="Y281" i="3" s="1"/>
  <c r="V281" i="3"/>
  <c r="W588" i="3"/>
  <c r="Y588" i="3" s="1"/>
  <c r="V588" i="3"/>
  <c r="X412" i="3"/>
  <c r="Y412" i="3" s="1"/>
  <c r="V412" i="3"/>
  <c r="X244" i="3"/>
  <c r="Y244" i="3" s="1"/>
  <c r="V244" i="3"/>
  <c r="X243" i="3"/>
  <c r="Y243" i="3" s="1"/>
  <c r="V243" i="3"/>
  <c r="X324" i="3"/>
  <c r="Y324" i="3" s="1"/>
  <c r="V324" i="3"/>
  <c r="X397" i="3"/>
  <c r="Y397" i="3" s="1"/>
  <c r="V397" i="3"/>
  <c r="W577" i="3"/>
  <c r="Y577" i="3" s="1"/>
  <c r="V577" i="3"/>
  <c r="X859" i="3"/>
  <c r="Y859" i="3" s="1"/>
  <c r="V859" i="3"/>
  <c r="X520" i="3"/>
  <c r="Y520" i="3" s="1"/>
  <c r="V520" i="3"/>
  <c r="X637" i="3"/>
  <c r="Y637" i="3" s="1"/>
  <c r="V637" i="3"/>
  <c r="X835" i="3"/>
  <c r="Y835" i="3" s="1"/>
  <c r="V835" i="3"/>
  <c r="X406" i="3"/>
  <c r="Y406" i="3" s="1"/>
  <c r="V406" i="3"/>
  <c r="W497" i="3"/>
  <c r="Y497" i="3" s="1"/>
  <c r="V497" i="3"/>
  <c r="X591" i="3"/>
  <c r="Y591" i="3" s="1"/>
  <c r="V591" i="3"/>
  <c r="W781" i="3"/>
  <c r="Y781" i="3" s="1"/>
  <c r="V781" i="3"/>
  <c r="W230" i="3"/>
  <c r="Y230" i="3" s="1"/>
  <c r="V230" i="3"/>
  <c r="W453" i="3"/>
  <c r="Y453" i="3" s="1"/>
  <c r="V453" i="3"/>
  <c r="X548" i="3"/>
  <c r="Y548" i="3" s="1"/>
  <c r="V548" i="3"/>
  <c r="X657" i="3"/>
  <c r="V657" i="3"/>
  <c r="X1021" i="3"/>
  <c r="Y1021" i="3" s="1"/>
  <c r="V1021" i="3"/>
  <c r="X254" i="3"/>
  <c r="Y254" i="3" s="1"/>
  <c r="V254" i="3"/>
  <c r="W312" i="3"/>
  <c r="Y312" i="3" s="1"/>
  <c r="V312" i="3"/>
  <c r="W385" i="3"/>
  <c r="Y385" i="3" s="1"/>
  <c r="V385" i="3"/>
  <c r="X476" i="3"/>
  <c r="Y476" i="3" s="1"/>
  <c r="V476" i="3"/>
  <c r="W584" i="3"/>
  <c r="Y584" i="3" s="1"/>
  <c r="V584" i="3"/>
  <c r="X788" i="3"/>
  <c r="Y788" i="3" s="1"/>
  <c r="V788" i="3"/>
  <c r="X268" i="3"/>
  <c r="Y268" i="3" s="1"/>
  <c r="V268" i="3"/>
  <c r="W328" i="3"/>
  <c r="Y328" i="3" s="1"/>
  <c r="V328" i="3"/>
  <c r="W401" i="3"/>
  <c r="Y401" i="3" s="1"/>
  <c r="V401" i="3"/>
  <c r="W661" i="3"/>
  <c r="Y661" i="3" s="1"/>
  <c r="V661" i="3"/>
  <c r="W963" i="3"/>
  <c r="Y963" i="3" s="1"/>
  <c r="V963" i="3"/>
  <c r="X753" i="3"/>
  <c r="Y753" i="3" s="1"/>
  <c r="V753" i="3"/>
  <c r="X819" i="3"/>
  <c r="Y819" i="3" s="1"/>
  <c r="V819" i="3"/>
  <c r="X884" i="3"/>
  <c r="Y884" i="3" s="1"/>
  <c r="V884" i="3"/>
  <c r="X1045" i="3"/>
  <c r="Y1045" i="3" s="1"/>
  <c r="V1045" i="3"/>
  <c r="X1198" i="3"/>
  <c r="Y1198" i="3" s="1"/>
  <c r="V1198" i="3"/>
  <c r="X1451" i="3"/>
  <c r="Y1451" i="3" s="1"/>
  <c r="V1451" i="3"/>
  <c r="X496" i="3"/>
  <c r="Y496" i="3" s="1"/>
  <c r="V496" i="3"/>
  <c r="W562" i="3"/>
  <c r="Y562" i="3" s="1"/>
  <c r="V562" i="3"/>
  <c r="X627" i="3"/>
  <c r="Y627" i="3" s="1"/>
  <c r="V627" i="3"/>
  <c r="X769" i="3"/>
  <c r="Y769" i="3" s="1"/>
  <c r="V769" i="3"/>
  <c r="X836" i="3"/>
  <c r="Y836" i="3" s="1"/>
  <c r="V836" i="3"/>
  <c r="W947" i="3"/>
  <c r="Y947" i="3" s="1"/>
  <c r="V947" i="3"/>
  <c r="X1395" i="3"/>
  <c r="Y1395" i="3" s="1"/>
  <c r="V1395" i="3"/>
  <c r="X756" i="3"/>
  <c r="Y756" i="3" s="1"/>
  <c r="V756" i="3"/>
  <c r="W1432" i="3"/>
  <c r="Y1432" i="3" s="1"/>
  <c r="V1432" i="3"/>
  <c r="X653" i="3"/>
  <c r="Y653" i="3" s="1"/>
  <c r="V653" i="3"/>
  <c r="X716" i="3"/>
  <c r="Y716" i="3" s="1"/>
  <c r="V716" i="3"/>
  <c r="W1236" i="3"/>
  <c r="Y1236" i="3" s="1"/>
  <c r="V1236" i="3"/>
  <c r="W329" i="3"/>
  <c r="Y329" i="3" s="1"/>
  <c r="V329" i="3"/>
  <c r="W477" i="3"/>
  <c r="Y477" i="3" s="1"/>
  <c r="V477" i="3"/>
  <c r="X594" i="3"/>
  <c r="Y594" i="3" s="1"/>
  <c r="V594" i="3"/>
  <c r="X659" i="3"/>
  <c r="Y659" i="3" s="1"/>
  <c r="V659" i="3"/>
  <c r="X786" i="3"/>
  <c r="Y786" i="3" s="1"/>
  <c r="V786" i="3"/>
  <c r="X852" i="3"/>
  <c r="Y852" i="3" s="1"/>
  <c r="V852" i="3"/>
  <c r="W1009" i="3"/>
  <c r="Y1009" i="3" s="1"/>
  <c r="V1009" i="3"/>
  <c r="X429" i="3"/>
  <c r="Y429" i="3" s="1"/>
  <c r="V429" i="3"/>
  <c r="X552" i="3"/>
  <c r="Y552" i="3" s="1"/>
  <c r="V552" i="3"/>
  <c r="X623" i="3"/>
  <c r="Y623" i="3" s="1"/>
  <c r="V623" i="3"/>
  <c r="X691" i="3"/>
  <c r="Y691" i="3" s="1"/>
  <c r="V691" i="3"/>
  <c r="X751" i="3"/>
  <c r="Y751" i="3" s="1"/>
  <c r="V751" i="3"/>
  <c r="X810" i="3"/>
  <c r="Y810" i="3" s="1"/>
  <c r="V810" i="3"/>
  <c r="X882" i="3"/>
  <c r="Y882" i="3" s="1"/>
  <c r="V882" i="3"/>
  <c r="X1037" i="3"/>
  <c r="Y1037" i="3" s="1"/>
  <c r="V1037" i="3"/>
  <c r="X1099" i="3"/>
  <c r="Y1099" i="3" s="1"/>
  <c r="V1099" i="3"/>
  <c r="X1366" i="3"/>
  <c r="Y1366" i="3" s="1"/>
  <c r="V1366" i="3"/>
  <c r="X942" i="3"/>
  <c r="Y942" i="3" s="1"/>
  <c r="V942" i="3"/>
  <c r="X1068" i="3"/>
  <c r="Y1068" i="3" s="1"/>
  <c r="V1068" i="3"/>
  <c r="W1127" i="3"/>
  <c r="Y1127" i="3" s="1"/>
  <c r="V1127" i="3"/>
  <c r="X1318" i="3"/>
  <c r="Y1318" i="3" s="1"/>
  <c r="V1318" i="3"/>
  <c r="W1375" i="3"/>
  <c r="Y1375" i="3" s="1"/>
  <c r="V1375" i="3"/>
  <c r="X907" i="3"/>
  <c r="Y907" i="3" s="1"/>
  <c r="V907" i="3"/>
  <c r="X1101" i="3"/>
  <c r="Y1101" i="3" s="1"/>
  <c r="V1101" i="3"/>
  <c r="X1239" i="3"/>
  <c r="Y1239" i="3" s="1"/>
  <c r="V1239" i="3"/>
  <c r="W1352" i="3"/>
  <c r="Y1352" i="3" s="1"/>
  <c r="V1352" i="3"/>
  <c r="X1414" i="3"/>
  <c r="Y1414" i="3" s="1"/>
  <c r="V1414" i="3"/>
  <c r="X1470" i="3"/>
  <c r="Y1470" i="3" s="1"/>
  <c r="V1470" i="3"/>
  <c r="X993" i="3"/>
  <c r="Y993" i="3" s="1"/>
  <c r="V993" i="3"/>
  <c r="X1049" i="3"/>
  <c r="V1049" i="3"/>
  <c r="X1166" i="3"/>
  <c r="Y1166" i="3" s="1"/>
  <c r="V1166" i="3"/>
  <c r="X1429" i="3"/>
  <c r="Y1429" i="3" s="1"/>
  <c r="V1429" i="3"/>
  <c r="X901" i="3"/>
  <c r="Y901" i="3" s="1"/>
  <c r="V901" i="3"/>
  <c r="X975" i="3"/>
  <c r="Y975" i="3" s="1"/>
  <c r="V975" i="3"/>
  <c r="W1103" i="3"/>
  <c r="Y1103" i="3" s="1"/>
  <c r="V1103" i="3"/>
  <c r="W1167" i="3"/>
  <c r="Y1167" i="3" s="1"/>
  <c r="V1167" i="3"/>
  <c r="X1241" i="3"/>
  <c r="Y1241" i="3" s="1"/>
  <c r="V1241" i="3"/>
  <c r="W902" i="3"/>
  <c r="Y902" i="3" s="1"/>
  <c r="V902" i="3"/>
  <c r="X968" i="3"/>
  <c r="Y968" i="3" s="1"/>
  <c r="V968" i="3"/>
  <c r="W1096" i="3"/>
  <c r="Y1096" i="3" s="1"/>
  <c r="V1096" i="3"/>
  <c r="W1152" i="3"/>
  <c r="Y1152" i="3" s="1"/>
  <c r="V1152" i="3"/>
  <c r="W1212" i="3"/>
  <c r="Y1212" i="3" s="1"/>
  <c r="V1212" i="3"/>
  <c r="W1276" i="3"/>
  <c r="Y1276" i="3" s="1"/>
  <c r="V1276" i="3"/>
  <c r="W265" i="3"/>
  <c r="Y265" i="3" s="1"/>
  <c r="V265" i="3"/>
  <c r="X541" i="3"/>
  <c r="Y541" i="3" s="1"/>
  <c r="V541" i="3"/>
  <c r="X317" i="3"/>
  <c r="Y317" i="3" s="1"/>
  <c r="V317" i="3"/>
  <c r="X694" i="3"/>
  <c r="Y694" i="3" s="1"/>
  <c r="V694" i="3"/>
  <c r="X228" i="3"/>
  <c r="Y228" i="3" s="1"/>
  <c r="V228" i="3"/>
  <c r="Y483" i="3"/>
  <c r="Y248" i="3"/>
  <c r="Y314" i="3"/>
  <c r="Y249" i="3"/>
  <c r="X375" i="3"/>
  <c r="Y375" i="3" s="1"/>
  <c r="Y585" i="3"/>
  <c r="Y1049" i="3"/>
  <c r="Y657" i="3"/>
  <c r="Y374" i="3"/>
  <c r="W1191" i="3"/>
  <c r="W415" i="3"/>
  <c r="X251" i="3"/>
  <c r="V251" i="3"/>
  <c r="X919" i="3"/>
  <c r="Y919" i="3" s="1"/>
  <c r="V919" i="3"/>
  <c r="X602" i="3"/>
  <c r="Y602" i="3" s="1"/>
  <c r="V602" i="3"/>
  <c r="X811" i="3"/>
  <c r="V811" i="3"/>
  <c r="X1161" i="3"/>
  <c r="V1161" i="3"/>
  <c r="X488" i="3"/>
  <c r="V488" i="3"/>
  <c r="X276" i="3"/>
  <c r="V276" i="3"/>
  <c r="W904" i="3"/>
  <c r="V904" i="3"/>
  <c r="W1170" i="3"/>
  <c r="V1170" i="3"/>
  <c r="W1426" i="3"/>
  <c r="V1426" i="3"/>
  <c r="W665" i="3"/>
  <c r="V665" i="3"/>
  <c r="X727" i="3"/>
  <c r="Y727" i="3" s="1"/>
  <c r="V727" i="3"/>
  <c r="W863" i="3"/>
  <c r="V863" i="3"/>
  <c r="X1264" i="3"/>
  <c r="V1264" i="3"/>
  <c r="W485" i="3"/>
  <c r="V485" i="3"/>
  <c r="X600" i="3"/>
  <c r="V600" i="3"/>
  <c r="W666" i="3"/>
  <c r="V666" i="3"/>
  <c r="W728" i="3"/>
  <c r="Y728" i="3" s="1"/>
  <c r="V728" i="3"/>
  <c r="W566" i="3"/>
  <c r="V566" i="3"/>
  <c r="X636" i="3"/>
  <c r="V636" i="3"/>
  <c r="X759" i="3"/>
  <c r="V759" i="3"/>
  <c r="X817" i="3"/>
  <c r="Y817" i="3" s="1"/>
  <c r="V817" i="3"/>
  <c r="X898" i="3"/>
  <c r="Y898" i="3" s="1"/>
  <c r="V898" i="3"/>
  <c r="X1107" i="3"/>
  <c r="Y1107" i="3" s="1"/>
  <c r="V1107" i="3"/>
  <c r="W1312" i="3"/>
  <c r="V1312" i="3"/>
  <c r="W1441" i="3"/>
  <c r="Y1441" i="3" s="1"/>
  <c r="V1441" i="3"/>
  <c r="W892" i="3"/>
  <c r="Y892" i="3" s="1"/>
  <c r="V892" i="3"/>
  <c r="W1254" i="3"/>
  <c r="V1254" i="3"/>
  <c r="X1454" i="3"/>
  <c r="V1454" i="3"/>
  <c r="X914" i="3"/>
  <c r="Y914" i="3" s="1"/>
  <c r="V914" i="3"/>
  <c r="X1114" i="3"/>
  <c r="V1114" i="3"/>
  <c r="W1301" i="3"/>
  <c r="V1301" i="3"/>
  <c r="X1248" i="3"/>
  <c r="V1248" i="3"/>
  <c r="X1308" i="3"/>
  <c r="V1308" i="3"/>
  <c r="X1377" i="3"/>
  <c r="V1377" i="3"/>
  <c r="X909" i="3"/>
  <c r="V909" i="3"/>
  <c r="X1042" i="3"/>
  <c r="V1042" i="3"/>
  <c r="X1315" i="3"/>
  <c r="V1315" i="3"/>
  <c r="X1457" i="3"/>
  <c r="V1457" i="3"/>
  <c r="W1284" i="3"/>
  <c r="V1284" i="3"/>
  <c r="X1401" i="3"/>
  <c r="V1401" i="3"/>
  <c r="X1458" i="3"/>
  <c r="Y1458" i="3" s="1"/>
  <c r="V1458" i="3"/>
  <c r="X405" i="3"/>
  <c r="Y405" i="3" s="1"/>
  <c r="V405" i="3"/>
  <c r="X237" i="3"/>
  <c r="V237" i="3"/>
  <c r="W493" i="3"/>
  <c r="V493" i="3"/>
  <c r="X299" i="3"/>
  <c r="V299" i="3"/>
  <c r="W630" i="3"/>
  <c r="V630" i="3"/>
  <c r="X682" i="3"/>
  <c r="V682" i="3"/>
  <c r="X371" i="3"/>
  <c r="V371" i="3"/>
  <c r="AF1475" i="3"/>
  <c r="AG1475" i="3" s="1"/>
  <c r="X386" i="3"/>
  <c r="W386" i="3"/>
  <c r="W1114" i="3"/>
  <c r="W740" i="3"/>
  <c r="Y740" i="3" s="1"/>
  <c r="W955" i="3"/>
  <c r="W704" i="3"/>
  <c r="W1042" i="3"/>
  <c r="W909" i="3"/>
  <c r="Y909" i="3" s="1"/>
  <c r="X666" i="3"/>
  <c r="X32" i="3"/>
  <c r="V32" i="3"/>
  <c r="X391" i="3"/>
  <c r="W391" i="3"/>
  <c r="W568" i="3"/>
  <c r="X568" i="3"/>
  <c r="X80" i="3"/>
  <c r="V80" i="3"/>
  <c r="W80" i="3"/>
  <c r="X274" i="3"/>
  <c r="W274" i="3"/>
  <c r="V170" i="3"/>
  <c r="X170" i="3"/>
  <c r="W297" i="3"/>
  <c r="X297" i="3"/>
  <c r="X559" i="3"/>
  <c r="W559" i="3"/>
  <c r="X490" i="3"/>
  <c r="W490" i="3"/>
  <c r="X609" i="3"/>
  <c r="W609" i="3"/>
  <c r="X681" i="3"/>
  <c r="W681" i="3"/>
  <c r="X731" i="3"/>
  <c r="W731" i="3"/>
  <c r="W797" i="3"/>
  <c r="X797" i="3"/>
  <c r="X860" i="3"/>
  <c r="W860" i="3"/>
  <c r="X997" i="3"/>
  <c r="W997" i="3"/>
  <c r="W1221" i="3"/>
  <c r="X1221" i="3"/>
  <c r="X1140" i="3"/>
  <c r="W1140" i="3"/>
  <c r="X482" i="3"/>
  <c r="W482" i="3"/>
  <c r="X675" i="3"/>
  <c r="W675" i="3"/>
  <c r="X747" i="3"/>
  <c r="W747" i="3"/>
  <c r="X1372" i="3"/>
  <c r="W1372" i="3"/>
  <c r="X703" i="3"/>
  <c r="W703" i="3"/>
  <c r="W831" i="3"/>
  <c r="X831" i="3"/>
  <c r="X954" i="3"/>
  <c r="W954" i="3"/>
  <c r="W1176" i="3"/>
  <c r="X1176" i="3"/>
  <c r="X1433" i="3"/>
  <c r="W1433" i="3"/>
  <c r="X372" i="3"/>
  <c r="W372" i="3"/>
  <c r="X436" i="3"/>
  <c r="W436" i="3"/>
  <c r="X522" i="3"/>
  <c r="W522" i="3"/>
  <c r="X581" i="3"/>
  <c r="W581" i="3"/>
  <c r="X647" i="3"/>
  <c r="W647" i="3"/>
  <c r="X764" i="3"/>
  <c r="W764" i="3"/>
  <c r="X832" i="3"/>
  <c r="W832" i="3"/>
  <c r="W1213" i="3"/>
  <c r="X1213" i="3"/>
  <c r="W538" i="3"/>
  <c r="X538" i="3"/>
  <c r="X608" i="3"/>
  <c r="W608" i="3"/>
  <c r="X737" i="3"/>
  <c r="W737" i="3"/>
  <c r="X795" i="3"/>
  <c r="W795" i="3"/>
  <c r="X1214" i="3"/>
  <c r="W1214" i="3"/>
  <c r="X1023" i="3"/>
  <c r="W1023" i="3"/>
  <c r="W1350" i="3"/>
  <c r="X1350" i="3"/>
  <c r="W928" i="3"/>
  <c r="X928" i="3"/>
  <c r="X1055" i="3"/>
  <c r="W1055" i="3"/>
  <c r="X1172" i="3"/>
  <c r="W1172" i="3"/>
  <c r="X1420" i="3"/>
  <c r="W1420" i="3"/>
  <c r="X893" i="3"/>
  <c r="W893" i="3"/>
  <c r="W1157" i="3"/>
  <c r="X1157" i="3"/>
  <c r="X1281" i="3"/>
  <c r="W1281" i="3"/>
  <c r="X1339" i="3"/>
  <c r="W1339" i="3"/>
  <c r="X1398" i="3"/>
  <c r="W1398" i="3"/>
  <c r="W1455" i="3"/>
  <c r="X1455" i="3"/>
  <c r="X1033" i="3"/>
  <c r="W1033" i="3"/>
  <c r="X1094" i="3"/>
  <c r="W1094" i="3"/>
  <c r="X1289" i="3"/>
  <c r="W1289" i="3"/>
  <c r="W1415" i="3"/>
  <c r="X1415" i="3"/>
  <c r="X960" i="3"/>
  <c r="W960" i="3"/>
  <c r="X1019" i="3"/>
  <c r="W1019" i="3"/>
  <c r="W1087" i="3"/>
  <c r="X1087" i="3"/>
  <c r="W1151" i="3"/>
  <c r="X1151" i="3"/>
  <c r="X1296" i="3"/>
  <c r="W1296" i="3"/>
  <c r="X1362" i="3"/>
  <c r="W1362" i="3"/>
  <c r="W1377" i="3"/>
  <c r="W1430" i="3"/>
  <c r="Y1430" i="3" s="1"/>
  <c r="W1308" i="3"/>
  <c r="W1161" i="3"/>
  <c r="W636" i="3"/>
  <c r="X904" i="3"/>
  <c r="W888" i="3"/>
  <c r="X640" i="3"/>
  <c r="Y640" i="3" s="1"/>
  <c r="W600" i="3"/>
  <c r="X1312" i="3"/>
  <c r="X863" i="3"/>
  <c r="X870" i="3"/>
  <c r="Y870" i="3" s="1"/>
  <c r="W1224" i="3"/>
  <c r="X665" i="3"/>
  <c r="X1359" i="3"/>
  <c r="X742" i="3"/>
  <c r="W742" i="3"/>
  <c r="W763" i="3"/>
  <c r="W373" i="3"/>
  <c r="X553" i="3"/>
  <c r="W553" i="3"/>
  <c r="V122" i="3"/>
  <c r="X122" i="3"/>
  <c r="W122" i="3"/>
  <c r="X532" i="3"/>
  <c r="W532" i="3"/>
  <c r="X557" i="3"/>
  <c r="W557" i="3"/>
  <c r="X260" i="3"/>
  <c r="W260" i="3"/>
  <c r="X1074" i="3"/>
  <c r="W1074" i="3"/>
  <c r="Y1074" i="3" s="1"/>
  <c r="X570" i="3"/>
  <c r="W570" i="3"/>
  <c r="X1193" i="3"/>
  <c r="W1193" i="3"/>
  <c r="X1076" i="3"/>
  <c r="W1076" i="3"/>
  <c r="X973" i="3"/>
  <c r="W973" i="3"/>
  <c r="X872" i="3"/>
  <c r="W872" i="3"/>
  <c r="X1115" i="3"/>
  <c r="W1115" i="3"/>
  <c r="X1437" i="3"/>
  <c r="W1437" i="3"/>
  <c r="X1181" i="3"/>
  <c r="W1181" i="3"/>
  <c r="X976" i="3"/>
  <c r="W976" i="3"/>
  <c r="W1160" i="3"/>
  <c r="X1160" i="3"/>
  <c r="X1441" i="3"/>
  <c r="W170" i="3"/>
  <c r="X625" i="3"/>
  <c r="W1085" i="3"/>
  <c r="Y1085" i="3" s="1"/>
  <c r="X566" i="3"/>
  <c r="X159" i="3"/>
  <c r="V159" i="3"/>
  <c r="X1132" i="3"/>
  <c r="W1132" i="3"/>
  <c r="W433" i="3"/>
  <c r="X433" i="3"/>
  <c r="X368" i="3"/>
  <c r="W368" i="3"/>
  <c r="X856" i="3"/>
  <c r="W856" i="3"/>
  <c r="W821" i="3"/>
  <c r="W159" i="3"/>
  <c r="X52" i="3"/>
  <c r="V52" i="3"/>
  <c r="W52" i="3"/>
  <c r="X190" i="3"/>
  <c r="V190" i="3"/>
  <c r="W190" i="3"/>
  <c r="X494" i="3"/>
  <c r="W494" i="3"/>
  <c r="X652" i="3"/>
  <c r="W652" i="3"/>
  <c r="X414" i="3"/>
  <c r="W414" i="3"/>
  <c r="X43" i="3"/>
  <c r="V43" i="3"/>
  <c r="W43" i="3"/>
  <c r="X376" i="3"/>
  <c r="W376" i="3"/>
  <c r="X133" i="3"/>
  <c r="V133" i="3"/>
  <c r="W133" i="3"/>
  <c r="X96" i="3"/>
  <c r="V96" i="3"/>
  <c r="W96" i="3"/>
  <c r="W345" i="3"/>
  <c r="X345" i="3"/>
  <c r="W1052" i="3"/>
  <c r="X1052" i="3"/>
  <c r="X827" i="3"/>
  <c r="W827" i="3"/>
  <c r="W1227" i="3"/>
  <c r="X1227" i="3"/>
  <c r="X843" i="3"/>
  <c r="W843" i="3"/>
  <c r="W822" i="3"/>
  <c r="X822" i="3"/>
  <c r="Y822" i="3" s="1"/>
  <c r="X1008" i="3"/>
  <c r="W1008" i="3"/>
  <c r="X794" i="3"/>
  <c r="W794" i="3"/>
  <c r="W437" i="3"/>
  <c r="X437" i="3"/>
  <c r="X697" i="3"/>
  <c r="W697" i="3"/>
  <c r="Y697" i="3" s="1"/>
  <c r="X1066" i="3"/>
  <c r="W1066" i="3"/>
  <c r="X1179" i="3"/>
  <c r="W1179" i="3"/>
  <c r="X1421" i="3"/>
  <c r="W1421" i="3"/>
  <c r="X1116" i="3"/>
  <c r="W1116" i="3"/>
  <c r="X1249" i="3"/>
  <c r="W1249" i="3"/>
  <c r="X1386" i="3"/>
  <c r="W1386" i="3"/>
  <c r="X910" i="3"/>
  <c r="W910" i="3"/>
  <c r="X1035" i="3"/>
  <c r="W1035" i="3"/>
  <c r="W1104" i="3"/>
  <c r="X1104" i="3"/>
  <c r="W1226" i="3"/>
  <c r="X1226" i="3"/>
  <c r="W1315" i="3"/>
  <c r="W1230" i="3"/>
  <c r="X880" i="3"/>
  <c r="Y880" i="3" s="1"/>
  <c r="W1457" i="3"/>
  <c r="W1171" i="3"/>
  <c r="X1254" i="3"/>
  <c r="X950" i="3"/>
  <c r="X774" i="3"/>
  <c r="W759" i="3"/>
  <c r="X612" i="3"/>
  <c r="X1300" i="3"/>
  <c r="Y1300" i="3" s="1"/>
  <c r="W1412" i="3"/>
  <c r="W868" i="3"/>
  <c r="X485" i="3"/>
  <c r="W462" i="3"/>
  <c r="W276" i="3"/>
  <c r="W225" i="3"/>
  <c r="V225" i="3"/>
  <c r="X225" i="3"/>
  <c r="X99" i="3"/>
  <c r="Y99" i="3" s="1"/>
  <c r="V99" i="3"/>
  <c r="X301" i="3"/>
  <c r="W301" i="3"/>
  <c r="Y301" i="3" s="1"/>
  <c r="X303" i="3"/>
  <c r="W303" i="3"/>
  <c r="X723" i="3"/>
  <c r="W723" i="3"/>
  <c r="V146" i="3"/>
  <c r="W146" i="3"/>
  <c r="X146" i="3"/>
  <c r="X624" i="3"/>
  <c r="W624" i="3"/>
  <c r="Y624" i="3" s="1"/>
  <c r="W111" i="3"/>
  <c r="Y111" i="3" s="1"/>
  <c r="V111" i="3"/>
  <c r="W239" i="3"/>
  <c r="X239" i="3"/>
  <c r="W193" i="3"/>
  <c r="V193" i="3"/>
  <c r="X193" i="3"/>
  <c r="W313" i="3"/>
  <c r="X313" i="3"/>
  <c r="W1336" i="3"/>
  <c r="X1336" i="3"/>
  <c r="X800" i="3"/>
  <c r="X180" i="3"/>
  <c r="V180" i="3"/>
  <c r="X404" i="3"/>
  <c r="W404" i="3"/>
  <c r="Y404" i="3" s="1"/>
  <c r="X598" i="3"/>
  <c r="W598" i="3"/>
  <c r="X510" i="3"/>
  <c r="Y510" i="3" s="1"/>
  <c r="W510" i="3"/>
  <c r="W169" i="3"/>
  <c r="Y169" i="3" s="1"/>
  <c r="V169" i="3"/>
  <c r="W296" i="3"/>
  <c r="X296" i="3"/>
  <c r="Y296" i="3" s="1"/>
  <c r="W67" i="3"/>
  <c r="Y67" i="3" s="1"/>
  <c r="V67" i="3"/>
  <c r="W320" i="3"/>
  <c r="X320" i="3"/>
  <c r="X156" i="3"/>
  <c r="Y156" i="3" s="1"/>
  <c r="V156" i="3"/>
  <c r="X525" i="3"/>
  <c r="W525" i="3"/>
  <c r="Y525" i="3" s="1"/>
  <c r="X699" i="3"/>
  <c r="W699" i="3"/>
  <c r="X447" i="3"/>
  <c r="W447" i="3"/>
  <c r="X701" i="3"/>
  <c r="W701" i="3"/>
  <c r="X891" i="3"/>
  <c r="W891" i="3"/>
  <c r="Y891" i="3" s="1"/>
  <c r="W393" i="3"/>
  <c r="X393" i="3"/>
  <c r="W1036" i="3"/>
  <c r="X1036" i="3"/>
  <c r="X1046" i="3"/>
  <c r="W1046" i="3"/>
  <c r="X949" i="3"/>
  <c r="W949" i="3"/>
  <c r="Y949" i="3" s="1"/>
  <c r="W1135" i="3"/>
  <c r="X1135" i="3"/>
  <c r="W1383" i="3"/>
  <c r="X1383" i="3"/>
  <c r="X1048" i="3"/>
  <c r="W1048" i="3"/>
  <c r="X1247" i="3"/>
  <c r="W1247" i="3"/>
  <c r="Y1247" i="3" s="1"/>
  <c r="X1180" i="3"/>
  <c r="W1180" i="3"/>
  <c r="W32" i="3"/>
  <c r="W730" i="3"/>
  <c r="W811" i="3"/>
  <c r="X91" i="3"/>
  <c r="V91" i="3"/>
  <c r="W91" i="3"/>
  <c r="X227" i="3"/>
  <c r="W227" i="3"/>
  <c r="X599" i="3"/>
  <c r="W599" i="3"/>
  <c r="X44" i="3"/>
  <c r="V44" i="3"/>
  <c r="W44" i="3"/>
  <c r="X1003" i="3"/>
  <c r="W1003" i="3"/>
  <c r="X323" i="3"/>
  <c r="W323" i="3"/>
  <c r="X55" i="3"/>
  <c r="V55" i="3"/>
  <c r="W55" i="3"/>
  <c r="X332" i="3"/>
  <c r="W332" i="3"/>
  <c r="Y332" i="3" s="1"/>
  <c r="X334" i="3"/>
  <c r="W334" i="3"/>
  <c r="X110" i="3"/>
  <c r="Y110" i="3" s="1"/>
  <c r="V110" i="3"/>
  <c r="W238" i="3"/>
  <c r="X238" i="3"/>
  <c r="W465" i="3"/>
  <c r="X465" i="3"/>
  <c r="Y465" i="3" s="1"/>
  <c r="V192" i="3"/>
  <c r="X192" i="3"/>
  <c r="Y192" i="3" s="1"/>
  <c r="X400" i="3"/>
  <c r="W400" i="3"/>
  <c r="X818" i="3"/>
  <c r="W818" i="3"/>
  <c r="V216" i="3"/>
  <c r="X216" i="3"/>
  <c r="Y216" i="3" s="1"/>
  <c r="W417" i="3"/>
  <c r="X417" i="3"/>
  <c r="X676" i="3"/>
  <c r="W676" i="3"/>
  <c r="W1305" i="3"/>
  <c r="X1305" i="3"/>
  <c r="X504" i="3"/>
  <c r="W504" i="3"/>
  <c r="Y504" i="3" s="1"/>
  <c r="X777" i="3"/>
  <c r="W777" i="3"/>
  <c r="X969" i="3"/>
  <c r="W969" i="3"/>
  <c r="X762" i="3"/>
  <c r="W762" i="3"/>
  <c r="X1118" i="3"/>
  <c r="W1118" i="3"/>
  <c r="Y1118" i="3" s="1"/>
  <c r="X1459" i="3"/>
  <c r="W1459" i="3"/>
  <c r="X785" i="3"/>
  <c r="W785" i="3"/>
  <c r="X545" i="3"/>
  <c r="W545" i="3"/>
  <c r="X500" i="3"/>
  <c r="W500" i="3"/>
  <c r="Y500" i="3" s="1"/>
  <c r="X1323" i="3"/>
  <c r="W1323" i="3"/>
  <c r="X1253" i="3"/>
  <c r="W1253" i="3"/>
  <c r="X1374" i="3"/>
  <c r="W1374" i="3"/>
  <c r="W1360" i="3"/>
  <c r="X1360" i="3"/>
  <c r="Y1360" i="3" s="1"/>
  <c r="X1426" i="3"/>
  <c r="X1301" i="3"/>
  <c r="X1170" i="3"/>
  <c r="X1113" i="3"/>
  <c r="W488" i="3"/>
  <c r="W216" i="3"/>
  <c r="W251" i="3"/>
  <c r="W1454" i="3"/>
  <c r="W991" i="3"/>
  <c r="X1082" i="3"/>
  <c r="X1229" i="3"/>
  <c r="X848" i="3"/>
  <c r="X728" i="3"/>
  <c r="W1264" i="3"/>
  <c r="W495" i="3"/>
  <c r="Y495" i="3" s="1"/>
  <c r="W1248" i="3"/>
  <c r="X220" i="3"/>
  <c r="V220" i="3"/>
  <c r="W1401" i="3"/>
  <c r="X272" i="3"/>
  <c r="W953" i="3"/>
  <c r="Y953" i="3" s="1"/>
  <c r="W649" i="3"/>
  <c r="Y1380" i="3"/>
  <c r="X77" i="3"/>
  <c r="Y77" i="3" s="1"/>
  <c r="V77" i="3"/>
  <c r="X40" i="3"/>
  <c r="Y40" i="3" s="1"/>
  <c r="V40" i="3"/>
  <c r="X107" i="3"/>
  <c r="Y107" i="3" s="1"/>
  <c r="V107" i="3"/>
  <c r="X174" i="3"/>
  <c r="Y174" i="3" s="1"/>
  <c r="V174" i="3"/>
  <c r="X88" i="3"/>
  <c r="Y88" i="3" s="1"/>
  <c r="V88" i="3"/>
  <c r="W222" i="3"/>
  <c r="Y222" i="3" s="1"/>
  <c r="V222" i="3"/>
  <c r="X51" i="3"/>
  <c r="V51" i="3"/>
  <c r="W119" i="3"/>
  <c r="Y119" i="3" s="1"/>
  <c r="V119" i="3"/>
  <c r="X140" i="3"/>
  <c r="Y140" i="3" s="1"/>
  <c r="V140" i="3"/>
  <c r="W201" i="3"/>
  <c r="Y201" i="3" s="1"/>
  <c r="V201" i="3"/>
  <c r="X205" i="3"/>
  <c r="Y205" i="3" s="1"/>
  <c r="V205" i="3"/>
  <c r="W220" i="3"/>
  <c r="Y220" i="3" s="1"/>
  <c r="Y875" i="3"/>
  <c r="Y51" i="3"/>
  <c r="X1080" i="3"/>
  <c r="W300" i="3"/>
  <c r="W866" i="3"/>
  <c r="Y866" i="3" s="1"/>
  <c r="X64" i="3"/>
  <c r="Y64" i="3" s="1"/>
  <c r="V64" i="3"/>
  <c r="X48" i="3"/>
  <c r="Y48" i="3" s="1"/>
  <c r="V48" i="3"/>
  <c r="X115" i="3"/>
  <c r="Y115" i="3" s="1"/>
  <c r="V115" i="3"/>
  <c r="X182" i="3"/>
  <c r="Y182" i="3" s="1"/>
  <c r="V182" i="3"/>
  <c r="X35" i="3"/>
  <c r="Y35" i="3" s="1"/>
  <c r="V35" i="3"/>
  <c r="X102" i="3"/>
  <c r="Y102" i="3" s="1"/>
  <c r="V102" i="3"/>
  <c r="X59" i="3"/>
  <c r="Y59" i="3" s="1"/>
  <c r="V59" i="3"/>
  <c r="X126" i="3"/>
  <c r="Y126" i="3" s="1"/>
  <c r="V126" i="3"/>
  <c r="X148" i="3"/>
  <c r="Y148" i="3" s="1"/>
  <c r="V148" i="3"/>
  <c r="W209" i="3"/>
  <c r="Y209" i="3" s="1"/>
  <c r="V209" i="3"/>
  <c r="W175" i="3"/>
  <c r="V175" i="3"/>
  <c r="X213" i="3"/>
  <c r="V213" i="3"/>
  <c r="Y1293" i="3"/>
  <c r="W1139" i="3"/>
  <c r="X1197" i="3"/>
  <c r="Y1185" i="3"/>
  <c r="Y734" i="3"/>
  <c r="X175" i="3"/>
  <c r="X165" i="3"/>
  <c r="Y165" i="3" s="1"/>
  <c r="V165" i="3"/>
  <c r="W39" i="3"/>
  <c r="V39" i="3"/>
  <c r="X63" i="3"/>
  <c r="Y63" i="3" s="1"/>
  <c r="V63" i="3"/>
  <c r="X129" i="3"/>
  <c r="Y129" i="3" s="1"/>
  <c r="V129" i="3"/>
  <c r="X196" i="3"/>
  <c r="Y196" i="3" s="1"/>
  <c r="V196" i="3"/>
  <c r="X118" i="3"/>
  <c r="Y118" i="3" s="1"/>
  <c r="V118" i="3"/>
  <c r="W177" i="3"/>
  <c r="Y177" i="3" s="1"/>
  <c r="V177" i="3"/>
  <c r="X75" i="3"/>
  <c r="Y75" i="3" s="1"/>
  <c r="V75" i="3"/>
  <c r="X139" i="3"/>
  <c r="Y139" i="3" s="1"/>
  <c r="V139" i="3"/>
  <c r="X104" i="3"/>
  <c r="Y104" i="3" s="1"/>
  <c r="V104" i="3"/>
  <c r="X164" i="3"/>
  <c r="Y164" i="3" s="1"/>
  <c r="V164" i="3"/>
  <c r="X221" i="3"/>
  <c r="Y221" i="3" s="1"/>
  <c r="V221" i="3"/>
  <c r="X197" i="3"/>
  <c r="Y197" i="3" s="1"/>
  <c r="V197" i="3"/>
  <c r="X1284" i="3"/>
  <c r="W682" i="3"/>
  <c r="Y39" i="3"/>
  <c r="X361" i="3"/>
  <c r="Y361" i="3" s="1"/>
  <c r="X493" i="3"/>
  <c r="X149" i="3"/>
  <c r="V149" i="3"/>
  <c r="X71" i="3"/>
  <c r="V71" i="3"/>
  <c r="X135" i="3"/>
  <c r="V135" i="3"/>
  <c r="X204" i="3"/>
  <c r="V204" i="3"/>
  <c r="X58" i="3"/>
  <c r="V58" i="3"/>
  <c r="X125" i="3"/>
  <c r="V125" i="3"/>
  <c r="W185" i="3"/>
  <c r="Y185" i="3" s="1"/>
  <c r="V185" i="3"/>
  <c r="X21" i="3"/>
  <c r="V21" i="3"/>
  <c r="W81" i="3"/>
  <c r="V81" i="3"/>
  <c r="X147" i="3"/>
  <c r="V147" i="3"/>
  <c r="W208" i="3"/>
  <c r="V208" i="3"/>
  <c r="X112" i="3"/>
  <c r="V112" i="3"/>
  <c r="X171" i="3"/>
  <c r="Y171" i="3" s="1"/>
  <c r="V171" i="3"/>
  <c r="X1014" i="3"/>
  <c r="W371" i="3"/>
  <c r="X1439" i="3"/>
  <c r="Y1240" i="3"/>
  <c r="W237" i="3"/>
  <c r="W17" i="3"/>
  <c r="Y17" i="3" s="1"/>
  <c r="V17" i="3"/>
  <c r="X85" i="3"/>
  <c r="Y85" i="3" s="1"/>
  <c r="V85" i="3"/>
  <c r="X143" i="3"/>
  <c r="Y143" i="3" s="1"/>
  <c r="V143" i="3"/>
  <c r="X212" i="3"/>
  <c r="Y212" i="3" s="1"/>
  <c r="V212" i="3"/>
  <c r="X132" i="3"/>
  <c r="Y132" i="3" s="1"/>
  <c r="V132" i="3"/>
  <c r="X199" i="3"/>
  <c r="Y199" i="3" s="1"/>
  <c r="V199" i="3"/>
  <c r="W28" i="3"/>
  <c r="Y28" i="3" s="1"/>
  <c r="V28" i="3"/>
  <c r="W89" i="3"/>
  <c r="Y89" i="3" s="1"/>
  <c r="V89" i="3"/>
  <c r="X155" i="3"/>
  <c r="Y155" i="3" s="1"/>
  <c r="V155" i="3"/>
  <c r="X223" i="3"/>
  <c r="Y223" i="3" s="1"/>
  <c r="V223" i="3"/>
  <c r="X120" i="3"/>
  <c r="Y120" i="3" s="1"/>
  <c r="V120" i="3"/>
  <c r="X179" i="3"/>
  <c r="Y179" i="3" s="1"/>
  <c r="V179" i="3"/>
  <c r="Y1442" i="3"/>
  <c r="Y1370" i="3"/>
  <c r="W299" i="3"/>
  <c r="W213" i="3"/>
  <c r="Y98" i="3"/>
  <c r="Y1232" i="3"/>
  <c r="Y796" i="3"/>
  <c r="X81" i="3"/>
  <c r="W21" i="3"/>
  <c r="X630" i="3"/>
  <c r="W105" i="3"/>
  <c r="Y105" i="3" s="1"/>
  <c r="V105" i="3"/>
  <c r="X25" i="3"/>
  <c r="Y25" i="3" s="1"/>
  <c r="V25" i="3"/>
  <c r="X93" i="3"/>
  <c r="Y93" i="3" s="1"/>
  <c r="V93" i="3"/>
  <c r="X151" i="3"/>
  <c r="Y151" i="3" s="1"/>
  <c r="V151" i="3"/>
  <c r="X219" i="3"/>
  <c r="Y219" i="3" s="1"/>
  <c r="V219" i="3"/>
  <c r="W138" i="3"/>
  <c r="Y138" i="3" s="1"/>
  <c r="V138" i="3"/>
  <c r="X207" i="3"/>
  <c r="Y207" i="3" s="1"/>
  <c r="V207" i="3"/>
  <c r="X36" i="3"/>
  <c r="Y36" i="3" s="1"/>
  <c r="V36" i="3"/>
  <c r="X103" i="3"/>
  <c r="Y103" i="3" s="1"/>
  <c r="V103" i="3"/>
  <c r="X163" i="3"/>
  <c r="Y163" i="3" s="1"/>
  <c r="V163" i="3"/>
  <c r="X127" i="3"/>
  <c r="Y127" i="3" s="1"/>
  <c r="V127" i="3"/>
  <c r="X187" i="3"/>
  <c r="Y187" i="3" s="1"/>
  <c r="V187" i="3"/>
  <c r="W533" i="3"/>
  <c r="W656" i="3"/>
  <c r="W275" i="3"/>
  <c r="W994" i="3"/>
  <c r="Y994" i="3" s="1"/>
  <c r="W1265" i="3"/>
  <c r="Y1265" i="3" s="1"/>
  <c r="W1453" i="3"/>
  <c r="Y1453" i="3" s="1"/>
  <c r="W1389" i="3"/>
  <c r="X1195" i="3"/>
  <c r="Y1195" i="3" s="1"/>
  <c r="X941" i="3"/>
  <c r="Y1431" i="3"/>
  <c r="X948" i="3"/>
  <c r="W350" i="3"/>
  <c r="W253" i="3"/>
  <c r="W674" i="3"/>
  <c r="Y674" i="3" s="1"/>
  <c r="W71" i="3"/>
  <c r="Y71" i="3" s="1"/>
  <c r="W311" i="3"/>
  <c r="Y311" i="3" s="1"/>
  <c r="W1273" i="3"/>
  <c r="X775" i="3"/>
  <c r="Y775" i="3" s="1"/>
  <c r="W1333" i="3"/>
  <c r="W121" i="3"/>
  <c r="X121" i="3"/>
  <c r="X408" i="3"/>
  <c r="W408" i="3"/>
  <c r="W593" i="3"/>
  <c r="X593" i="3"/>
  <c r="X662" i="3"/>
  <c r="W662" i="3"/>
  <c r="W1419" i="3"/>
  <c r="X1419" i="3"/>
  <c r="X658" i="3"/>
  <c r="W658" i="3"/>
  <c r="X844" i="3"/>
  <c r="W844" i="3"/>
  <c r="X629" i="3"/>
  <c r="W629" i="3"/>
  <c r="X685" i="3"/>
  <c r="W685" i="3"/>
  <c r="X358" i="3"/>
  <c r="W358" i="3"/>
  <c r="X595" i="3"/>
  <c r="W595" i="3"/>
  <c r="X936" i="3"/>
  <c r="W936" i="3"/>
  <c r="W1210" i="3"/>
  <c r="X1210" i="3"/>
  <c r="W894" i="3"/>
  <c r="X894" i="3"/>
  <c r="W1268" i="3"/>
  <c r="X1268" i="3"/>
  <c r="X1340" i="3"/>
  <c r="W1340" i="3"/>
  <c r="X1001" i="3"/>
  <c r="W1001" i="3"/>
  <c r="X1125" i="3"/>
  <c r="W1125" i="3"/>
  <c r="W1304" i="3"/>
  <c r="X1304" i="3"/>
  <c r="X252" i="3"/>
  <c r="W252" i="3"/>
  <c r="X308" i="3"/>
  <c r="W308" i="3"/>
  <c r="X392" i="3"/>
  <c r="W392" i="3"/>
  <c r="X721" i="3"/>
  <c r="W721" i="3"/>
  <c r="X1149" i="3"/>
  <c r="W1149" i="3"/>
  <c r="W1261" i="3"/>
  <c r="Y1261" i="3" s="1"/>
  <c r="X1196" i="3"/>
  <c r="W897" i="3"/>
  <c r="Y897" i="3" s="1"/>
  <c r="W809" i="3"/>
  <c r="W743" i="3"/>
  <c r="Y743" i="3" s="1"/>
  <c r="W582" i="3"/>
  <c r="Y582" i="3" s="1"/>
  <c r="W560" i="3"/>
  <c r="W773" i="3"/>
  <c r="W1469" i="3"/>
  <c r="X1334" i="3"/>
  <c r="X1456" i="3"/>
  <c r="W906" i="3"/>
  <c r="W420" i="3"/>
  <c r="Y420" i="3" s="1"/>
  <c r="W135" i="3"/>
  <c r="W432" i="3"/>
  <c r="W285" i="3"/>
  <c r="W677" i="3"/>
  <c r="Y677" i="3" s="1"/>
  <c r="W1002" i="3"/>
  <c r="Y1002" i="3" s="1"/>
  <c r="W424" i="3"/>
  <c r="Y424" i="3" s="1"/>
  <c r="X511" i="3"/>
  <c r="W511" i="3"/>
  <c r="W445" i="3"/>
  <c r="X445" i="3"/>
  <c r="X669" i="3"/>
  <c r="W669" i="3"/>
  <c r="W854" i="3"/>
  <c r="X854" i="3"/>
  <c r="X1148" i="3"/>
  <c r="W1148" i="3"/>
  <c r="X978" i="3"/>
  <c r="W978" i="3"/>
  <c r="X1108" i="3"/>
  <c r="W1108" i="3"/>
  <c r="X1274" i="3"/>
  <c r="W1274" i="3"/>
  <c r="Y1274" i="3" s="1"/>
  <c r="W1448" i="3"/>
  <c r="X1448" i="3"/>
  <c r="X1316" i="3"/>
  <c r="W1316" i="3"/>
  <c r="W383" i="3"/>
  <c r="X383" i="3"/>
  <c r="Y95" i="3"/>
  <c r="W470" i="3"/>
  <c r="X470" i="3"/>
  <c r="Y1397" i="3"/>
  <c r="W783" i="3"/>
  <c r="X783" i="3"/>
  <c r="W351" i="3"/>
  <c r="X351" i="3"/>
  <c r="W931" i="3"/>
  <c r="X931" i="3"/>
  <c r="W1330" i="3"/>
  <c r="W1097" i="3"/>
  <c r="Y1097" i="3" s="1"/>
  <c r="W732" i="3"/>
  <c r="W668" i="3"/>
  <c r="W801" i="3"/>
  <c r="Y801" i="3" s="1"/>
  <c r="Y824" i="3"/>
  <c r="Y529" i="3"/>
  <c r="X264" i="3"/>
  <c r="Y264" i="3" s="1"/>
  <c r="Y441" i="3"/>
  <c r="W362" i="3"/>
  <c r="Y362" i="3" s="1"/>
  <c r="W58" i="3"/>
  <c r="W125" i="3"/>
  <c r="X208" i="3"/>
  <c r="X1376" i="3"/>
  <c r="Y1376" i="3" s="1"/>
  <c r="W1174" i="3"/>
  <c r="W1092" i="3"/>
  <c r="Y1092" i="3" s="1"/>
  <c r="W603" i="3"/>
  <c r="W1208" i="3"/>
  <c r="Y1208" i="3" s="1"/>
  <c r="X360" i="3"/>
  <c r="Y851" i="3"/>
  <c r="W883" i="3"/>
  <c r="Y1150" i="3"/>
  <c r="W458" i="3"/>
  <c r="W1134" i="3"/>
  <c r="W567" i="3"/>
  <c r="Y567" i="3" s="1"/>
  <c r="X271" i="3"/>
  <c r="Y271" i="3" s="1"/>
  <c r="X964" i="3"/>
  <c r="W180" i="3"/>
  <c r="Y180" i="3" s="1"/>
  <c r="X389" i="3"/>
  <c r="W389" i="3"/>
  <c r="W449" i="3"/>
  <c r="X449" i="3"/>
  <c r="W554" i="3"/>
  <c r="X554" i="3"/>
  <c r="X215" i="3"/>
  <c r="W215" i="3"/>
  <c r="X335" i="3"/>
  <c r="W335" i="3"/>
  <c r="X524" i="3"/>
  <c r="W524" i="3"/>
  <c r="X455" i="3"/>
  <c r="W455" i="3"/>
  <c r="W134" i="3"/>
  <c r="X134" i="3"/>
  <c r="X255" i="3"/>
  <c r="W255" i="3"/>
  <c r="W550" i="3"/>
  <c r="X550" i="3"/>
  <c r="X911" i="3"/>
  <c r="W911" i="3"/>
  <c r="W1440" i="3"/>
  <c r="X1440" i="3"/>
  <c r="W471" i="3"/>
  <c r="X471" i="3"/>
  <c r="X673" i="3"/>
  <c r="W673" i="3"/>
  <c r="W853" i="3"/>
  <c r="X853" i="3"/>
  <c r="W996" i="3"/>
  <c r="X996" i="3"/>
  <c r="X1287" i="3"/>
  <c r="W1287" i="3"/>
  <c r="X915" i="3"/>
  <c r="W915" i="3"/>
  <c r="W1225" i="3"/>
  <c r="X1225" i="3"/>
  <c r="W1219" i="3"/>
  <c r="X1219" i="3"/>
  <c r="X1263" i="3"/>
  <c r="W1263" i="3"/>
  <c r="W896" i="3"/>
  <c r="Y896" i="3" s="1"/>
  <c r="W515" i="3"/>
  <c r="Y515" i="3" s="1"/>
  <c r="W460" i="3"/>
  <c r="W1242" i="3"/>
  <c r="W583" i="3"/>
  <c r="W527" i="3"/>
  <c r="Y527" i="3" s="1"/>
  <c r="W526" i="3"/>
  <c r="W204" i="3"/>
  <c r="W1133" i="3"/>
  <c r="X1128" i="3"/>
  <c r="X804" i="3"/>
  <c r="W804" i="3"/>
  <c r="X399" i="3"/>
  <c r="W399" i="3"/>
  <c r="X443" i="3"/>
  <c r="W443" i="3"/>
  <c r="X1016" i="3"/>
  <c r="W1016" i="3"/>
  <c r="W1112" i="3"/>
  <c r="X1112" i="3"/>
  <c r="X1058" i="3"/>
  <c r="W1058" i="3"/>
  <c r="W589" i="3"/>
  <c r="X589" i="3"/>
  <c r="W654" i="3"/>
  <c r="X654" i="3"/>
  <c r="X745" i="3"/>
  <c r="W745" i="3"/>
  <c r="X1010" i="3"/>
  <c r="W1010" i="3"/>
  <c r="W1427" i="3"/>
  <c r="X1427" i="3"/>
  <c r="W900" i="3"/>
  <c r="X900" i="3"/>
  <c r="W1463" i="3"/>
  <c r="X1463" i="3"/>
  <c r="W961" i="3"/>
  <c r="X961" i="3"/>
  <c r="W1445" i="3"/>
  <c r="X1445" i="3"/>
  <c r="Y286" i="3"/>
  <c r="W837" i="3"/>
  <c r="X837" i="3"/>
  <c r="X558" i="3"/>
  <c r="W558" i="3"/>
  <c r="X1285" i="3"/>
  <c r="Y1285" i="3" s="1"/>
  <c r="X1228" i="3"/>
  <c r="W959" i="3"/>
  <c r="Y959" i="3" s="1"/>
  <c r="W1051" i="3"/>
  <c r="Y1051" i="3" s="1"/>
  <c r="W655" i="3"/>
  <c r="Y655" i="3" s="1"/>
  <c r="W648" i="3"/>
  <c r="Y648" i="3" s="1"/>
  <c r="W149" i="3"/>
  <c r="W1090" i="3"/>
  <c r="W1357" i="3"/>
  <c r="W929" i="3"/>
  <c r="W710" i="3"/>
  <c r="Y710" i="3" s="1"/>
  <c r="W450" i="3"/>
  <c r="W651" i="3"/>
  <c r="W112" i="3"/>
  <c r="X344" i="3"/>
  <c r="W348" i="3"/>
  <c r="X1012" i="3"/>
  <c r="Y1012" i="3" s="1"/>
  <c r="W597" i="3"/>
  <c r="X597" i="3"/>
  <c r="X638" i="3"/>
  <c r="W638" i="3"/>
  <c r="X693" i="3"/>
  <c r="W693" i="3"/>
  <c r="X689" i="3"/>
  <c r="W689" i="3"/>
  <c r="W1141" i="3"/>
  <c r="X1141" i="3"/>
  <c r="W815" i="3"/>
  <c r="X815" i="3"/>
  <c r="X779" i="3"/>
  <c r="W779" i="3"/>
  <c r="X990" i="3"/>
  <c r="W990" i="3"/>
  <c r="W717" i="3"/>
  <c r="X717" i="3"/>
  <c r="W486" i="3"/>
  <c r="X486" i="3"/>
  <c r="W1306" i="3"/>
  <c r="X1306" i="3"/>
  <c r="W885" i="3"/>
  <c r="X885" i="3"/>
  <c r="W1004" i="3"/>
  <c r="X1004" i="3"/>
  <c r="X1173" i="3"/>
  <c r="W1173" i="3"/>
  <c r="W1109" i="3"/>
  <c r="X1109" i="3"/>
  <c r="X1309" i="3"/>
  <c r="W1309" i="3"/>
  <c r="W1028" i="3"/>
  <c r="X1028" i="3"/>
  <c r="W1335" i="3"/>
  <c r="X1335" i="3"/>
  <c r="X191" i="3"/>
  <c r="W191" i="3"/>
  <c r="W27" i="3"/>
  <c r="X27" i="3"/>
  <c r="W1317" i="3"/>
  <c r="X1317" i="3"/>
  <c r="X833" i="3"/>
  <c r="W833" i="3"/>
  <c r="W1314" i="3"/>
  <c r="X1314" i="3"/>
  <c r="W1392" i="3"/>
  <c r="X1392" i="3"/>
  <c r="W1355" i="3"/>
  <c r="Y1355" i="3" s="1"/>
  <c r="W1031" i="3"/>
  <c r="W1059" i="3"/>
  <c r="Y1059" i="3" s="1"/>
  <c r="W1417" i="3"/>
  <c r="Y1417" i="3" s="1"/>
  <c r="W1338" i="3"/>
  <c r="Y1338" i="3" s="1"/>
  <c r="W1081" i="3"/>
  <c r="Y1081" i="3" s="1"/>
  <c r="W1130" i="3"/>
  <c r="W995" i="3"/>
  <c r="W720" i="3"/>
  <c r="W563" i="3"/>
  <c r="Y563" i="3" s="1"/>
  <c r="W499" i="3"/>
  <c r="Y499" i="3" s="1"/>
  <c r="W426" i="3"/>
  <c r="Y426" i="3" s="1"/>
  <c r="W147" i="3"/>
  <c r="W1348" i="3"/>
  <c r="W1381" i="3"/>
  <c r="X1275" i="3"/>
  <c r="Y1275" i="3" s="1"/>
  <c r="X855" i="3"/>
  <c r="Y1091" i="3"/>
  <c r="W518" i="3"/>
  <c r="Y518" i="3" s="1"/>
  <c r="W291" i="3"/>
  <c r="Y291" i="3" s="1"/>
  <c r="W487" i="3"/>
  <c r="Y487" i="3" s="1"/>
  <c r="W622" i="3"/>
  <c r="X1111" i="3"/>
  <c r="W992" i="3"/>
  <c r="Y992" i="3" s="1"/>
  <c r="W621" i="3"/>
  <c r="W861" i="3"/>
  <c r="X861" i="3"/>
  <c r="W725" i="3"/>
  <c r="X725" i="3"/>
  <c r="X606" i="3"/>
  <c r="W606" i="3"/>
  <c r="X643" i="3"/>
  <c r="W643" i="3"/>
  <c r="X761" i="3"/>
  <c r="W761" i="3"/>
  <c r="W633" i="3"/>
  <c r="X633" i="3"/>
  <c r="W336" i="3"/>
  <c r="X336" i="3"/>
  <c r="X858" i="3"/>
  <c r="W858" i="3"/>
  <c r="X1298" i="3"/>
  <c r="W1298" i="3"/>
  <c r="W1017" i="3"/>
  <c r="X1017" i="3"/>
  <c r="W1194" i="3"/>
  <c r="X1194" i="3"/>
  <c r="X1325" i="3"/>
  <c r="W1325" i="3"/>
  <c r="W944" i="3"/>
  <c r="X944" i="3"/>
  <c r="X1000" i="3"/>
  <c r="W1000" i="3"/>
  <c r="X1057" i="3"/>
  <c r="W1057" i="3"/>
  <c r="X982" i="3"/>
  <c r="W982" i="3"/>
  <c r="X1341" i="3"/>
  <c r="W1341" i="3"/>
  <c r="W1126" i="3"/>
  <c r="X1126" i="3"/>
  <c r="X939" i="3"/>
  <c r="Y1269" i="3"/>
  <c r="X1070" i="3"/>
  <c r="Y1192" i="3"/>
  <c r="W1061" i="3"/>
  <c r="Y1061" i="3" s="1"/>
  <c r="Y849" i="3"/>
  <c r="Y672" i="3"/>
  <c r="Y696" i="3"/>
  <c r="Y1030" i="3"/>
  <c r="Y448" i="3"/>
  <c r="Y631" i="3"/>
  <c r="Y282" i="3"/>
  <c r="Y664" i="3"/>
  <c r="Y346" i="3"/>
  <c r="X1472" i="3"/>
  <c r="Y1472" i="3" s="1"/>
  <c r="W1209" i="3"/>
  <c r="Y1209" i="3" s="1"/>
  <c r="X799" i="3"/>
  <c r="Y799" i="3" s="1"/>
  <c r="Y713" i="3"/>
  <c r="Y367" i="3"/>
  <c r="Y530" i="3"/>
  <c r="W413" i="3"/>
  <c r="Y413" i="3" s="1"/>
  <c r="W1436" i="3"/>
  <c r="X461" i="3"/>
  <c r="X1202" i="3"/>
  <c r="W257" i="3"/>
  <c r="X257" i="3"/>
  <c r="W423" i="3"/>
  <c r="X423" i="3"/>
  <c r="X1388" i="3"/>
  <c r="W1388" i="3"/>
  <c r="W650" i="3"/>
  <c r="X650" i="3"/>
  <c r="X706" i="3"/>
  <c r="W706" i="3"/>
  <c r="W1258" i="3"/>
  <c r="X1258" i="3"/>
  <c r="X985" i="3"/>
  <c r="W985" i="3"/>
  <c r="W614" i="3"/>
  <c r="X614" i="3"/>
  <c r="X876" i="3"/>
  <c r="W876" i="3"/>
  <c r="W1292" i="3"/>
  <c r="X1292" i="3"/>
  <c r="X492" i="3"/>
  <c r="W492" i="3"/>
  <c r="W642" i="3"/>
  <c r="X642" i="3"/>
  <c r="X705" i="3"/>
  <c r="W705" i="3"/>
  <c r="W1259" i="3"/>
  <c r="X1259" i="3"/>
  <c r="W1447" i="3"/>
  <c r="X1447" i="3"/>
  <c r="X1256" i="3"/>
  <c r="W1256" i="3"/>
  <c r="W1320" i="3"/>
  <c r="X1320" i="3"/>
  <c r="X1444" i="3"/>
  <c r="W1444" i="3"/>
  <c r="W1291" i="3"/>
  <c r="X1291" i="3"/>
  <c r="Y1102" i="3"/>
  <c r="Y1075" i="3"/>
  <c r="Y1345" i="3"/>
  <c r="Y792" i="3"/>
  <c r="Y561" i="3"/>
  <c r="Y505" i="3"/>
  <c r="Y419" i="3"/>
  <c r="Y370" i="3"/>
  <c r="Y395" i="3"/>
  <c r="Y106" i="3"/>
  <c r="Y1271" i="3"/>
  <c r="Y479" i="3"/>
  <c r="Y1282" i="3"/>
  <c r="Y838" i="3"/>
  <c r="Y473" i="3"/>
  <c r="Y924" i="3"/>
  <c r="Y1425" i="3"/>
  <c r="Y1278" i="3"/>
  <c r="Y1237" i="3"/>
  <c r="Y934" i="3"/>
  <c r="Y363" i="3"/>
  <c r="Y355" i="3"/>
  <c r="Y42" i="3"/>
  <c r="Y780" i="3"/>
  <c r="Y1243" i="3"/>
  <c r="Y766" i="3"/>
  <c r="Y1086" i="3"/>
  <c r="Y1313" i="3"/>
  <c r="Y1186" i="3"/>
  <c r="Y1022" i="3"/>
  <c r="Y800" i="3"/>
  <c r="Y752" i="3"/>
  <c r="Y632" i="3"/>
  <c r="Y612" i="3"/>
  <c r="Y410" i="3"/>
  <c r="Y331" i="3"/>
  <c r="Y339" i="3"/>
  <c r="Y26" i="3"/>
  <c r="Y1083" i="3"/>
  <c r="Y1290" i="3"/>
  <c r="Y1040" i="3"/>
  <c r="Y1450" i="3"/>
  <c r="Y1361" i="3"/>
  <c r="Y1178" i="3"/>
  <c r="Y1089" i="3"/>
  <c r="Y923" i="3"/>
  <c r="Y917" i="3"/>
  <c r="Y1095" i="3"/>
  <c r="Y760" i="3"/>
  <c r="Y596" i="3"/>
  <c r="Y418" i="3"/>
  <c r="Y379" i="3"/>
  <c r="Y394" i="3"/>
  <c r="Y1159" i="3"/>
  <c r="Y1025" i="3"/>
  <c r="Y645" i="3"/>
  <c r="Y850" i="3"/>
  <c r="Y178" i="3"/>
  <c r="Y1235" i="3"/>
  <c r="Y1466" i="3"/>
  <c r="Y1385" i="3"/>
  <c r="Y1410" i="3"/>
  <c r="Y1277" i="3"/>
  <c r="Y1230" i="3"/>
  <c r="Y1145" i="3"/>
  <c r="Y935" i="3"/>
  <c r="Y712" i="3"/>
  <c r="Y932" i="3"/>
  <c r="Y768" i="3"/>
  <c r="Y537" i="3"/>
  <c r="Y440" i="3"/>
  <c r="Y427" i="3"/>
  <c r="Y290" i="3"/>
  <c r="Y114" i="3"/>
  <c r="Y1423" i="3"/>
  <c r="Y709" i="3"/>
  <c r="Y210" i="3"/>
  <c r="Y1393" i="3"/>
  <c r="Y1434" i="3"/>
  <c r="Y218" i="3"/>
  <c r="Y377" i="3"/>
  <c r="Y202" i="3"/>
  <c r="Y146" i="3"/>
  <c r="Y162" i="3"/>
  <c r="Y1394" i="3"/>
  <c r="Y1418" i="3"/>
  <c r="Y1449" i="3"/>
  <c r="Y1369" i="3"/>
  <c r="Y1354" i="3"/>
  <c r="Y1146" i="3"/>
  <c r="Y1073" i="3"/>
  <c r="Y1169" i="3"/>
  <c r="Y1207" i="3"/>
  <c r="Y1153" i="3"/>
  <c r="Y905" i="3"/>
  <c r="Y776" i="3"/>
  <c r="Y873" i="3"/>
  <c r="Y459" i="3"/>
  <c r="Y402" i="3"/>
  <c r="Y258" i="3"/>
  <c r="Y160" i="3"/>
  <c r="Y881" i="3"/>
  <c r="Y491" i="3"/>
  <c r="Y168" i="3"/>
  <c r="Y337" i="3"/>
  <c r="Y152" i="3"/>
  <c r="Y184" i="3"/>
  <c r="Y955" i="3"/>
  <c r="Y226" i="3"/>
  <c r="Y1378" i="3"/>
  <c r="Y1246" i="3"/>
  <c r="Y1302" i="3"/>
  <c r="Y1238" i="3"/>
  <c r="Y1199" i="3"/>
  <c r="Y1121" i="3"/>
  <c r="Y1162" i="3"/>
  <c r="Y1062" i="3"/>
  <c r="Y930" i="3"/>
  <c r="Y865" i="3"/>
  <c r="Y604" i="3"/>
  <c r="Y628" i="3"/>
  <c r="Y889" i="3"/>
  <c r="Y322" i="3"/>
  <c r="Y347" i="3"/>
  <c r="Y154" i="3"/>
  <c r="Y18" i="3"/>
  <c r="Y242" i="3"/>
  <c r="Y176" i="3"/>
  <c r="Y34" i="3"/>
  <c r="Y1055" i="3" l="1"/>
  <c r="Y1214" i="3"/>
  <c r="Y538" i="3"/>
  <c r="Y647" i="3"/>
  <c r="Y372" i="3"/>
  <c r="Y831" i="3"/>
  <c r="Y675" i="3"/>
  <c r="Y997" i="3"/>
  <c r="Y681" i="3"/>
  <c r="Y297" i="3"/>
  <c r="AB1474" i="3"/>
  <c r="Y711" i="3"/>
  <c r="Y855" i="3"/>
  <c r="Y929" i="3"/>
  <c r="Y1439" i="3"/>
  <c r="Y1139" i="3"/>
  <c r="Y1377" i="3"/>
  <c r="Y846" i="3"/>
  <c r="Y620" i="3"/>
  <c r="Y730" i="3"/>
  <c r="Y1412" i="3"/>
  <c r="Y52" i="3"/>
  <c r="Y122" i="3"/>
  <c r="Y1420" i="3"/>
  <c r="Y1350" i="3"/>
  <c r="Y522" i="3"/>
  <c r="Y682" i="3"/>
  <c r="Y904" i="3"/>
  <c r="Y1014" i="3"/>
  <c r="Y821" i="3"/>
  <c r="Y848" i="3"/>
  <c r="Y462" i="3"/>
  <c r="Y966" i="3"/>
  <c r="Y1283" i="3"/>
  <c r="Y565" i="3"/>
  <c r="Y1373" i="3"/>
  <c r="Y283" i="3"/>
  <c r="Y670" i="3"/>
  <c r="Y830" i="3"/>
  <c r="Y732" i="3"/>
  <c r="Y533" i="3"/>
  <c r="Y1401" i="3"/>
  <c r="Y1170" i="3"/>
  <c r="Y32" i="3"/>
  <c r="Y888" i="3"/>
  <c r="Y1147" i="3"/>
  <c r="Y1329" i="3"/>
  <c r="Y1054" i="3"/>
  <c r="Y1029" i="3"/>
  <c r="Y1202" i="3"/>
  <c r="Y460" i="3"/>
  <c r="Y553" i="3"/>
  <c r="Y1136" i="3"/>
  <c r="Y285" i="3"/>
  <c r="Y300" i="3"/>
  <c r="Y1266" i="3"/>
  <c r="Y702" i="3"/>
  <c r="Y736" i="3"/>
  <c r="Y275" i="3"/>
  <c r="Y1381" i="3"/>
  <c r="Y583" i="3"/>
  <c r="Y668" i="3"/>
  <c r="Y773" i="3"/>
  <c r="Y1194" i="3"/>
  <c r="Y336" i="3"/>
  <c r="Y191" i="3"/>
  <c r="Y779" i="3"/>
  <c r="Y693" i="3"/>
  <c r="Y149" i="3"/>
  <c r="Y745" i="3"/>
  <c r="Y911" i="3"/>
  <c r="Y455" i="3"/>
  <c r="Y58" i="3"/>
  <c r="Y560" i="3"/>
  <c r="Y1426" i="3"/>
  <c r="Y313" i="3"/>
  <c r="Y303" i="3"/>
  <c r="Y1315" i="3"/>
  <c r="Y170" i="3"/>
  <c r="Y1437" i="3"/>
  <c r="Y1076" i="3"/>
  <c r="Y260" i="3"/>
  <c r="Y1296" i="3"/>
  <c r="Y960" i="3"/>
  <c r="Y1033" i="3"/>
  <c r="Y1281" i="3"/>
  <c r="Y970" i="3"/>
  <c r="Y1262" i="3"/>
  <c r="Y330" i="3"/>
  <c r="Z1473" i="3"/>
  <c r="Z1472" i="3" s="1"/>
  <c r="Z1471" i="3" s="1"/>
  <c r="Y1130" i="3"/>
  <c r="Y574" i="3"/>
  <c r="Y506" i="3"/>
  <c r="Y995" i="3"/>
  <c r="Y1341" i="3"/>
  <c r="Y1298" i="3"/>
  <c r="Y761" i="3"/>
  <c r="Y450" i="3"/>
  <c r="Y1133" i="3"/>
  <c r="Y458" i="3"/>
  <c r="Y906" i="3"/>
  <c r="Y809" i="3"/>
  <c r="Y392" i="3"/>
  <c r="Y371" i="3"/>
  <c r="Y1264" i="3"/>
  <c r="Y1048" i="3"/>
  <c r="Y1046" i="3"/>
  <c r="Y701" i="3"/>
  <c r="Y856" i="3"/>
  <c r="Y1308" i="3"/>
  <c r="Y578" i="3"/>
  <c r="Y926" i="3"/>
  <c r="Y302" i="3"/>
  <c r="Y1117" i="3"/>
  <c r="Y1137" i="3"/>
  <c r="Y1134" i="3"/>
  <c r="Y1389" i="3"/>
  <c r="Y488" i="3"/>
  <c r="Y666" i="3"/>
  <c r="Y1161" i="3"/>
  <c r="Y828" i="3"/>
  <c r="Y839" i="3"/>
  <c r="Y869" i="3"/>
  <c r="Y592" i="3"/>
  <c r="Y962" i="3"/>
  <c r="Y456" i="3"/>
  <c r="Y1106" i="3"/>
  <c r="Y430" i="3"/>
  <c r="Y1409" i="3"/>
  <c r="Y1031" i="3"/>
  <c r="Y1174" i="3"/>
  <c r="Y1456" i="3"/>
  <c r="Y299" i="3"/>
  <c r="Y705" i="3"/>
  <c r="Y876" i="3"/>
  <c r="Y706" i="3"/>
  <c r="Y526" i="3"/>
  <c r="Y1334" i="3"/>
  <c r="Y1196" i="3"/>
  <c r="Y600" i="3"/>
  <c r="Y391" i="3"/>
  <c r="Y304" i="3"/>
  <c r="Y765" i="3"/>
  <c r="Y925" i="3"/>
  <c r="Y284" i="3"/>
  <c r="Y686" i="3"/>
  <c r="Y74" i="3"/>
  <c r="Y791" i="3"/>
  <c r="Z1470" i="3"/>
  <c r="Y825" i="3"/>
  <c r="Y982" i="3"/>
  <c r="Y1325" i="3"/>
  <c r="Y858" i="3"/>
  <c r="Y643" i="3"/>
  <c r="Y621" i="3"/>
  <c r="Y720" i="3"/>
  <c r="Y21" i="3"/>
  <c r="Y991" i="3"/>
  <c r="Y1003" i="3"/>
  <c r="Y910" i="3"/>
  <c r="Y1421" i="3"/>
  <c r="Y652" i="3"/>
  <c r="Y1359" i="3"/>
  <c r="Y415" i="3"/>
  <c r="Y539" i="3"/>
  <c r="Y66" i="3"/>
  <c r="Y1454" i="3"/>
  <c r="Y512" i="3"/>
  <c r="Y759" i="3"/>
  <c r="Y1111" i="3"/>
  <c r="Y1090" i="3"/>
  <c r="Y383" i="3"/>
  <c r="Y1149" i="3"/>
  <c r="Y350" i="3"/>
  <c r="Y1197" i="3"/>
  <c r="Y251" i="3"/>
  <c r="Y1386" i="3"/>
  <c r="Y1179" i="3"/>
  <c r="Y494" i="3"/>
  <c r="Y1132" i="3"/>
  <c r="Y1224" i="3"/>
  <c r="Y608" i="3"/>
  <c r="Y1396" i="3"/>
  <c r="Y864" i="3"/>
  <c r="Y1175" i="3"/>
  <c r="Y1078" i="3"/>
  <c r="Y912" i="3"/>
  <c r="Y1120" i="3"/>
  <c r="Y937" i="3"/>
  <c r="Y939" i="3"/>
  <c r="Y1348" i="3"/>
  <c r="Y344" i="3"/>
  <c r="Y804" i="3"/>
  <c r="Y793" i="3"/>
  <c r="Y475" i="3"/>
  <c r="Y1248" i="3"/>
  <c r="Y112" i="3"/>
  <c r="Y656" i="3"/>
  <c r="Y237" i="3"/>
  <c r="Y373" i="3"/>
  <c r="Y863" i="3"/>
  <c r="Y1151" i="3"/>
  <c r="Y1415" i="3"/>
  <c r="Y1157" i="3"/>
  <c r="Y327" i="3"/>
  <c r="Y834" i="3"/>
  <c r="Y613" i="3"/>
  <c r="Y1024" i="3"/>
  <c r="Y444" i="3"/>
  <c r="Y1065" i="3"/>
  <c r="Y200" i="3"/>
  <c r="Y204" i="3"/>
  <c r="Y213" i="3"/>
  <c r="Y644" i="3"/>
  <c r="Y461" i="3"/>
  <c r="Y883" i="3"/>
  <c r="Y1128" i="3"/>
  <c r="Y603" i="3"/>
  <c r="Y1330" i="3"/>
  <c r="Y1148" i="3"/>
  <c r="Y1273" i="3"/>
  <c r="Y941" i="3"/>
  <c r="Y493" i="3"/>
  <c r="Y1036" i="3"/>
  <c r="Y447" i="3"/>
  <c r="Y320" i="3"/>
  <c r="Y1171" i="3"/>
  <c r="Y763" i="3"/>
  <c r="Y1312" i="3"/>
  <c r="Y1087" i="3"/>
  <c r="Y1289" i="3"/>
  <c r="Y1398" i="3"/>
  <c r="Y893" i="3"/>
  <c r="Y928" i="3"/>
  <c r="Y795" i="3"/>
  <c r="Y1213" i="3"/>
  <c r="Y581" i="3"/>
  <c r="Y1433" i="3"/>
  <c r="Y703" i="3"/>
  <c r="Y482" i="3"/>
  <c r="Y860" i="3"/>
  <c r="Y609" i="3"/>
  <c r="Y1113" i="3"/>
  <c r="Y1229" i="3"/>
  <c r="Y407" i="3"/>
  <c r="Y988" i="3"/>
  <c r="Y802" i="3"/>
  <c r="Y649" i="3"/>
  <c r="Y1228" i="3"/>
  <c r="Y276" i="3"/>
  <c r="Y1191" i="3"/>
  <c r="Y626" i="3"/>
  <c r="Y425" i="3"/>
  <c r="Y1064" i="3"/>
  <c r="Y521" i="3"/>
  <c r="Y386" i="3"/>
  <c r="Y957" i="3"/>
  <c r="Y1070" i="3"/>
  <c r="Y1357" i="3"/>
  <c r="Y208" i="3"/>
  <c r="Y630" i="3"/>
  <c r="Y272" i="3"/>
  <c r="Y818" i="3"/>
  <c r="Y238" i="3"/>
  <c r="Y811" i="3"/>
  <c r="Y193" i="3"/>
  <c r="Y774" i="3"/>
  <c r="Y159" i="3"/>
  <c r="Y665" i="3"/>
  <c r="Y1042" i="3"/>
  <c r="Y1105" i="3"/>
  <c r="Y586" i="3"/>
  <c r="Y1250" i="3"/>
  <c r="Y938" i="3"/>
  <c r="Y1399" i="3"/>
  <c r="Y1067" i="3"/>
  <c r="Y750" i="3"/>
  <c r="Y468" i="3"/>
  <c r="Y1436" i="3"/>
  <c r="Y348" i="3"/>
  <c r="Y964" i="3"/>
  <c r="Y1469" i="3"/>
  <c r="Y308" i="3"/>
  <c r="Y1001" i="3"/>
  <c r="Y685" i="3"/>
  <c r="Y253" i="3"/>
  <c r="Y81" i="3"/>
  <c r="Y1080" i="3"/>
  <c r="Y1253" i="3"/>
  <c r="Y785" i="3"/>
  <c r="Y969" i="3"/>
  <c r="Y676" i="3"/>
  <c r="Y400" i="3"/>
  <c r="Y950" i="3"/>
  <c r="Y794" i="3"/>
  <c r="Y96" i="3"/>
  <c r="Y43" i="3"/>
  <c r="Y1160" i="3"/>
  <c r="Y1094" i="3"/>
  <c r="Y737" i="3"/>
  <c r="Y832" i="3"/>
  <c r="Y1176" i="3"/>
  <c r="Y1372" i="3"/>
  <c r="Y1140" i="3"/>
  <c r="Y797" i="3"/>
  <c r="Y490" i="3"/>
  <c r="Y274" i="3"/>
  <c r="Y704" i="3"/>
  <c r="Y871" i="3"/>
  <c r="Y240" i="3"/>
  <c r="Y279" i="3"/>
  <c r="Y625" i="3"/>
  <c r="Y622" i="3"/>
  <c r="Y1242" i="3"/>
  <c r="Y360" i="3"/>
  <c r="Y1284" i="3"/>
  <c r="Y175" i="3"/>
  <c r="Y485" i="3"/>
  <c r="Y1254" i="3"/>
  <c r="Y190" i="3"/>
  <c r="Y636" i="3"/>
  <c r="Y579" i="3"/>
  <c r="Y972" i="3"/>
  <c r="Y726" i="3"/>
  <c r="Y733" i="3"/>
  <c r="Y434" i="3"/>
  <c r="Y1000" i="3"/>
  <c r="Y1316" i="3"/>
  <c r="Y978" i="3"/>
  <c r="Y445" i="3"/>
  <c r="Y432" i="3"/>
  <c r="Y1333" i="3"/>
  <c r="Y948" i="3"/>
  <c r="Y1082" i="3"/>
  <c r="Y1301" i="3"/>
  <c r="Y1323" i="3"/>
  <c r="Y1459" i="3"/>
  <c r="Y777" i="3"/>
  <c r="Y417" i="3"/>
  <c r="Y334" i="3"/>
  <c r="Y227" i="3"/>
  <c r="Y1336" i="3"/>
  <c r="Y868" i="3"/>
  <c r="Y1066" i="3"/>
  <c r="Y1008" i="3"/>
  <c r="Y827" i="3"/>
  <c r="Y976" i="3"/>
  <c r="Y872" i="3"/>
  <c r="Y352" i="3"/>
  <c r="Y1156" i="3"/>
  <c r="Y1206" i="3"/>
  <c r="Y442" i="3"/>
  <c r="Y531" i="3"/>
  <c r="Y1408" i="3"/>
  <c r="Y349" i="3"/>
  <c r="Y879" i="3"/>
  <c r="Y1084" i="3"/>
  <c r="Y508" i="3"/>
  <c r="Y501" i="3"/>
  <c r="Y651" i="3"/>
  <c r="Y135" i="3"/>
  <c r="Y721" i="3"/>
  <c r="Y1457" i="3"/>
  <c r="Y1035" i="3"/>
  <c r="Y1116" i="3"/>
  <c r="Y133" i="3"/>
  <c r="Y414" i="3"/>
  <c r="Y368" i="3"/>
  <c r="Y566" i="3"/>
  <c r="Y570" i="3"/>
  <c r="Y532" i="3"/>
  <c r="Y1114" i="3"/>
  <c r="Y544" i="3"/>
  <c r="Y1405" i="3"/>
  <c r="Y421" i="3"/>
  <c r="Y718" i="3"/>
  <c r="Y498" i="3"/>
  <c r="Y280" i="3"/>
  <c r="Y1124" i="3"/>
  <c r="Y714" i="3"/>
  <c r="Y1226" i="3"/>
  <c r="Y1259" i="3"/>
  <c r="Y1292" i="3"/>
  <c r="Y1258" i="3"/>
  <c r="Y423" i="3"/>
  <c r="Y1392" i="3"/>
  <c r="Y27" i="3"/>
  <c r="Y885" i="3"/>
  <c r="Y689" i="3"/>
  <c r="Y961" i="3"/>
  <c r="Y1219" i="3"/>
  <c r="Y996" i="3"/>
  <c r="Y1440" i="3"/>
  <c r="Y134" i="3"/>
  <c r="Y125" i="3"/>
  <c r="Y351" i="3"/>
  <c r="Y894" i="3"/>
  <c r="Y323" i="3"/>
  <c r="Y599" i="3"/>
  <c r="Y1104" i="3"/>
  <c r="Y1249" i="3"/>
  <c r="Y1227" i="3"/>
  <c r="Y1181" i="3"/>
  <c r="Y973" i="3"/>
  <c r="Y742" i="3"/>
  <c r="Y1362" i="3"/>
  <c r="Y1019" i="3"/>
  <c r="Y1339" i="3"/>
  <c r="Y568" i="3"/>
  <c r="Y147" i="3"/>
  <c r="Y642" i="3"/>
  <c r="Y614" i="3"/>
  <c r="Y650" i="3"/>
  <c r="Y1335" i="3"/>
  <c r="Y486" i="3"/>
  <c r="Y900" i="3"/>
  <c r="Y654" i="3"/>
  <c r="Y673" i="3"/>
  <c r="Y550" i="3"/>
  <c r="Y449" i="3"/>
  <c r="Y511" i="3"/>
  <c r="Y936" i="3"/>
  <c r="Y629" i="3"/>
  <c r="Y91" i="3"/>
  <c r="Y1383" i="3"/>
  <c r="Y239" i="3"/>
  <c r="Y1052" i="3"/>
  <c r="Y1115" i="3"/>
  <c r="Y1455" i="3"/>
  <c r="Y1172" i="3"/>
  <c r="Y492" i="3"/>
  <c r="Y985" i="3"/>
  <c r="Y1388" i="3"/>
  <c r="Y443" i="3"/>
  <c r="Y1263" i="3"/>
  <c r="Y1287" i="3"/>
  <c r="Y255" i="3"/>
  <c r="Y335" i="3"/>
  <c r="Y389" i="3"/>
  <c r="Y931" i="3"/>
  <c r="Y595" i="3"/>
  <c r="Y844" i="3"/>
  <c r="Y1374" i="3"/>
  <c r="Y545" i="3"/>
  <c r="Y762" i="3"/>
  <c r="Y1305" i="3"/>
  <c r="Y55" i="3"/>
  <c r="Y44" i="3"/>
  <c r="Y1180" i="3"/>
  <c r="Y1135" i="3"/>
  <c r="Y393" i="3"/>
  <c r="Y699" i="3"/>
  <c r="Y598" i="3"/>
  <c r="Y723" i="3"/>
  <c r="Y225" i="3"/>
  <c r="Y437" i="3"/>
  <c r="Y843" i="3"/>
  <c r="Y345" i="3"/>
  <c r="Y376" i="3"/>
  <c r="Y433" i="3"/>
  <c r="Y1193" i="3"/>
  <c r="Y557" i="3"/>
  <c r="Y1023" i="3"/>
  <c r="Y764" i="3"/>
  <c r="Y436" i="3"/>
  <c r="Y954" i="3"/>
  <c r="Y747" i="3"/>
  <c r="Y1221" i="3"/>
  <c r="Y731" i="3"/>
  <c r="Y559" i="3"/>
  <c r="Y80" i="3"/>
  <c r="Y1320" i="3"/>
  <c r="Y257" i="3"/>
  <c r="Y1314" i="3"/>
  <c r="Y1109" i="3"/>
  <c r="Y1306" i="3"/>
  <c r="Y1463" i="3"/>
  <c r="Y1112" i="3"/>
  <c r="Y1225" i="3"/>
  <c r="Y853" i="3"/>
  <c r="Y554" i="3"/>
  <c r="Y783" i="3"/>
  <c r="Y1210" i="3"/>
  <c r="Y1419" i="3"/>
  <c r="Y121" i="3"/>
  <c r="Y1256" i="3"/>
  <c r="Y1126" i="3"/>
  <c r="Y1017" i="3"/>
  <c r="Y633" i="3"/>
  <c r="Y725" i="3"/>
  <c r="Y833" i="3"/>
  <c r="Y1173" i="3"/>
  <c r="Y815" i="3"/>
  <c r="Y638" i="3"/>
  <c r="Y837" i="3"/>
  <c r="Y1016" i="3"/>
  <c r="Y915" i="3"/>
  <c r="Y524" i="3"/>
  <c r="Y252" i="3"/>
  <c r="Y1340" i="3"/>
  <c r="Y662" i="3"/>
  <c r="Y944" i="3"/>
  <c r="Y861" i="3"/>
  <c r="Y1448" i="3"/>
  <c r="Y1291" i="3"/>
  <c r="Y1447" i="3"/>
  <c r="Y1317" i="3"/>
  <c r="Y1028" i="3"/>
  <c r="Y1004" i="3"/>
  <c r="Y717" i="3"/>
  <c r="Y1141" i="3"/>
  <c r="Y597" i="3"/>
  <c r="Y1445" i="3"/>
  <c r="Y1427" i="3"/>
  <c r="Y589" i="3"/>
  <c r="Y471" i="3"/>
  <c r="Y470" i="3"/>
  <c r="Y1304" i="3"/>
  <c r="Y1268" i="3"/>
  <c r="Y593" i="3"/>
  <c r="Y1444" i="3"/>
  <c r="Y1309" i="3"/>
  <c r="Y990" i="3"/>
  <c r="Y1010" i="3"/>
  <c r="Y1058" i="3"/>
  <c r="Y399" i="3"/>
  <c r="Y215" i="3"/>
  <c r="Y854" i="3"/>
  <c r="Y1125" i="3"/>
  <c r="Y358" i="3"/>
  <c r="Y658" i="3"/>
  <c r="Y408" i="3"/>
  <c r="Y1057" i="3"/>
  <c r="Y606" i="3"/>
  <c r="Y558" i="3"/>
  <c r="Y1108" i="3"/>
  <c r="Y669" i="3"/>
  <c r="Z1469" i="3" l="1"/>
  <c r="Z1468" i="3" s="1"/>
  <c r="Z1467" i="3" s="1"/>
  <c r="Z1466" i="3" s="1"/>
  <c r="Z1465" i="3" s="1"/>
  <c r="Z1464" i="3" s="1"/>
  <c r="Z1463" i="3"/>
  <c r="Z1462" i="3" s="1"/>
  <c r="Z1461" i="3" s="1"/>
  <c r="Z1460" i="3" s="1"/>
  <c r="Z1459" i="3" s="1"/>
  <c r="Z1458" i="3" s="1"/>
  <c r="Z1457" i="3" s="1"/>
  <c r="Z1456" i="3" s="1"/>
  <c r="Z1455" i="3" s="1"/>
  <c r="Z1454" i="3" s="1"/>
  <c r="Z1453" i="3" s="1"/>
  <c r="Z1452" i="3" s="1"/>
  <c r="Z1451" i="3" s="1"/>
  <c r="Z1450" i="3" s="1"/>
  <c r="Z1449" i="3" s="1"/>
  <c r="Z1448" i="3" s="1"/>
  <c r="Z1447" i="3" s="1"/>
  <c r="Z1446" i="3" s="1"/>
  <c r="Z1445" i="3" s="1"/>
  <c r="Z1444" i="3" s="1"/>
  <c r="Z1443" i="3" s="1"/>
  <c r="Z1442" i="3" s="1"/>
  <c r="Z1441" i="3" s="1"/>
  <c r="Z1440" i="3" s="1"/>
  <c r="Z1439" i="3" s="1"/>
  <c r="Z1438" i="3" s="1"/>
  <c r="Z1437" i="3" s="1"/>
  <c r="Z1436" i="3" s="1"/>
  <c r="Z1435" i="3" s="1"/>
  <c r="Z1434" i="3" s="1"/>
  <c r="Z1433" i="3" s="1"/>
  <c r="Z1432" i="3" s="1"/>
  <c r="Z1431" i="3" s="1"/>
  <c r="Z1430" i="3" s="1"/>
  <c r="Z1429" i="3" s="1"/>
  <c r="Z1428" i="3" s="1"/>
  <c r="Z1427" i="3" s="1"/>
  <c r="Z1426" i="3" s="1"/>
  <c r="Z1425" i="3" s="1"/>
  <c r="Z1424" i="3" s="1"/>
  <c r="Z1423" i="3" s="1"/>
  <c r="Z1422" i="3" s="1"/>
  <c r="Z1421" i="3" s="1"/>
  <c r="Z1420" i="3" s="1"/>
  <c r="Z1419" i="3" s="1"/>
  <c r="Z1418" i="3" s="1"/>
  <c r="Z1417" i="3" s="1"/>
  <c r="Z1416" i="3" s="1"/>
  <c r="Z1415" i="3" s="1"/>
  <c r="Z1414" i="3" s="1"/>
  <c r="Z1413" i="3" s="1"/>
  <c r="Z1412" i="3" s="1"/>
  <c r="Z1411" i="3" s="1"/>
  <c r="Z1410" i="3" s="1"/>
  <c r="Z1409" i="3" s="1"/>
  <c r="Z1408" i="3" s="1"/>
  <c r="Z1407" i="3" s="1"/>
  <c r="Z1406" i="3" s="1"/>
  <c r="Z1405" i="3" s="1"/>
  <c r="Z1404" i="3" s="1"/>
  <c r="Z1403" i="3" s="1"/>
  <c r="Z1402" i="3" s="1"/>
  <c r="Z1401" i="3" s="1"/>
  <c r="Z1400" i="3" s="1"/>
  <c r="Z1399" i="3" s="1"/>
  <c r="Z1398" i="3" s="1"/>
  <c r="Z1397" i="3" s="1"/>
  <c r="Z1396" i="3" s="1"/>
  <c r="Z1395" i="3" s="1"/>
  <c r="Z1394" i="3" s="1"/>
  <c r="Z1393" i="3" s="1"/>
  <c r="Z1392" i="3" s="1"/>
  <c r="Z1391" i="3" s="1"/>
  <c r="Z1390" i="3" s="1"/>
  <c r="Z1389" i="3" s="1"/>
  <c r="Z1388" i="3" s="1"/>
  <c r="Z1387" i="3" s="1"/>
  <c r="Z1386" i="3" s="1"/>
  <c r="Z1385" i="3" s="1"/>
  <c r="Z1384" i="3" s="1"/>
  <c r="Z1383" i="3" s="1"/>
  <c r="Z1382" i="3" s="1"/>
  <c r="Z1381" i="3" s="1"/>
  <c r="Z1380" i="3" s="1"/>
  <c r="Z1379" i="3" s="1"/>
  <c r="Z1378" i="3" s="1"/>
  <c r="Z1377" i="3" s="1"/>
  <c r="Z1376" i="3" s="1"/>
  <c r="Z1375" i="3" s="1"/>
  <c r="Z1374" i="3" s="1"/>
  <c r="Z1373" i="3" s="1"/>
  <c r="Z1372" i="3" s="1"/>
  <c r="Z1371" i="3" s="1"/>
  <c r="Z1370" i="3" s="1"/>
  <c r="Z1369" i="3" s="1"/>
  <c r="Z1368" i="3" s="1"/>
  <c r="Z1367" i="3" s="1"/>
  <c r="Z1366" i="3" s="1"/>
  <c r="Z1365" i="3" s="1"/>
  <c r="Z1364" i="3" s="1"/>
  <c r="Z1363" i="3" s="1"/>
  <c r="Z1362" i="3" s="1"/>
  <c r="Z1361" i="3" s="1"/>
  <c r="Z1360" i="3" s="1"/>
  <c r="Z1359" i="3" s="1"/>
  <c r="Z1358" i="3" s="1"/>
  <c r="Z1357" i="3" s="1"/>
  <c r="Z1356" i="3" s="1"/>
  <c r="Z1355" i="3" s="1"/>
  <c r="Z1354" i="3" s="1"/>
  <c r="Z1353" i="3" s="1"/>
  <c r="Z1352" i="3" s="1"/>
  <c r="Z1351" i="3" s="1"/>
  <c r="Z1350" i="3" s="1"/>
  <c r="Z1349" i="3" s="1"/>
  <c r="Z1348" i="3" s="1"/>
  <c r="Z1347" i="3" s="1"/>
  <c r="Z1346" i="3" s="1"/>
  <c r="Z1345" i="3" s="1"/>
  <c r="Z1344" i="3" s="1"/>
  <c r="Z1343" i="3" s="1"/>
  <c r="Z1342" i="3" s="1"/>
  <c r="Z1341" i="3" s="1"/>
  <c r="Z1340" i="3" s="1"/>
  <c r="Z1339" i="3" s="1"/>
  <c r="Z1338" i="3" s="1"/>
  <c r="Z1337" i="3" s="1"/>
  <c r="Z1336" i="3" s="1"/>
  <c r="Z1335" i="3" s="1"/>
  <c r="Z1334" i="3" s="1"/>
  <c r="Z1333" i="3" s="1"/>
  <c r="Z1332" i="3" s="1"/>
  <c r="Z1331" i="3" s="1"/>
  <c r="Z1330" i="3" s="1"/>
  <c r="Z1329" i="3" s="1"/>
  <c r="Z1328" i="3" s="1"/>
  <c r="Z1327" i="3" s="1"/>
  <c r="Z1326" i="3" s="1"/>
  <c r="Z1325" i="3" s="1"/>
  <c r="Z1324" i="3" s="1"/>
  <c r="Z1323" i="3" s="1"/>
  <c r="Z1322" i="3" s="1"/>
  <c r="Z1321" i="3" s="1"/>
  <c r="Z1320" i="3" s="1"/>
  <c r="Z1319" i="3" s="1"/>
  <c r="Z1318" i="3" s="1"/>
  <c r="Z1317" i="3" s="1"/>
  <c r="Z1316" i="3" s="1"/>
  <c r="Z1315" i="3" s="1"/>
  <c r="Z1314" i="3" s="1"/>
  <c r="Z1313" i="3" s="1"/>
  <c r="Z1312" i="3" s="1"/>
  <c r="Z1311" i="3" s="1"/>
  <c r="Z1310" i="3" s="1"/>
  <c r="Z1309" i="3" s="1"/>
  <c r="Z1308" i="3" s="1"/>
  <c r="Z1307" i="3" s="1"/>
  <c r="Z1306" i="3" s="1"/>
  <c r="Z1305" i="3" s="1"/>
  <c r="Z1304" i="3" s="1"/>
  <c r="Z1303" i="3" s="1"/>
  <c r="Z1302" i="3" s="1"/>
  <c r="Z1301" i="3" s="1"/>
  <c r="Z1300" i="3" s="1"/>
  <c r="Z1299" i="3" s="1"/>
  <c r="Z1298" i="3" s="1"/>
  <c r="Z1297" i="3" s="1"/>
  <c r="Z1296" i="3" s="1"/>
  <c r="Z1295" i="3" s="1"/>
  <c r="Z1294" i="3" s="1"/>
  <c r="Z1293" i="3" s="1"/>
  <c r="Z1292" i="3" s="1"/>
  <c r="Z1291" i="3" s="1"/>
  <c r="Z1290" i="3" s="1"/>
  <c r="Z1289" i="3" s="1"/>
  <c r="Z1288" i="3" s="1"/>
  <c r="Z1287" i="3" s="1"/>
  <c r="Z1286" i="3" s="1"/>
  <c r="Z1285" i="3" s="1"/>
  <c r="Z1284" i="3" s="1"/>
  <c r="Z1283" i="3" s="1"/>
  <c r="Z1282" i="3" s="1"/>
  <c r="Z1281" i="3" s="1"/>
  <c r="Z1280" i="3" s="1"/>
  <c r="Z1279" i="3" s="1"/>
  <c r="Z1278" i="3" s="1"/>
  <c r="Z1277" i="3" s="1"/>
  <c r="Z1276" i="3" s="1"/>
  <c r="Z1275" i="3" s="1"/>
  <c r="Z1274" i="3" s="1"/>
  <c r="Z1273" i="3" s="1"/>
  <c r="Z1272" i="3" s="1"/>
  <c r="Z1271" i="3" s="1"/>
  <c r="Z1270" i="3" s="1"/>
  <c r="Z1269" i="3" s="1"/>
  <c r="Z1268" i="3" s="1"/>
  <c r="Z1267" i="3" s="1"/>
  <c r="Z1266" i="3" s="1"/>
  <c r="Z1265" i="3" s="1"/>
  <c r="Z1264" i="3" s="1"/>
  <c r="Z1263" i="3" s="1"/>
  <c r="Z1262" i="3" s="1"/>
  <c r="Z1261" i="3" s="1"/>
  <c r="Z1260" i="3" s="1"/>
  <c r="Z1259" i="3" s="1"/>
  <c r="Z1258" i="3" s="1"/>
  <c r="Z1257" i="3" s="1"/>
  <c r="Z1256" i="3" s="1"/>
  <c r="Z1255" i="3" s="1"/>
  <c r="Z1254" i="3" s="1"/>
  <c r="Z1253" i="3" s="1"/>
  <c r="Z1252" i="3" s="1"/>
  <c r="Z1251" i="3" s="1"/>
  <c r="Z1250" i="3" s="1"/>
  <c r="Z1249" i="3" s="1"/>
  <c r="Z1248" i="3" s="1"/>
  <c r="Z1247" i="3" s="1"/>
  <c r="Z1246" i="3" s="1"/>
  <c r="Z1245" i="3" s="1"/>
  <c r="Z1244" i="3" s="1"/>
  <c r="Z1243" i="3" s="1"/>
  <c r="Z1242" i="3" s="1"/>
  <c r="Z1241" i="3" s="1"/>
  <c r="Z1240" i="3" s="1"/>
  <c r="Z1239" i="3" s="1"/>
  <c r="Z1238" i="3" s="1"/>
  <c r="Z1237" i="3" s="1"/>
  <c r="Z1236" i="3" s="1"/>
  <c r="Z1235" i="3" s="1"/>
  <c r="Z1234" i="3" s="1"/>
  <c r="Z1233" i="3" s="1"/>
  <c r="Z1232" i="3" s="1"/>
  <c r="Z1231" i="3" s="1"/>
  <c r="Z1230" i="3" s="1"/>
  <c r="Z1229" i="3" s="1"/>
  <c r="Z1228" i="3" s="1"/>
  <c r="Z1227" i="3" s="1"/>
  <c r="Z1226" i="3" s="1"/>
  <c r="Z1225" i="3" s="1"/>
  <c r="Z1224" i="3" s="1"/>
  <c r="Z1223" i="3" s="1"/>
  <c r="Z1222" i="3" s="1"/>
  <c r="Z1221" i="3" s="1"/>
  <c r="Z1220" i="3" s="1"/>
  <c r="Z1219" i="3" s="1"/>
  <c r="Z1218" i="3" s="1"/>
  <c r="Z1217" i="3" s="1"/>
  <c r="Z1216" i="3" s="1"/>
  <c r="Z1215" i="3" s="1"/>
  <c r="Z1214" i="3" s="1"/>
  <c r="Z1213" i="3" s="1"/>
  <c r="Z1212" i="3" s="1"/>
  <c r="Z1211" i="3" s="1"/>
  <c r="Z1210" i="3" s="1"/>
  <c r="Z1209" i="3" s="1"/>
  <c r="Z1208" i="3" s="1"/>
  <c r="Z1207" i="3" s="1"/>
  <c r="Z1206" i="3" s="1"/>
  <c r="Z1205" i="3" s="1"/>
  <c r="Z1204" i="3" s="1"/>
  <c r="Z1203" i="3" s="1"/>
  <c r="Z1202" i="3" s="1"/>
  <c r="Z1201" i="3" s="1"/>
  <c r="Z1200" i="3" s="1"/>
  <c r="Z1199" i="3" s="1"/>
  <c r="Z1198" i="3" s="1"/>
  <c r="Z1197" i="3" s="1"/>
  <c r="Z1196" i="3" s="1"/>
  <c r="Z1195" i="3" s="1"/>
  <c r="Z1194" i="3" s="1"/>
  <c r="Z1193" i="3" s="1"/>
  <c r="Z1192" i="3" s="1"/>
  <c r="Z1191" i="3" s="1"/>
  <c r="Z1190" i="3" s="1"/>
  <c r="Z1189" i="3" s="1"/>
  <c r="Z1188" i="3" s="1"/>
  <c r="Z1187" i="3" s="1"/>
  <c r="Z1186" i="3" s="1"/>
  <c r="Z1185" i="3" s="1"/>
  <c r="Z1184" i="3" s="1"/>
  <c r="Z1183" i="3" s="1"/>
  <c r="Z1182" i="3" s="1"/>
  <c r="Z1181" i="3" s="1"/>
  <c r="Z1180" i="3" s="1"/>
  <c r="Z1179" i="3" s="1"/>
  <c r="Z1178" i="3" s="1"/>
  <c r="Z1177" i="3" s="1"/>
  <c r="Z1176" i="3" s="1"/>
  <c r="Z1175" i="3" s="1"/>
  <c r="Z1174" i="3" s="1"/>
  <c r="Z1173" i="3" s="1"/>
  <c r="Z1172" i="3" s="1"/>
  <c r="Z1171" i="3" s="1"/>
  <c r="Z1170" i="3" s="1"/>
  <c r="Z1169" i="3" s="1"/>
  <c r="Z1168" i="3" s="1"/>
  <c r="Z1167" i="3" s="1"/>
  <c r="Z1166" i="3" s="1"/>
  <c r="Z1165" i="3" s="1"/>
  <c r="Z1164" i="3" s="1"/>
  <c r="Z1163" i="3" s="1"/>
  <c r="Z1162" i="3" s="1"/>
  <c r="Z1161" i="3" s="1"/>
  <c r="Z1160" i="3" s="1"/>
  <c r="Z1159" i="3" s="1"/>
  <c r="Z1158" i="3" s="1"/>
  <c r="Z1157" i="3" s="1"/>
  <c r="Z1156" i="3" s="1"/>
  <c r="Z1155" i="3" s="1"/>
  <c r="Z1154" i="3" s="1"/>
  <c r="Z1153" i="3" s="1"/>
  <c r="Z1152" i="3" s="1"/>
  <c r="Z1151" i="3" s="1"/>
  <c r="Z1150" i="3" s="1"/>
  <c r="Z1149" i="3" s="1"/>
  <c r="Z1148" i="3" s="1"/>
  <c r="Z1147" i="3" s="1"/>
  <c r="Z1146" i="3" s="1"/>
  <c r="Z1145" i="3" s="1"/>
  <c r="Z1144" i="3" s="1"/>
  <c r="Z1143" i="3" s="1"/>
  <c r="Z1142" i="3" s="1"/>
  <c r="Z1141" i="3" s="1"/>
  <c r="Z1140" i="3" s="1"/>
  <c r="Z1139" i="3" s="1"/>
  <c r="Z1138" i="3" s="1"/>
  <c r="Z1137" i="3" s="1"/>
  <c r="Z1136" i="3" s="1"/>
  <c r="Z1135" i="3" s="1"/>
  <c r="Z1134" i="3" s="1"/>
  <c r="Z1133" i="3" s="1"/>
  <c r="Z1132" i="3" s="1"/>
  <c r="Z1131" i="3" s="1"/>
  <c r="Z1130" i="3" s="1"/>
  <c r="Z1129" i="3" s="1"/>
  <c r="Z1128" i="3" s="1"/>
  <c r="Z1127" i="3" s="1"/>
  <c r="Z1126" i="3" s="1"/>
  <c r="Z1125" i="3" s="1"/>
  <c r="Z1124" i="3" s="1"/>
  <c r="Z1123" i="3" s="1"/>
  <c r="Z1122" i="3" s="1"/>
  <c r="Z1121" i="3" s="1"/>
  <c r="Z1120" i="3" s="1"/>
  <c r="Z1119" i="3" s="1"/>
  <c r="Z1118" i="3" s="1"/>
  <c r="Z1117" i="3" s="1"/>
  <c r="Z1116" i="3" s="1"/>
  <c r="Z1115" i="3" s="1"/>
  <c r="Z1114" i="3" s="1"/>
  <c r="Z1113" i="3" s="1"/>
  <c r="Z1112" i="3" s="1"/>
  <c r="Z1111" i="3" s="1"/>
  <c r="Z1110" i="3" s="1"/>
  <c r="Z1109" i="3" s="1"/>
  <c r="Z1108" i="3" s="1"/>
  <c r="Z1107" i="3" s="1"/>
  <c r="Z1106" i="3" s="1"/>
  <c r="Z1105" i="3" s="1"/>
  <c r="Z1104" i="3" s="1"/>
  <c r="Z1103" i="3" s="1"/>
  <c r="Z1102" i="3" s="1"/>
  <c r="Z1101" i="3" s="1"/>
  <c r="Z1100" i="3" s="1"/>
  <c r="Z1099" i="3" s="1"/>
  <c r="Z1098" i="3" s="1"/>
  <c r="Z1097" i="3" s="1"/>
  <c r="Z1096" i="3" s="1"/>
  <c r="Z1095" i="3" s="1"/>
  <c r="Z1094" i="3" s="1"/>
  <c r="Z1093" i="3" s="1"/>
  <c r="Z1092" i="3" s="1"/>
  <c r="Z1091" i="3" s="1"/>
  <c r="Z1090" i="3" s="1"/>
  <c r="Z1089" i="3" s="1"/>
  <c r="Z1088" i="3" s="1"/>
  <c r="Z1087" i="3" s="1"/>
  <c r="Z1086" i="3" s="1"/>
  <c r="Z1085" i="3" s="1"/>
  <c r="Z1084" i="3" s="1"/>
  <c r="Z1083" i="3" s="1"/>
  <c r="Z1082" i="3" s="1"/>
  <c r="Z1081" i="3" s="1"/>
  <c r="Z1080" i="3" s="1"/>
  <c r="Z1079" i="3" s="1"/>
  <c r="Z1078" i="3" s="1"/>
  <c r="Z1077" i="3" s="1"/>
  <c r="Z1076" i="3" s="1"/>
  <c r="Z1075" i="3" s="1"/>
  <c r="Z1074" i="3" s="1"/>
  <c r="Z1073" i="3" s="1"/>
  <c r="Z1072" i="3" s="1"/>
  <c r="Z1071" i="3" s="1"/>
  <c r="Z1070" i="3" s="1"/>
  <c r="Z1069" i="3" s="1"/>
  <c r="Z1068" i="3" s="1"/>
  <c r="Z1067" i="3" s="1"/>
  <c r="Z1066" i="3" s="1"/>
  <c r="Z1065" i="3" s="1"/>
  <c r="Z1064" i="3" s="1"/>
  <c r="Z1063" i="3" s="1"/>
  <c r="Z1062" i="3" s="1"/>
  <c r="Z1061" i="3" s="1"/>
  <c r="Z1060" i="3" s="1"/>
  <c r="Z1059" i="3" s="1"/>
  <c r="Z1058" i="3" s="1"/>
  <c r="Z1057" i="3" s="1"/>
  <c r="Z1056" i="3" s="1"/>
  <c r="Z1055" i="3" s="1"/>
  <c r="Z1054" i="3" s="1"/>
  <c r="Z1053" i="3" s="1"/>
  <c r="Z1052" i="3" s="1"/>
  <c r="Z1051" i="3" s="1"/>
  <c r="Z1050" i="3" s="1"/>
  <c r="Z1049" i="3" s="1"/>
  <c r="Z1048" i="3" s="1"/>
  <c r="Z1047" i="3" s="1"/>
  <c r="Z1046" i="3" s="1"/>
  <c r="Z1045" i="3" s="1"/>
  <c r="Z1044" i="3" s="1"/>
  <c r="Z1043" i="3" s="1"/>
  <c r="Z1042" i="3" s="1"/>
  <c r="Z1041" i="3" s="1"/>
  <c r="Z1040" i="3" s="1"/>
  <c r="Z1039" i="3" s="1"/>
  <c r="Z1038" i="3" s="1"/>
  <c r="Z1037" i="3" s="1"/>
  <c r="Z1036" i="3" s="1"/>
  <c r="Z1035" i="3" s="1"/>
  <c r="Z1034" i="3" s="1"/>
  <c r="Z1033" i="3" s="1"/>
  <c r="Z1032" i="3" s="1"/>
  <c r="Z1031" i="3" s="1"/>
  <c r="Z1030" i="3" s="1"/>
  <c r="Z1029" i="3" s="1"/>
  <c r="Z1028" i="3" s="1"/>
  <c r="Z1027" i="3" s="1"/>
  <c r="Z1026" i="3" s="1"/>
  <c r="Z1025" i="3" s="1"/>
  <c r="Z1024" i="3" s="1"/>
  <c r="Z1023" i="3" s="1"/>
  <c r="Z1022" i="3" s="1"/>
  <c r="Z1021" i="3" s="1"/>
  <c r="Z1020" i="3" s="1"/>
  <c r="Z1019" i="3" s="1"/>
  <c r="Z1018" i="3" s="1"/>
  <c r="Z1017" i="3" s="1"/>
  <c r="Z1016" i="3" s="1"/>
  <c r="Z1015" i="3" s="1"/>
  <c r="Z1014" i="3" s="1"/>
  <c r="Z1013" i="3" s="1"/>
  <c r="Z1012" i="3" s="1"/>
  <c r="Z1011" i="3" s="1"/>
  <c r="Z1010" i="3" s="1"/>
  <c r="Z1009" i="3" s="1"/>
  <c r="Z1008" i="3" s="1"/>
  <c r="Z1007" i="3" s="1"/>
  <c r="Z1006" i="3" s="1"/>
  <c r="Z1005" i="3" s="1"/>
  <c r="Z1004" i="3" s="1"/>
  <c r="Z1003" i="3" s="1"/>
  <c r="Z1002" i="3" s="1"/>
  <c r="Z1001" i="3" s="1"/>
  <c r="Z1000" i="3" s="1"/>
  <c r="Z999" i="3" s="1"/>
  <c r="Z998" i="3" s="1"/>
  <c r="Z997" i="3" s="1"/>
  <c r="Z996" i="3" s="1"/>
  <c r="Z995" i="3" s="1"/>
  <c r="Z994" i="3" s="1"/>
  <c r="Z993" i="3" s="1"/>
  <c r="Z992" i="3" s="1"/>
  <c r="Z991" i="3" s="1"/>
  <c r="Z990" i="3" s="1"/>
  <c r="Z989" i="3" s="1"/>
  <c r="Z988" i="3" s="1"/>
  <c r="Z987" i="3" s="1"/>
  <c r="Z986" i="3" s="1"/>
  <c r="Z985" i="3" s="1"/>
  <c r="Z984" i="3" s="1"/>
  <c r="Z983" i="3" s="1"/>
  <c r="Z982" i="3" s="1"/>
  <c r="Z981" i="3" s="1"/>
  <c r="Z980" i="3" s="1"/>
  <c r="Z979" i="3" s="1"/>
  <c r="Z978" i="3" s="1"/>
  <c r="Z977" i="3" s="1"/>
  <c r="Z976" i="3" s="1"/>
  <c r="Z975" i="3" s="1"/>
  <c r="Z974" i="3" s="1"/>
  <c r="Z973" i="3" s="1"/>
  <c r="Z972" i="3" s="1"/>
  <c r="Z971" i="3" s="1"/>
  <c r="Z970" i="3" s="1"/>
  <c r="Z969" i="3" s="1"/>
  <c r="Z968" i="3" s="1"/>
  <c r="Z967" i="3" s="1"/>
  <c r="Z966" i="3" s="1"/>
  <c r="Z965" i="3" s="1"/>
  <c r="Z964" i="3" s="1"/>
  <c r="Z963" i="3" s="1"/>
  <c r="Z962" i="3" s="1"/>
  <c r="Z961" i="3" s="1"/>
  <c r="Z960" i="3" s="1"/>
  <c r="Z959" i="3" s="1"/>
  <c r="Z958" i="3" s="1"/>
  <c r="Z957" i="3" s="1"/>
  <c r="Z956" i="3" s="1"/>
  <c r="Z955" i="3" s="1"/>
  <c r="Z954" i="3" s="1"/>
  <c r="Z953" i="3" s="1"/>
  <c r="Z952" i="3" s="1"/>
  <c r="Z951" i="3" s="1"/>
  <c r="Z950" i="3" s="1"/>
  <c r="Z949" i="3" s="1"/>
  <c r="Z948" i="3" s="1"/>
  <c r="Z947" i="3" s="1"/>
  <c r="Z946" i="3" s="1"/>
  <c r="Z945" i="3" s="1"/>
  <c r="Z944" i="3" s="1"/>
  <c r="Z943" i="3" s="1"/>
  <c r="Z942" i="3" s="1"/>
  <c r="Z941" i="3" s="1"/>
  <c r="Z940" i="3" s="1"/>
  <c r="Z939" i="3" s="1"/>
  <c r="Z938" i="3" s="1"/>
  <c r="Z937" i="3" s="1"/>
  <c r="Z936" i="3" s="1"/>
  <c r="Z935" i="3" s="1"/>
  <c r="Z934" i="3" s="1"/>
  <c r="Z933" i="3" s="1"/>
  <c r="Z932" i="3" s="1"/>
  <c r="Z931" i="3" s="1"/>
  <c r="Z930" i="3" s="1"/>
  <c r="Z929" i="3" s="1"/>
  <c r="Z928" i="3" s="1"/>
  <c r="Z927" i="3" s="1"/>
  <c r="Z926" i="3" s="1"/>
  <c r="Z925" i="3" s="1"/>
  <c r="Z924" i="3" s="1"/>
  <c r="Z923" i="3" s="1"/>
  <c r="Z922" i="3" s="1"/>
  <c r="Z921" i="3" s="1"/>
  <c r="Z920" i="3" s="1"/>
  <c r="Z919" i="3" s="1"/>
  <c r="Z918" i="3" s="1"/>
  <c r="Z917" i="3" s="1"/>
  <c r="Z916" i="3" s="1"/>
  <c r="Z915" i="3" s="1"/>
  <c r="Z914" i="3" s="1"/>
  <c r="Z913" i="3" s="1"/>
  <c r="Z912" i="3" s="1"/>
  <c r="Z911" i="3" s="1"/>
  <c r="Z910" i="3" s="1"/>
  <c r="Z909" i="3" s="1"/>
  <c r="Z908" i="3" s="1"/>
  <c r="Z907" i="3" s="1"/>
  <c r="Z906" i="3" s="1"/>
  <c r="Z905" i="3" s="1"/>
  <c r="Z904" i="3" s="1"/>
  <c r="Z903" i="3" s="1"/>
  <c r="Z902" i="3" s="1"/>
  <c r="Z901" i="3" s="1"/>
  <c r="Z900" i="3" s="1"/>
  <c r="Z899" i="3" s="1"/>
  <c r="Z898" i="3" s="1"/>
  <c r="Z897" i="3" s="1"/>
  <c r="Z896" i="3" s="1"/>
  <c r="Z895" i="3" s="1"/>
  <c r="Z894" i="3" s="1"/>
  <c r="Z893" i="3" s="1"/>
  <c r="Z892" i="3" s="1"/>
  <c r="Z891" i="3" s="1"/>
  <c r="Z890" i="3" s="1"/>
  <c r="Z889" i="3" s="1"/>
  <c r="Z888" i="3" s="1"/>
  <c r="Z887" i="3" s="1"/>
  <c r="Z886" i="3" s="1"/>
  <c r="Z885" i="3" s="1"/>
  <c r="Z884" i="3" s="1"/>
  <c r="Z883" i="3" s="1"/>
  <c r="Z882" i="3" s="1"/>
  <c r="Z881" i="3" s="1"/>
  <c r="Z880" i="3" s="1"/>
  <c r="Z879" i="3" s="1"/>
  <c r="Z878" i="3" s="1"/>
  <c r="Z877" i="3" s="1"/>
  <c r="Z876" i="3" s="1"/>
  <c r="Z875" i="3" s="1"/>
  <c r="Z874" i="3" s="1"/>
  <c r="Z873" i="3" s="1"/>
  <c r="Z872" i="3" s="1"/>
  <c r="Z871" i="3" s="1"/>
  <c r="Z870" i="3" s="1"/>
  <c r="Z869" i="3" s="1"/>
  <c r="Z868" i="3" s="1"/>
  <c r="Z867" i="3" s="1"/>
  <c r="Z866" i="3" s="1"/>
  <c r="Z865" i="3" s="1"/>
  <c r="Z864" i="3" s="1"/>
  <c r="Z863" i="3" s="1"/>
  <c r="Z862" i="3" s="1"/>
  <c r="Z861" i="3" s="1"/>
  <c r="Z860" i="3" s="1"/>
  <c r="Z859" i="3" s="1"/>
  <c r="Z858" i="3" s="1"/>
  <c r="Z857" i="3" s="1"/>
  <c r="Z856" i="3" s="1"/>
  <c r="Z855" i="3" s="1"/>
  <c r="Z854" i="3" s="1"/>
  <c r="Z853" i="3" s="1"/>
  <c r="Z852" i="3" s="1"/>
  <c r="Z851" i="3" s="1"/>
  <c r="Z850" i="3" s="1"/>
  <c r="Z849" i="3" s="1"/>
  <c r="Z848" i="3" s="1"/>
  <c r="Z847" i="3" s="1"/>
  <c r="Z846" i="3" s="1"/>
  <c r="Z845" i="3" s="1"/>
  <c r="Z844" i="3" s="1"/>
  <c r="Z843" i="3" s="1"/>
  <c r="Z842" i="3" s="1"/>
  <c r="Z841" i="3" s="1"/>
  <c r="Z840" i="3" s="1"/>
  <c r="Z839" i="3" s="1"/>
  <c r="Z838" i="3" s="1"/>
  <c r="Z837" i="3" s="1"/>
  <c r="Z836" i="3" s="1"/>
  <c r="Z835" i="3" s="1"/>
  <c r="Z834" i="3" s="1"/>
  <c r="Z833" i="3" s="1"/>
  <c r="Z832" i="3" s="1"/>
  <c r="Z831" i="3" s="1"/>
  <c r="Z830" i="3" s="1"/>
  <c r="Z829" i="3" s="1"/>
  <c r="Z828" i="3" s="1"/>
  <c r="Z827" i="3" s="1"/>
  <c r="Z826" i="3" s="1"/>
  <c r="Z825" i="3" s="1"/>
  <c r="Z824" i="3" s="1"/>
  <c r="Z823" i="3" s="1"/>
  <c r="Z822" i="3" s="1"/>
  <c r="Z821" i="3" s="1"/>
  <c r="Z820" i="3" s="1"/>
  <c r="Z819" i="3" s="1"/>
  <c r="Z818" i="3" s="1"/>
  <c r="Z817" i="3" s="1"/>
  <c r="Z816" i="3" s="1"/>
  <c r="Z815" i="3" s="1"/>
  <c r="Z814" i="3" s="1"/>
  <c r="Z813" i="3" s="1"/>
  <c r="Z812" i="3" s="1"/>
  <c r="Z811" i="3" s="1"/>
  <c r="Z810" i="3" s="1"/>
  <c r="Z809" i="3" s="1"/>
  <c r="Z808" i="3" s="1"/>
  <c r="Z807" i="3" s="1"/>
  <c r="Z806" i="3" s="1"/>
  <c r="Z805" i="3" s="1"/>
  <c r="Z804" i="3" s="1"/>
  <c r="Z803" i="3" s="1"/>
  <c r="Z802" i="3" s="1"/>
  <c r="Z801" i="3" s="1"/>
  <c r="Z800" i="3" s="1"/>
  <c r="Z799" i="3" s="1"/>
  <c r="Z798" i="3" s="1"/>
  <c r="Z797" i="3" s="1"/>
  <c r="Z796" i="3" s="1"/>
  <c r="Z795" i="3" s="1"/>
  <c r="Z794" i="3" s="1"/>
  <c r="Z793" i="3" s="1"/>
  <c r="Z792" i="3" s="1"/>
  <c r="Z791" i="3" s="1"/>
  <c r="Z790" i="3" s="1"/>
  <c r="Z789" i="3" s="1"/>
  <c r="Z788" i="3" s="1"/>
  <c r="Z787" i="3" s="1"/>
  <c r="Z786" i="3" s="1"/>
  <c r="Z785" i="3" s="1"/>
  <c r="Z784" i="3" s="1"/>
  <c r="Z783" i="3" s="1"/>
  <c r="Z782" i="3" s="1"/>
  <c r="Z781" i="3" s="1"/>
  <c r="Z780" i="3" s="1"/>
  <c r="Z779" i="3" s="1"/>
  <c r="Z778" i="3" s="1"/>
  <c r="Z777" i="3" s="1"/>
  <c r="Z776" i="3" s="1"/>
  <c r="Z775" i="3" s="1"/>
  <c r="Z774" i="3" s="1"/>
  <c r="Z773" i="3" s="1"/>
  <c r="Z772" i="3" s="1"/>
  <c r="Z771" i="3" s="1"/>
  <c r="Z770" i="3" s="1"/>
  <c r="Z769" i="3" s="1"/>
  <c r="Z768" i="3" s="1"/>
  <c r="Z767" i="3" s="1"/>
  <c r="Z766" i="3" s="1"/>
  <c r="Z765" i="3" s="1"/>
  <c r="Z764" i="3" s="1"/>
  <c r="Z763" i="3" s="1"/>
  <c r="Z762" i="3" s="1"/>
  <c r="Z761" i="3" s="1"/>
  <c r="Z760" i="3" s="1"/>
  <c r="Z759" i="3" s="1"/>
  <c r="Z758" i="3" s="1"/>
  <c r="Z757" i="3" s="1"/>
  <c r="Z756" i="3" s="1"/>
  <c r="Z755" i="3" s="1"/>
  <c r="Z754" i="3" s="1"/>
  <c r="Z753" i="3" s="1"/>
  <c r="Z752" i="3" s="1"/>
  <c r="Z751" i="3" s="1"/>
  <c r="Z750" i="3" s="1"/>
  <c r="Z749" i="3" s="1"/>
  <c r="Z748" i="3" s="1"/>
  <c r="Z747" i="3" s="1"/>
  <c r="Z746" i="3" s="1"/>
  <c r="Z745" i="3" s="1"/>
  <c r="Z744" i="3" s="1"/>
  <c r="Z743" i="3" s="1"/>
  <c r="Z742" i="3" s="1"/>
  <c r="Z741" i="3" s="1"/>
  <c r="Z740" i="3" s="1"/>
  <c r="Z739" i="3" s="1"/>
  <c r="Z738" i="3" s="1"/>
  <c r="Z737" i="3" s="1"/>
  <c r="Z736" i="3" s="1"/>
  <c r="Z735" i="3" s="1"/>
  <c r="Z734" i="3" s="1"/>
  <c r="Z733" i="3" s="1"/>
  <c r="Z732" i="3" s="1"/>
  <c r="Z731" i="3" s="1"/>
  <c r="Z730" i="3" s="1"/>
  <c r="Z729" i="3" s="1"/>
  <c r="Z728" i="3" s="1"/>
  <c r="Z727" i="3" s="1"/>
  <c r="Z726" i="3" s="1"/>
  <c r="Z725" i="3" s="1"/>
  <c r="Z724" i="3" s="1"/>
  <c r="Z723" i="3" s="1"/>
  <c r="Z722" i="3" s="1"/>
  <c r="Z721" i="3" s="1"/>
  <c r="Z720" i="3" s="1"/>
  <c r="Z719" i="3" s="1"/>
  <c r="Z718" i="3" s="1"/>
  <c r="Z717" i="3" s="1"/>
  <c r="Z716" i="3" s="1"/>
  <c r="Z715" i="3" s="1"/>
  <c r="Z714" i="3" s="1"/>
  <c r="Z713" i="3" s="1"/>
  <c r="Z712" i="3" s="1"/>
  <c r="Z711" i="3" s="1"/>
  <c r="Z710" i="3" s="1"/>
  <c r="Z709" i="3" s="1"/>
  <c r="Z708" i="3" s="1"/>
  <c r="Z707" i="3" s="1"/>
  <c r="Z706" i="3" s="1"/>
  <c r="Z705" i="3" s="1"/>
  <c r="Z704" i="3" s="1"/>
  <c r="Z703" i="3" s="1"/>
  <c r="Z702" i="3" s="1"/>
  <c r="Z701" i="3" s="1"/>
  <c r="Z700" i="3" s="1"/>
  <c r="Z699" i="3" s="1"/>
  <c r="Z698" i="3" s="1"/>
  <c r="Z697" i="3" s="1"/>
  <c r="Z696" i="3" s="1"/>
  <c r="Z695" i="3" s="1"/>
  <c r="Z694" i="3" s="1"/>
  <c r="Z693" i="3" s="1"/>
  <c r="Z692" i="3" s="1"/>
  <c r="Z691" i="3" s="1"/>
  <c r="Z690" i="3" s="1"/>
  <c r="Z689" i="3" s="1"/>
  <c r="Z688" i="3" s="1"/>
  <c r="Z687" i="3" s="1"/>
  <c r="Z686" i="3" s="1"/>
  <c r="Z685" i="3" s="1"/>
  <c r="Z684" i="3" s="1"/>
  <c r="Z683" i="3" s="1"/>
  <c r="Z682" i="3" s="1"/>
  <c r="Z681" i="3" s="1"/>
  <c r="Z680" i="3" s="1"/>
  <c r="Z679" i="3" s="1"/>
  <c r="Z678" i="3" s="1"/>
  <c r="Z677" i="3" s="1"/>
  <c r="Z676" i="3" s="1"/>
  <c r="Z675" i="3" s="1"/>
  <c r="Z674" i="3" s="1"/>
  <c r="Z673" i="3" s="1"/>
  <c r="Z672" i="3" s="1"/>
  <c r="Z671" i="3" s="1"/>
  <c r="Z670" i="3" s="1"/>
  <c r="Z669" i="3" s="1"/>
  <c r="Z668" i="3" s="1"/>
  <c r="Z667" i="3" s="1"/>
  <c r="Z666" i="3" s="1"/>
  <c r="Z665" i="3" s="1"/>
  <c r="Z664" i="3" s="1"/>
  <c r="Z663" i="3" s="1"/>
  <c r="Z662" i="3" s="1"/>
  <c r="Z661" i="3" s="1"/>
  <c r="Z660" i="3" s="1"/>
  <c r="Z659" i="3" s="1"/>
  <c r="Z658" i="3" s="1"/>
  <c r="Z657" i="3" s="1"/>
  <c r="Z656" i="3" s="1"/>
  <c r="Z655" i="3" s="1"/>
  <c r="Z654" i="3" s="1"/>
  <c r="Z653" i="3" s="1"/>
  <c r="Z652" i="3" s="1"/>
  <c r="Z651" i="3" s="1"/>
  <c r="Z650" i="3" s="1"/>
  <c r="Z649" i="3" s="1"/>
  <c r="Z648" i="3" s="1"/>
  <c r="Z647" i="3" s="1"/>
  <c r="Z646" i="3" s="1"/>
  <c r="Z645" i="3" s="1"/>
  <c r="Z644" i="3" s="1"/>
  <c r="Z643" i="3" s="1"/>
  <c r="Z642" i="3" s="1"/>
  <c r="Z641" i="3" s="1"/>
  <c r="Z640" i="3" s="1"/>
  <c r="Z639" i="3" s="1"/>
  <c r="Z638" i="3" s="1"/>
  <c r="Z637" i="3" s="1"/>
  <c r="Z636" i="3" s="1"/>
  <c r="Z635" i="3" s="1"/>
  <c r="Z634" i="3" s="1"/>
  <c r="Z633" i="3" s="1"/>
  <c r="Z632" i="3" s="1"/>
  <c r="Z631" i="3" s="1"/>
  <c r="Z630" i="3" s="1"/>
  <c r="Z629" i="3" s="1"/>
  <c r="Z628" i="3" s="1"/>
  <c r="Z627" i="3" s="1"/>
  <c r="Z626" i="3" s="1"/>
  <c r="Z625" i="3" s="1"/>
  <c r="Z624" i="3" s="1"/>
  <c r="Z623" i="3" s="1"/>
  <c r="Z622" i="3" s="1"/>
  <c r="Z621" i="3" s="1"/>
  <c r="Z620" i="3" s="1"/>
  <c r="Z619" i="3" s="1"/>
  <c r="Z618" i="3" s="1"/>
  <c r="Z617" i="3" s="1"/>
  <c r="Z616" i="3" s="1"/>
  <c r="Z615" i="3" s="1"/>
  <c r="Z614" i="3" s="1"/>
  <c r="Z613" i="3" s="1"/>
  <c r="Z612" i="3" s="1"/>
  <c r="Z611" i="3" s="1"/>
  <c r="Z610" i="3" s="1"/>
  <c r="Z609" i="3" s="1"/>
  <c r="Z608" i="3" s="1"/>
  <c r="Z607" i="3" s="1"/>
  <c r="Z606" i="3" s="1"/>
  <c r="Z605" i="3" s="1"/>
  <c r="Z604" i="3" s="1"/>
  <c r="Z603" i="3" s="1"/>
  <c r="Z602" i="3" s="1"/>
  <c r="Z601" i="3" s="1"/>
  <c r="Z600" i="3" s="1"/>
  <c r="Z599" i="3" s="1"/>
  <c r="Z598" i="3" s="1"/>
  <c r="Z597" i="3" s="1"/>
  <c r="Z596" i="3" s="1"/>
  <c r="Z595" i="3" s="1"/>
  <c r="Z594" i="3" s="1"/>
  <c r="Z593" i="3" s="1"/>
  <c r="Z592" i="3" s="1"/>
  <c r="Z591" i="3" s="1"/>
  <c r="Z590" i="3" s="1"/>
  <c r="Z589" i="3" s="1"/>
  <c r="Z588" i="3" s="1"/>
  <c r="Z587" i="3" s="1"/>
  <c r="Z586" i="3" s="1"/>
  <c r="Z585" i="3" s="1"/>
  <c r="Z584" i="3" s="1"/>
  <c r="Z583" i="3" s="1"/>
  <c r="Z582" i="3" s="1"/>
  <c r="Z581" i="3" s="1"/>
  <c r="Z580" i="3" s="1"/>
  <c r="Z579" i="3" s="1"/>
  <c r="Z578" i="3" s="1"/>
  <c r="Z577" i="3" s="1"/>
  <c r="Z576" i="3" s="1"/>
  <c r="Z575" i="3" s="1"/>
  <c r="Z574" i="3" s="1"/>
  <c r="Z573" i="3" s="1"/>
  <c r="Z572" i="3" s="1"/>
  <c r="Z571" i="3" s="1"/>
  <c r="Z570" i="3" s="1"/>
  <c r="Z569" i="3" s="1"/>
  <c r="Z568" i="3" s="1"/>
  <c r="Z567" i="3" s="1"/>
  <c r="Z566" i="3" s="1"/>
  <c r="Z565" i="3" s="1"/>
  <c r="Z564" i="3" s="1"/>
  <c r="Z563" i="3" s="1"/>
  <c r="Z562" i="3" s="1"/>
  <c r="Z561" i="3" s="1"/>
  <c r="Z560" i="3" s="1"/>
  <c r="Z559" i="3" s="1"/>
  <c r="Z558" i="3" s="1"/>
  <c r="Z557" i="3" s="1"/>
  <c r="Z556" i="3" s="1"/>
  <c r="Z555" i="3" s="1"/>
  <c r="Z554" i="3" s="1"/>
  <c r="Z553" i="3" s="1"/>
  <c r="Z552" i="3" s="1"/>
  <c r="Z551" i="3" s="1"/>
  <c r="Z550" i="3" s="1"/>
  <c r="Z549" i="3" s="1"/>
  <c r="Z548" i="3" s="1"/>
  <c r="Z547" i="3" s="1"/>
  <c r="Z546" i="3" s="1"/>
  <c r="Z545" i="3" s="1"/>
  <c r="Z544" i="3" s="1"/>
  <c r="Z543" i="3" s="1"/>
  <c r="Z542" i="3" s="1"/>
  <c r="Z541" i="3" s="1"/>
  <c r="Z540" i="3" s="1"/>
  <c r="Z539" i="3" s="1"/>
  <c r="Z538" i="3" s="1"/>
  <c r="Z537" i="3" s="1"/>
  <c r="Z536" i="3" s="1"/>
  <c r="Z535" i="3" s="1"/>
  <c r="Z534" i="3" s="1"/>
  <c r="Z533" i="3" s="1"/>
  <c r="Z532" i="3" s="1"/>
  <c r="Z531" i="3" s="1"/>
  <c r="Z530" i="3" s="1"/>
  <c r="Z529" i="3" s="1"/>
  <c r="Z528" i="3" s="1"/>
  <c r="Z527" i="3" s="1"/>
  <c r="Z526" i="3" s="1"/>
  <c r="Z525" i="3" s="1"/>
  <c r="Z524" i="3" s="1"/>
  <c r="Z523" i="3" s="1"/>
  <c r="Z522" i="3" s="1"/>
  <c r="Z521" i="3" s="1"/>
  <c r="Z520" i="3" s="1"/>
  <c r="Z519" i="3" s="1"/>
  <c r="Z518" i="3" s="1"/>
  <c r="Z517" i="3" s="1"/>
  <c r="Z516" i="3" s="1"/>
  <c r="Z515" i="3" s="1"/>
  <c r="Z514" i="3" s="1"/>
  <c r="Z513" i="3" s="1"/>
  <c r="Z512" i="3" s="1"/>
  <c r="Z511" i="3" s="1"/>
  <c r="Z510" i="3" s="1"/>
  <c r="Z509" i="3" s="1"/>
  <c r="Z508" i="3" s="1"/>
  <c r="Z507" i="3" s="1"/>
  <c r="Z506" i="3" s="1"/>
  <c r="Z505" i="3" s="1"/>
  <c r="Z504" i="3" s="1"/>
  <c r="Z503" i="3" s="1"/>
  <c r="Z502" i="3" s="1"/>
  <c r="Z501" i="3" s="1"/>
  <c r="Z500" i="3" s="1"/>
  <c r="Z499" i="3" s="1"/>
  <c r="Z498" i="3" s="1"/>
  <c r="Z497" i="3" s="1"/>
  <c r="Z496" i="3" s="1"/>
  <c r="Z495" i="3" s="1"/>
  <c r="Z494" i="3" s="1"/>
  <c r="Z493" i="3" s="1"/>
  <c r="Z492" i="3" s="1"/>
  <c r="Z491" i="3" s="1"/>
  <c r="Z490" i="3" s="1"/>
  <c r="Z489" i="3" s="1"/>
  <c r="Z488" i="3" s="1"/>
  <c r="Z487" i="3" s="1"/>
  <c r="Z486" i="3" s="1"/>
  <c r="Z485" i="3" s="1"/>
  <c r="Z484" i="3" s="1"/>
  <c r="Z483" i="3" s="1"/>
  <c r="Z482" i="3" s="1"/>
  <c r="Z481" i="3" s="1"/>
  <c r="Z480" i="3" s="1"/>
  <c r="Z479" i="3" s="1"/>
  <c r="Z478" i="3" s="1"/>
  <c r="Z477" i="3" s="1"/>
  <c r="Z476" i="3" s="1"/>
  <c r="Z475" i="3" s="1"/>
  <c r="Z474" i="3" s="1"/>
  <c r="Z473" i="3" s="1"/>
  <c r="Z472" i="3" s="1"/>
  <c r="Z471" i="3" s="1"/>
  <c r="Z470" i="3" s="1"/>
  <c r="Z469" i="3" s="1"/>
  <c r="Z468" i="3" s="1"/>
  <c r="Z467" i="3" s="1"/>
  <c r="Z466" i="3" s="1"/>
  <c r="Z465" i="3" s="1"/>
  <c r="Z464" i="3" s="1"/>
  <c r="Z463" i="3" s="1"/>
  <c r="Z462" i="3" s="1"/>
  <c r="Z461" i="3" s="1"/>
  <c r="Z460" i="3" s="1"/>
  <c r="Z459" i="3" s="1"/>
  <c r="Z458" i="3" s="1"/>
  <c r="Z457" i="3" s="1"/>
  <c r="Z456" i="3" s="1"/>
  <c r="Z455" i="3" s="1"/>
  <c r="Z454" i="3" s="1"/>
  <c r="Z453" i="3" s="1"/>
  <c r="Z452" i="3" s="1"/>
  <c r="Z451" i="3" s="1"/>
  <c r="Z450" i="3" s="1"/>
  <c r="Z449" i="3" s="1"/>
  <c r="Z448" i="3" s="1"/>
  <c r="Z447" i="3" s="1"/>
  <c r="Z446" i="3" s="1"/>
  <c r="Z445" i="3" s="1"/>
  <c r="Z444" i="3" s="1"/>
  <c r="Z443" i="3" s="1"/>
  <c r="Z442" i="3" s="1"/>
  <c r="Z441" i="3" s="1"/>
  <c r="Z440" i="3" s="1"/>
  <c r="Z439" i="3" s="1"/>
  <c r="Z438" i="3" s="1"/>
  <c r="Z437" i="3" s="1"/>
  <c r="Z436" i="3" s="1"/>
  <c r="Z435" i="3" s="1"/>
  <c r="Z434" i="3" s="1"/>
  <c r="Z433" i="3" s="1"/>
  <c r="Z432" i="3" s="1"/>
  <c r="Z431" i="3" s="1"/>
  <c r="Z430" i="3" s="1"/>
  <c r="Z429" i="3" s="1"/>
  <c r="Z428" i="3" s="1"/>
  <c r="Z427" i="3" s="1"/>
  <c r="Z426" i="3" s="1"/>
  <c r="Z425" i="3" s="1"/>
  <c r="Z424" i="3" s="1"/>
  <c r="Z423" i="3" s="1"/>
  <c r="Z422" i="3" s="1"/>
  <c r="Z421" i="3" s="1"/>
  <c r="Z420" i="3" s="1"/>
  <c r="Z419" i="3" s="1"/>
  <c r="Z418" i="3" s="1"/>
  <c r="Z417" i="3" s="1"/>
  <c r="Z416" i="3" s="1"/>
  <c r="Z415" i="3" s="1"/>
  <c r="Z414" i="3" s="1"/>
  <c r="Z413" i="3" s="1"/>
  <c r="Z412" i="3" s="1"/>
  <c r="Z411" i="3" s="1"/>
  <c r="Z410" i="3" s="1"/>
  <c r="Z409" i="3" s="1"/>
  <c r="Z408" i="3" s="1"/>
  <c r="Z407" i="3" s="1"/>
  <c r="Z406" i="3" s="1"/>
  <c r="Z405" i="3" s="1"/>
  <c r="Z404" i="3" s="1"/>
  <c r="Z403" i="3" s="1"/>
  <c r="Z402" i="3" s="1"/>
  <c r="Z401" i="3" s="1"/>
  <c r="Z400" i="3" s="1"/>
  <c r="Z399" i="3" s="1"/>
  <c r="Z398" i="3" s="1"/>
  <c r="Z397" i="3" s="1"/>
  <c r="Z396" i="3" s="1"/>
  <c r="Z395" i="3" s="1"/>
  <c r="Z394" i="3" s="1"/>
  <c r="Z393" i="3" s="1"/>
  <c r="Z392" i="3" s="1"/>
  <c r="Z391" i="3" s="1"/>
  <c r="Z390" i="3" s="1"/>
  <c r="Z389" i="3" s="1"/>
  <c r="Z388" i="3" s="1"/>
  <c r="Z387" i="3" s="1"/>
  <c r="Z386" i="3" s="1"/>
  <c r="Z385" i="3" s="1"/>
  <c r="Z384" i="3" s="1"/>
  <c r="Z383" i="3" s="1"/>
  <c r="Z382" i="3" s="1"/>
  <c r="Z381" i="3" s="1"/>
  <c r="Z380" i="3" s="1"/>
  <c r="Z379" i="3" s="1"/>
  <c r="Z378" i="3" s="1"/>
  <c r="Z377" i="3" s="1"/>
  <c r="Z376" i="3" s="1"/>
  <c r="Z375" i="3" s="1"/>
  <c r="Z374" i="3" s="1"/>
  <c r="Z373" i="3" s="1"/>
  <c r="Z372" i="3" s="1"/>
  <c r="Z371" i="3" s="1"/>
  <c r="Z370" i="3" s="1"/>
  <c r="Z369" i="3" s="1"/>
  <c r="Z368" i="3" s="1"/>
  <c r="Z367" i="3" s="1"/>
  <c r="Z366" i="3" s="1"/>
  <c r="Z365" i="3" s="1"/>
  <c r="Z364" i="3" s="1"/>
  <c r="Z363" i="3" s="1"/>
  <c r="Z362" i="3" s="1"/>
  <c r="Z361" i="3" s="1"/>
  <c r="Z360" i="3" s="1"/>
  <c r="Z359" i="3" s="1"/>
  <c r="Z358" i="3" s="1"/>
  <c r="Z357" i="3" s="1"/>
  <c r="Z356" i="3" s="1"/>
  <c r="Z355" i="3" s="1"/>
  <c r="Z354" i="3" s="1"/>
  <c r="Z353" i="3" s="1"/>
  <c r="Z352" i="3" s="1"/>
  <c r="Z351" i="3" s="1"/>
  <c r="Z350" i="3" s="1"/>
  <c r="Z349" i="3" s="1"/>
  <c r="Z348" i="3" s="1"/>
  <c r="Z347" i="3" s="1"/>
  <c r="Z346" i="3" s="1"/>
  <c r="Z345" i="3" s="1"/>
  <c r="Z344" i="3" s="1"/>
  <c r="Z343" i="3" s="1"/>
  <c r="Z342" i="3" s="1"/>
  <c r="Z341" i="3" s="1"/>
  <c r="Z340" i="3" s="1"/>
  <c r="Z339" i="3" s="1"/>
  <c r="Z338" i="3" s="1"/>
  <c r="Z337" i="3" s="1"/>
  <c r="Z336" i="3" s="1"/>
  <c r="Z335" i="3" s="1"/>
  <c r="Z334" i="3" s="1"/>
  <c r="Z333" i="3" s="1"/>
  <c r="Z332" i="3" s="1"/>
  <c r="Z331" i="3" s="1"/>
  <c r="Z330" i="3" s="1"/>
  <c r="Z329" i="3" s="1"/>
  <c r="Z328" i="3" s="1"/>
  <c r="Z327" i="3" s="1"/>
  <c r="Z326" i="3" s="1"/>
  <c r="Z325" i="3" s="1"/>
  <c r="Z324" i="3" s="1"/>
  <c r="Z323" i="3" s="1"/>
  <c r="Z322" i="3" s="1"/>
  <c r="Z321" i="3" s="1"/>
  <c r="Z320" i="3" s="1"/>
  <c r="Z319" i="3" s="1"/>
  <c r="Z318" i="3" s="1"/>
  <c r="Z317" i="3" s="1"/>
  <c r="Z316" i="3" s="1"/>
  <c r="Z315" i="3" s="1"/>
  <c r="Z314" i="3" s="1"/>
  <c r="Z313" i="3" s="1"/>
  <c r="Z312" i="3" s="1"/>
  <c r="Z311" i="3" s="1"/>
  <c r="Z310" i="3" s="1"/>
  <c r="Z309" i="3" s="1"/>
  <c r="Z308" i="3" s="1"/>
  <c r="Z307" i="3" s="1"/>
  <c r="Z306" i="3" s="1"/>
  <c r="Z305" i="3" s="1"/>
  <c r="Z304" i="3" s="1"/>
  <c r="Z303" i="3" s="1"/>
  <c r="Z302" i="3" s="1"/>
  <c r="Z301" i="3" s="1"/>
  <c r="Z300" i="3" s="1"/>
  <c r="Z299" i="3" s="1"/>
  <c r="Z298" i="3" s="1"/>
  <c r="Z297" i="3" s="1"/>
  <c r="Z296" i="3" s="1"/>
  <c r="Z295" i="3" s="1"/>
  <c r="Z294" i="3" s="1"/>
  <c r="Z293" i="3" s="1"/>
  <c r="Z292" i="3" s="1"/>
  <c r="Z291" i="3" s="1"/>
  <c r="Z290" i="3" s="1"/>
  <c r="Z289" i="3" s="1"/>
  <c r="Z288" i="3" s="1"/>
  <c r="Z287" i="3" s="1"/>
  <c r="Z286" i="3" s="1"/>
  <c r="Z285" i="3" s="1"/>
  <c r="Z284" i="3" s="1"/>
  <c r="Z283" i="3" s="1"/>
  <c r="Z282" i="3" s="1"/>
  <c r="Z281" i="3" s="1"/>
  <c r="Z280" i="3" s="1"/>
  <c r="Z279" i="3" s="1"/>
  <c r="Z278" i="3" s="1"/>
  <c r="Z277" i="3" s="1"/>
  <c r="Z276" i="3" s="1"/>
  <c r="Z275" i="3" s="1"/>
  <c r="Z274" i="3" s="1"/>
  <c r="Z273" i="3" s="1"/>
  <c r="Z272" i="3" s="1"/>
  <c r="Z271" i="3" s="1"/>
  <c r="Z270" i="3" s="1"/>
  <c r="Z269" i="3" s="1"/>
  <c r="Z268" i="3" s="1"/>
  <c r="Z267" i="3" s="1"/>
  <c r="Z266" i="3" s="1"/>
  <c r="Z265" i="3" s="1"/>
  <c r="Z264" i="3" s="1"/>
  <c r="Z263" i="3" s="1"/>
  <c r="Z262" i="3" s="1"/>
  <c r="Z261" i="3" s="1"/>
  <c r="Z260" i="3" s="1"/>
  <c r="Z259" i="3" s="1"/>
  <c r="Z258" i="3" s="1"/>
  <c r="Z257" i="3" s="1"/>
  <c r="Z256" i="3" s="1"/>
  <c r="Z255" i="3" s="1"/>
  <c r="Z254" i="3" s="1"/>
  <c r="Z253" i="3" s="1"/>
  <c r="Z252" i="3" s="1"/>
  <c r="Z251" i="3" s="1"/>
  <c r="Z250" i="3" s="1"/>
  <c r="Z249" i="3" s="1"/>
  <c r="Z248" i="3" s="1"/>
  <c r="Z247" i="3" s="1"/>
  <c r="Z246" i="3" s="1"/>
  <c r="Z245" i="3" s="1"/>
  <c r="Z244" i="3" s="1"/>
  <c r="Z243" i="3" s="1"/>
  <c r="Z242" i="3" s="1"/>
  <c r="Z241" i="3" s="1"/>
  <c r="Z240" i="3" s="1"/>
  <c r="Z239" i="3" s="1"/>
  <c r="Z238" i="3" s="1"/>
  <c r="Z237" i="3" s="1"/>
  <c r="Z236" i="3" s="1"/>
  <c r="Z235" i="3" s="1"/>
  <c r="Z234" i="3" s="1"/>
  <c r="Z233" i="3" s="1"/>
  <c r="Z232" i="3" s="1"/>
  <c r="Z231" i="3" s="1"/>
  <c r="Z230" i="3" s="1"/>
  <c r="Z229" i="3" s="1"/>
  <c r="Z228" i="3" s="1"/>
  <c r="Z227" i="3" s="1"/>
  <c r="Z226" i="3" s="1"/>
  <c r="Z225" i="3" s="1"/>
  <c r="Z224" i="3" s="1"/>
  <c r="Z223" i="3" s="1"/>
  <c r="Z222" i="3" s="1"/>
  <c r="Z221" i="3" s="1"/>
  <c r="Z220" i="3" s="1"/>
  <c r="Z219" i="3" s="1"/>
  <c r="Z218" i="3" s="1"/>
  <c r="Z217" i="3" s="1"/>
  <c r="Z216" i="3" s="1"/>
  <c r="Z215" i="3" s="1"/>
  <c r="Z214" i="3" s="1"/>
  <c r="Z213" i="3" s="1"/>
  <c r="Z212" i="3" s="1"/>
  <c r="Z211" i="3" s="1"/>
  <c r="Z210" i="3" s="1"/>
  <c r="Z209" i="3" s="1"/>
  <c r="Z208" i="3" s="1"/>
  <c r="Z207" i="3" s="1"/>
  <c r="Z206" i="3" s="1"/>
  <c r="Z205" i="3" s="1"/>
  <c r="Z204" i="3" s="1"/>
  <c r="Z203" i="3" s="1"/>
  <c r="Z202" i="3" s="1"/>
  <c r="Z201" i="3" s="1"/>
  <c r="Z200" i="3" s="1"/>
  <c r="Z199" i="3" s="1"/>
  <c r="Z198" i="3" s="1"/>
  <c r="Z197" i="3" s="1"/>
  <c r="Z196" i="3" s="1"/>
  <c r="Z195" i="3" s="1"/>
  <c r="Z194" i="3" s="1"/>
  <c r="Z193" i="3" s="1"/>
  <c r="Z192" i="3" s="1"/>
  <c r="Z191" i="3" s="1"/>
  <c r="Z190" i="3" s="1"/>
  <c r="Z189" i="3" s="1"/>
  <c r="Z188" i="3" s="1"/>
  <c r="Z187" i="3" s="1"/>
  <c r="Z186" i="3" s="1"/>
  <c r="Z185" i="3" s="1"/>
  <c r="Z184" i="3" s="1"/>
  <c r="Z183" i="3" s="1"/>
  <c r="Z182" i="3" s="1"/>
  <c r="Z181" i="3" s="1"/>
  <c r="Z180" i="3" s="1"/>
  <c r="Z179" i="3" s="1"/>
  <c r="Z178" i="3" s="1"/>
  <c r="Z177" i="3" s="1"/>
  <c r="Z176" i="3" s="1"/>
  <c r="Z175" i="3" s="1"/>
  <c r="Z174" i="3" s="1"/>
  <c r="Z173" i="3" s="1"/>
  <c r="Z172" i="3" s="1"/>
  <c r="Z171" i="3" s="1"/>
  <c r="Z170" i="3" s="1"/>
  <c r="Z169" i="3" s="1"/>
  <c r="Z168" i="3" s="1"/>
  <c r="Z167" i="3" s="1"/>
  <c r="Z166" i="3" s="1"/>
  <c r="Z165" i="3" s="1"/>
  <c r="Z164" i="3" s="1"/>
  <c r="Z163" i="3" s="1"/>
  <c r="Z162" i="3" s="1"/>
  <c r="Z161" i="3" s="1"/>
  <c r="Z160" i="3" s="1"/>
  <c r="Z159" i="3" s="1"/>
  <c r="Z158" i="3" s="1"/>
  <c r="Z157" i="3" s="1"/>
  <c r="Z156" i="3" s="1"/>
  <c r="Z155" i="3" s="1"/>
  <c r="Z154" i="3" s="1"/>
  <c r="Z153" i="3" s="1"/>
  <c r="Z152" i="3" s="1"/>
  <c r="Z151" i="3" s="1"/>
  <c r="Z150" i="3" s="1"/>
  <c r="Z149" i="3" s="1"/>
  <c r="Z148" i="3" s="1"/>
  <c r="Z147" i="3" s="1"/>
  <c r="Z146" i="3" s="1"/>
  <c r="Z145" i="3" s="1"/>
  <c r="Z144" i="3" s="1"/>
  <c r="Z143" i="3" s="1"/>
  <c r="Z142" i="3" s="1"/>
  <c r="Z141" i="3" s="1"/>
  <c r="Z140" i="3" s="1"/>
  <c r="Z139" i="3" s="1"/>
  <c r="Z138" i="3" s="1"/>
  <c r="Z137" i="3" s="1"/>
  <c r="Z136" i="3" s="1"/>
  <c r="Z135" i="3" s="1"/>
  <c r="Z134" i="3" s="1"/>
  <c r="Z133" i="3" s="1"/>
  <c r="Z132" i="3" s="1"/>
  <c r="Z131" i="3" s="1"/>
  <c r="Z130" i="3" s="1"/>
  <c r="Z129" i="3" s="1"/>
  <c r="Z128" i="3" s="1"/>
  <c r="Z127" i="3" s="1"/>
  <c r="Z126" i="3" s="1"/>
  <c r="Z125" i="3" s="1"/>
  <c r="Z124" i="3" s="1"/>
  <c r="Z123" i="3" s="1"/>
  <c r="Z122" i="3" s="1"/>
  <c r="Z121" i="3" s="1"/>
  <c r="Z120" i="3" s="1"/>
  <c r="Z119" i="3" s="1"/>
  <c r="Z118" i="3" s="1"/>
  <c r="Z117" i="3" s="1"/>
  <c r="Z116" i="3" s="1"/>
  <c r="Z115" i="3" s="1"/>
  <c r="Z114" i="3" s="1"/>
  <c r="Z113" i="3" s="1"/>
  <c r="Z112" i="3" s="1"/>
  <c r="Z111" i="3" s="1"/>
  <c r="Z110" i="3" s="1"/>
  <c r="Z109" i="3" s="1"/>
  <c r="Z108" i="3" s="1"/>
  <c r="Z107" i="3" s="1"/>
  <c r="Z106" i="3" s="1"/>
  <c r="Z105" i="3" s="1"/>
  <c r="Z104" i="3" s="1"/>
  <c r="Z103" i="3" s="1"/>
  <c r="Z102" i="3" s="1"/>
  <c r="Z101" i="3" s="1"/>
  <c r="Z100" i="3" s="1"/>
  <c r="Z99" i="3" s="1"/>
  <c r="Z98" i="3" s="1"/>
  <c r="Z97" i="3" s="1"/>
  <c r="Z96" i="3" s="1"/>
  <c r="Z95" i="3" s="1"/>
  <c r="Z94" i="3" s="1"/>
  <c r="Z93" i="3" s="1"/>
  <c r="Z92" i="3" s="1"/>
  <c r="Z91" i="3" s="1"/>
  <c r="Z90" i="3" s="1"/>
  <c r="Z89" i="3" s="1"/>
  <c r="Z88" i="3" s="1"/>
  <c r="Z87" i="3" s="1"/>
  <c r="Z86" i="3" s="1"/>
  <c r="Z85" i="3" s="1"/>
  <c r="Z84" i="3" s="1"/>
  <c r="Z83" i="3" s="1"/>
  <c r="Z82" i="3" s="1"/>
  <c r="Z81" i="3" s="1"/>
  <c r="Z80" i="3" s="1"/>
  <c r="Z79" i="3" s="1"/>
  <c r="Z78" i="3" s="1"/>
  <c r="Z77" i="3" s="1"/>
  <c r="Z76" i="3" s="1"/>
  <c r="Z75" i="3" s="1"/>
  <c r="Z74" i="3" s="1"/>
  <c r="Z73" i="3" s="1"/>
  <c r="Z72" i="3" s="1"/>
  <c r="Z71" i="3" s="1"/>
  <c r="Z70" i="3" s="1"/>
  <c r="Z69" i="3" s="1"/>
  <c r="Z68" i="3" s="1"/>
  <c r="Z67" i="3" s="1"/>
  <c r="Z66" i="3" s="1"/>
  <c r="Z65" i="3" s="1"/>
  <c r="Z64" i="3" s="1"/>
  <c r="Z63" i="3" s="1"/>
  <c r="Z62" i="3" s="1"/>
  <c r="Z61" i="3" s="1"/>
  <c r="Z60" i="3" s="1"/>
  <c r="Z59" i="3" s="1"/>
  <c r="Z58" i="3" s="1"/>
  <c r="Z57" i="3" s="1"/>
  <c r="Z56" i="3" s="1"/>
  <c r="Z55" i="3" s="1"/>
  <c r="Z54" i="3" s="1"/>
  <c r="Z53" i="3" s="1"/>
  <c r="Z52" i="3" s="1"/>
  <c r="Z51" i="3" s="1"/>
  <c r="Z50" i="3" s="1"/>
  <c r="Z49" i="3" s="1"/>
  <c r="Z48" i="3" s="1"/>
  <c r="Z47" i="3" s="1"/>
  <c r="Z46" i="3" s="1"/>
  <c r="Z45" i="3" s="1"/>
  <c r="Z44" i="3" s="1"/>
  <c r="Z43" i="3" s="1"/>
  <c r="Z42" i="3" s="1"/>
  <c r="Z41" i="3" s="1"/>
  <c r="Z40" i="3" s="1"/>
  <c r="Z39" i="3" s="1"/>
  <c r="Z38" i="3" s="1"/>
  <c r="Z37" i="3" s="1"/>
  <c r="Z36" i="3" s="1"/>
  <c r="Z35" i="3" s="1"/>
  <c r="Z34" i="3" s="1"/>
  <c r="Z33" i="3" s="1"/>
  <c r="Z32" i="3" s="1"/>
  <c r="Z31" i="3" s="1"/>
  <c r="Z30" i="3" s="1"/>
  <c r="Z29" i="3" s="1"/>
  <c r="Z28" i="3" s="1"/>
  <c r="Z27" i="3" s="1"/>
  <c r="Z26" i="3" s="1"/>
  <c r="Z25" i="3" s="1"/>
  <c r="Z24" i="3" s="1"/>
  <c r="Z23" i="3" s="1"/>
  <c r="Z22" i="3" s="1"/>
  <c r="Z21" i="3" s="1"/>
  <c r="Z20" i="3" s="1"/>
  <c r="Z19" i="3" s="1"/>
  <c r="Z18" i="3" s="1"/>
  <c r="Z17" i="3" s="1"/>
  <c r="Z16" i="3" s="1"/>
  <c r="Z15" i="3" s="1"/>
  <c r="Z14" i="3" s="1"/>
  <c r="Z13" i="3" s="1"/>
  <c r="AE1474" i="3"/>
  <c r="AC1474" i="3"/>
  <c r="AD1474" i="3"/>
  <c r="AF1474" i="3" l="1"/>
  <c r="AG1474" i="3" s="1"/>
  <c r="AB1473" i="3" l="1"/>
  <c r="AC1473" i="3" l="1"/>
  <c r="AE1473" i="3"/>
  <c r="AD1473" i="3"/>
  <c r="AF1473" i="3" l="1"/>
  <c r="AG1473" i="3" s="1"/>
  <c r="AB1472" i="3" l="1"/>
  <c r="AD1472" i="3" l="1"/>
  <c r="AE1472" i="3"/>
  <c r="AC1472" i="3"/>
  <c r="AF1472" i="3" l="1"/>
  <c r="AG1472" i="3" s="1"/>
  <c r="AB1471" i="3" l="1"/>
  <c r="AD1471" i="3" l="1"/>
  <c r="AE1471" i="3"/>
  <c r="AC1471" i="3"/>
  <c r="AF1471" i="3" l="1"/>
  <c r="AG1471" i="3" s="1"/>
  <c r="AB1470" i="3" l="1"/>
  <c r="AE1470" i="3" l="1"/>
  <c r="AD1470" i="3"/>
  <c r="AC1470" i="3"/>
  <c r="AF1470" i="3" l="1"/>
  <c r="AG1470" i="3" l="1"/>
  <c r="AB1469" i="3" l="1"/>
  <c r="AE1469" i="3" l="1"/>
  <c r="AD1469" i="3"/>
  <c r="AF1469" i="3" s="1"/>
  <c r="AC1469" i="3"/>
  <c r="AG1469" i="3" l="1"/>
  <c r="AB1468" i="3" l="1"/>
  <c r="AE1468" i="3" l="1"/>
  <c r="AC1468" i="3"/>
  <c r="AD1468" i="3"/>
  <c r="AF1468" i="3" s="1"/>
  <c r="AG1468" i="3" l="1"/>
  <c r="AB1467" i="3" l="1"/>
  <c r="AD1467" i="3" l="1"/>
  <c r="AE1467" i="3"/>
  <c r="AC1467" i="3"/>
  <c r="AF1467" i="3" l="1"/>
  <c r="AG1467" i="3" l="1"/>
  <c r="AB1466" i="3" l="1"/>
  <c r="AD1466" i="3" l="1"/>
  <c r="AC1466" i="3"/>
  <c r="AE1466" i="3"/>
  <c r="AF1466" i="3" l="1"/>
  <c r="AG1466" i="3" s="1"/>
  <c r="AB1465" i="3" l="1"/>
  <c r="AC1465" i="3" l="1"/>
  <c r="AE1465" i="3"/>
  <c r="AD1465" i="3"/>
  <c r="AF1465" i="3" l="1"/>
  <c r="AG1465" i="3" s="1"/>
  <c r="AB1464" i="3"/>
  <c r="AE1464" i="3" l="1"/>
  <c r="AD1464" i="3"/>
  <c r="AF1464" i="3" s="1"/>
  <c r="AG1464" i="3" s="1"/>
  <c r="AC1464" i="3"/>
  <c r="AB1463" i="3" l="1"/>
  <c r="AD1463" i="3" l="1"/>
  <c r="AE1463" i="3"/>
  <c r="AC1463" i="3"/>
  <c r="AF1463" i="3" l="1"/>
  <c r="AG1463" i="3" s="1"/>
  <c r="AB1462" i="3" l="1"/>
  <c r="AC1462" i="3" l="1"/>
  <c r="AE1462" i="3"/>
  <c r="AD1462" i="3"/>
  <c r="AF1462" i="3" s="1"/>
  <c r="AG1462" i="3" s="1"/>
  <c r="AB1461" i="3" l="1"/>
  <c r="AE1461" i="3" l="1"/>
  <c r="AC1461" i="3"/>
  <c r="AD1461" i="3"/>
  <c r="AF1461" i="3" s="1"/>
  <c r="AG1461" i="3" l="1"/>
  <c r="AB1460" i="3" l="1"/>
  <c r="AE1460" i="3" l="1"/>
  <c r="AD1460" i="3"/>
  <c r="AF1460" i="3" s="1"/>
  <c r="AG1460" i="3" s="1"/>
  <c r="AC1460" i="3"/>
  <c r="AB1459" i="3" l="1"/>
  <c r="AE1459" i="3" l="1"/>
  <c r="AC1459" i="3"/>
  <c r="AD1459" i="3"/>
  <c r="AF1459" i="3" l="1"/>
  <c r="AG1459" i="3" s="1"/>
  <c r="AB1458" i="3" l="1"/>
  <c r="AD1458" i="3" l="1"/>
  <c r="AE1458" i="3"/>
  <c r="AC1458" i="3"/>
  <c r="AF1458" i="3" l="1"/>
  <c r="AG1458" i="3" s="1"/>
  <c r="AB1457" i="3" l="1"/>
  <c r="AE1457" i="3" l="1"/>
  <c r="AC1457" i="3"/>
  <c r="AD1457" i="3"/>
  <c r="AF1457" i="3" s="1"/>
  <c r="AG1457" i="3" s="1"/>
  <c r="AB1456" i="3" l="1"/>
  <c r="AC1456" i="3" l="1"/>
  <c r="AD1456" i="3"/>
  <c r="AE1456" i="3"/>
  <c r="AF1456" i="3" l="1"/>
  <c r="AG1456" i="3" s="1"/>
  <c r="AB1455" i="3" l="1"/>
  <c r="AD1455" i="3" l="1"/>
  <c r="AC1455" i="3"/>
  <c r="AE1455" i="3"/>
  <c r="AF1455" i="3" l="1"/>
  <c r="AG1455" i="3" s="1"/>
  <c r="AB1454" i="3" l="1"/>
  <c r="AC1454" i="3" l="1"/>
  <c r="AE1454" i="3"/>
  <c r="AD1454" i="3"/>
  <c r="AF1454" i="3" s="1"/>
  <c r="AG1454" i="3" s="1"/>
  <c r="AB1453" i="3" l="1"/>
  <c r="AE1453" i="3" l="1"/>
  <c r="AD1453" i="3"/>
  <c r="AF1453" i="3" s="1"/>
  <c r="AG1453" i="3" s="1"/>
  <c r="AC1453" i="3"/>
  <c r="AB1452" i="3" l="1"/>
  <c r="AC1452" i="3" l="1"/>
  <c r="AD1452" i="3"/>
  <c r="AE1452" i="3"/>
  <c r="AF1452" i="3" l="1"/>
  <c r="AG1452" i="3" s="1"/>
  <c r="AB1451" i="3" l="1"/>
  <c r="AD1451" i="3" l="1"/>
  <c r="AE1451" i="3"/>
  <c r="AC1451" i="3"/>
  <c r="AF1451" i="3" l="1"/>
  <c r="AG1451" i="3" s="1"/>
  <c r="AB1450" i="3" l="1"/>
  <c r="AD1450" i="3" l="1"/>
  <c r="AC1450" i="3"/>
  <c r="AE1450" i="3"/>
  <c r="AF1450" i="3" l="1"/>
  <c r="AG1450" i="3" s="1"/>
  <c r="AB1449" i="3" l="1"/>
  <c r="AE1449" i="3" l="1"/>
  <c r="AC1449" i="3"/>
  <c r="AD1449" i="3"/>
  <c r="AF1449" i="3" l="1"/>
  <c r="AG1449" i="3" s="1"/>
  <c r="AB1448" i="3" l="1"/>
  <c r="AC1448" i="3" l="1"/>
  <c r="AE1448" i="3"/>
  <c r="AD1448" i="3"/>
  <c r="AF1448" i="3" s="1"/>
  <c r="AG1448" i="3" s="1"/>
  <c r="AB1447" i="3" l="1"/>
  <c r="AD1447" i="3" l="1"/>
  <c r="AC1447" i="3"/>
  <c r="AE1447" i="3"/>
  <c r="AF1447" i="3" l="1"/>
  <c r="AG1447" i="3" s="1"/>
  <c r="AB1446" i="3"/>
  <c r="AC1446" i="3" l="1"/>
  <c r="AE1446" i="3"/>
  <c r="AD1446" i="3"/>
  <c r="AF1446" i="3" l="1"/>
  <c r="AG1446" i="3" s="1"/>
  <c r="AB1445" i="3" l="1"/>
  <c r="AD1445" i="3" l="1"/>
  <c r="AC1445" i="3"/>
  <c r="AE1445" i="3"/>
  <c r="AF1445" i="3" l="1"/>
  <c r="AG1445" i="3" s="1"/>
  <c r="AB1444" i="3" l="1"/>
  <c r="AE1444" i="3" l="1"/>
  <c r="AD1444" i="3"/>
  <c r="AC1444" i="3"/>
  <c r="AF1444" i="3" l="1"/>
  <c r="AG1444" i="3" s="1"/>
  <c r="AB1443" i="3" l="1"/>
  <c r="AE1443" i="3" l="1"/>
  <c r="AD1443" i="3"/>
  <c r="AC1443" i="3"/>
  <c r="AF1443" i="3" l="1"/>
  <c r="AG1443" i="3" s="1"/>
  <c r="AB1442" i="3" l="1"/>
  <c r="AE1442" i="3" l="1"/>
  <c r="AD1442" i="3"/>
  <c r="AC1442" i="3"/>
  <c r="AF1442" i="3" l="1"/>
  <c r="AG1442" i="3"/>
  <c r="AB1441" i="3" s="1"/>
  <c r="AD1441" i="3" l="1"/>
  <c r="AC1441" i="3"/>
  <c r="AE1441" i="3"/>
  <c r="AF1441" i="3" s="1"/>
  <c r="AG1441" i="3" s="1"/>
  <c r="AB1440" i="3" l="1"/>
  <c r="AE1440" i="3" l="1"/>
  <c r="AD1440" i="3"/>
  <c r="AC1440" i="3"/>
  <c r="AF1440" i="3" l="1"/>
  <c r="AB1439" i="3" l="1"/>
  <c r="AG1440" i="3"/>
  <c r="AE1439" i="3" l="1"/>
  <c r="AD1439" i="3"/>
  <c r="AC1439" i="3"/>
  <c r="AF1439" i="3" l="1"/>
  <c r="AG1439" i="3" l="1"/>
  <c r="AB1438" i="3" l="1"/>
  <c r="AD1438" i="3" l="1"/>
  <c r="AF1438" i="3" s="1"/>
  <c r="AC1438" i="3"/>
  <c r="AE1438" i="3"/>
  <c r="AG1438" i="3" l="1"/>
  <c r="AB1437" i="3" s="1"/>
  <c r="AD1437" i="3" l="1"/>
  <c r="AC1437" i="3"/>
  <c r="AE1437" i="3"/>
  <c r="AF1437" i="3" l="1"/>
  <c r="AG1437" i="3"/>
  <c r="AB1436" i="3" s="1"/>
  <c r="AD1436" i="3" l="1"/>
  <c r="AC1436" i="3"/>
  <c r="AE1436" i="3"/>
  <c r="AF1436" i="3" l="1"/>
  <c r="AG1436" i="3" s="1"/>
  <c r="AB1435" i="3"/>
  <c r="AD1435" i="3" l="1"/>
  <c r="AE1435" i="3"/>
  <c r="AC1435" i="3"/>
  <c r="AF1435" i="3" l="1"/>
  <c r="AG1435" i="3"/>
  <c r="AB1434" i="3" s="1"/>
  <c r="AD1434" i="3" l="1"/>
  <c r="AC1434" i="3"/>
  <c r="AE1434" i="3"/>
  <c r="AF1434" i="3" l="1"/>
  <c r="AG1434" i="3" s="1"/>
  <c r="AB1433" i="3"/>
  <c r="AE1433" i="3" l="1"/>
  <c r="AD1433" i="3"/>
  <c r="AF1433" i="3" s="1"/>
  <c r="AC1433" i="3"/>
  <c r="AG1433" i="3" l="1"/>
  <c r="AB1432" i="3" l="1"/>
  <c r="AC1432" i="3" l="1"/>
  <c r="AD1432" i="3"/>
  <c r="AE1432" i="3"/>
  <c r="AF1432" i="3" l="1"/>
  <c r="AG1432" i="3" l="1"/>
  <c r="AB1431" i="3" s="1"/>
  <c r="AE1431" i="3" l="1"/>
  <c r="AD1431" i="3"/>
  <c r="AF1431" i="3" s="1"/>
  <c r="AC1431" i="3"/>
  <c r="AG1431" i="3" l="1"/>
  <c r="AB1430" i="3" l="1"/>
  <c r="AE1430" i="3" l="1"/>
  <c r="AD1430" i="3"/>
  <c r="AF1430" i="3" s="1"/>
  <c r="AC1430" i="3"/>
  <c r="AG1430" i="3" l="1"/>
  <c r="AB1429" i="3" l="1"/>
  <c r="AC1429" i="3" l="1"/>
  <c r="AE1429" i="3"/>
  <c r="AD1429" i="3"/>
  <c r="AF1429" i="3" s="1"/>
  <c r="AG1429" i="3" l="1"/>
  <c r="AB1428" i="3" l="1"/>
  <c r="AC1428" i="3" l="1"/>
  <c r="AE1428" i="3"/>
  <c r="AD1428" i="3"/>
  <c r="AF1428" i="3" s="1"/>
  <c r="AG1428" i="3" l="1"/>
  <c r="AB1427" i="3" l="1"/>
  <c r="AC1427" i="3" l="1"/>
  <c r="AE1427" i="3"/>
  <c r="AD1427" i="3"/>
  <c r="AF1427" i="3" s="1"/>
  <c r="AG1427" i="3" l="1"/>
  <c r="AB1426" i="3" l="1"/>
  <c r="AD1426" i="3" l="1"/>
  <c r="AC1426" i="3"/>
  <c r="AE1426" i="3"/>
  <c r="AF1426" i="3" l="1"/>
  <c r="AG1426" i="3"/>
  <c r="AB1425" i="3" l="1"/>
  <c r="AE1425" i="3" l="1"/>
  <c r="AD1425" i="3"/>
  <c r="AF1425" i="3" s="1"/>
  <c r="AC1425" i="3"/>
  <c r="AG1425" i="3" l="1"/>
  <c r="AB1424" i="3" l="1"/>
  <c r="AC1424" i="3" l="1"/>
  <c r="AE1424" i="3"/>
  <c r="AD1424" i="3"/>
  <c r="AF1424" i="3" s="1"/>
  <c r="AG1424" i="3" l="1"/>
  <c r="AB1423" i="3" l="1"/>
  <c r="AC1423" i="3" l="1"/>
  <c r="AE1423" i="3"/>
  <c r="AD1423" i="3"/>
  <c r="AF1423" i="3" s="1"/>
  <c r="AG1423" i="3" l="1"/>
  <c r="AB1422" i="3" l="1"/>
  <c r="AE1422" i="3" l="1"/>
  <c r="AD1422" i="3"/>
  <c r="AC1422" i="3"/>
  <c r="AF1422" i="3" l="1"/>
  <c r="AG1422" i="3" l="1"/>
  <c r="AB1421" i="3" l="1"/>
  <c r="AC1421" i="3" l="1"/>
  <c r="AD1421" i="3"/>
  <c r="AE1421" i="3"/>
  <c r="AF1421" i="3" l="1"/>
  <c r="AG1421" i="3" l="1"/>
  <c r="AB1420" i="3" l="1"/>
  <c r="AC1420" i="3" l="1"/>
  <c r="AE1420" i="3"/>
  <c r="AD1420" i="3"/>
  <c r="AF1420" i="3" s="1"/>
  <c r="AG1420" i="3" l="1"/>
  <c r="AB1419" i="3" l="1"/>
  <c r="AE1419" i="3" l="1"/>
  <c r="AC1419" i="3"/>
  <c r="AD1419" i="3"/>
  <c r="AF1419" i="3" l="1"/>
  <c r="AG1419" i="3" l="1"/>
  <c r="AB1418" i="3" l="1"/>
  <c r="AC1418" i="3" l="1"/>
  <c r="AE1418" i="3"/>
  <c r="AD1418" i="3"/>
  <c r="AF1418" i="3" l="1"/>
  <c r="AG1418" i="3"/>
  <c r="AB1417" i="3" l="1"/>
  <c r="AE1417" i="3" l="1"/>
  <c r="AC1417" i="3"/>
  <c r="AD1417" i="3"/>
  <c r="AF1417" i="3" s="1"/>
  <c r="AG1417" i="3" l="1"/>
  <c r="AB1416" i="3" l="1"/>
  <c r="AD1416" i="3" l="1"/>
  <c r="AE1416" i="3"/>
  <c r="AC1416" i="3"/>
  <c r="AF1416" i="3" l="1"/>
  <c r="AG1416" i="3" l="1"/>
  <c r="AB1415" i="3" l="1"/>
  <c r="AE1415" i="3" l="1"/>
  <c r="AC1415" i="3"/>
  <c r="AD1415" i="3"/>
  <c r="AF1415" i="3" l="1"/>
  <c r="AG1415" i="3"/>
  <c r="AB1414" i="3" l="1"/>
  <c r="AE1414" i="3" l="1"/>
  <c r="AD1414" i="3"/>
  <c r="AF1414" i="3" s="1"/>
  <c r="AC1414" i="3"/>
  <c r="AG1414" i="3" l="1"/>
  <c r="AB1413" i="3" l="1"/>
  <c r="AC1413" i="3" l="1"/>
  <c r="AE1413" i="3"/>
  <c r="AD1413" i="3"/>
  <c r="AF1413" i="3" s="1"/>
  <c r="AG1413" i="3" l="1"/>
  <c r="AB1412" i="3" l="1"/>
  <c r="AD1412" i="3" l="1"/>
  <c r="AE1412" i="3"/>
  <c r="AC1412" i="3"/>
  <c r="AF1412" i="3" l="1"/>
  <c r="AG1412" i="3" l="1"/>
  <c r="AB1411" i="3" l="1"/>
  <c r="AE1411" i="3" l="1"/>
  <c r="AD1411" i="3"/>
  <c r="AC1411" i="3"/>
  <c r="AF1411" i="3" l="1"/>
  <c r="AG1411" i="3"/>
  <c r="AB1410" i="3" s="1"/>
  <c r="AC1410" i="3" l="1"/>
  <c r="AD1410" i="3"/>
  <c r="AE1410" i="3"/>
  <c r="AF1410" i="3" l="1"/>
  <c r="AG1410" i="3" l="1"/>
  <c r="AB1409" i="3" l="1"/>
  <c r="AD1409" i="3" l="1"/>
  <c r="AC1409" i="3"/>
  <c r="AE1409" i="3"/>
  <c r="AF1409" i="3" l="1"/>
  <c r="AG1409" i="3" l="1"/>
  <c r="AB1408" i="3" l="1"/>
  <c r="AC1408" i="3" l="1"/>
  <c r="AE1408" i="3"/>
  <c r="AD1408" i="3"/>
  <c r="AF1408" i="3" s="1"/>
  <c r="AG1408" i="3" l="1"/>
  <c r="AB1407" i="3" s="1"/>
  <c r="AE1407" i="3" l="1"/>
  <c r="AD1407" i="3"/>
  <c r="AF1407" i="3" s="1"/>
  <c r="AC1407" i="3"/>
  <c r="AG1407" i="3"/>
  <c r="AB1406" i="3" l="1"/>
  <c r="AC1406" i="3" l="1"/>
  <c r="AE1406" i="3"/>
  <c r="AD1406" i="3"/>
  <c r="AF1406" i="3" s="1"/>
  <c r="AG1406" i="3" l="1"/>
  <c r="AB1405" i="3" l="1"/>
  <c r="AC1405" i="3" l="1"/>
  <c r="AE1405" i="3"/>
  <c r="AD1405" i="3"/>
  <c r="AF1405" i="3" s="1"/>
  <c r="AG1405" i="3" l="1"/>
  <c r="AB1404" i="3" l="1"/>
  <c r="AC1404" i="3" l="1"/>
  <c r="AE1404" i="3"/>
  <c r="AD1404" i="3"/>
  <c r="AF1404" i="3" s="1"/>
  <c r="AG1404" i="3" l="1"/>
  <c r="AB1403" i="3" l="1"/>
  <c r="AE1403" i="3" l="1"/>
  <c r="AD1403" i="3"/>
  <c r="AC1403" i="3"/>
  <c r="AF1403" i="3" l="1"/>
  <c r="AG1403" i="3"/>
  <c r="AB1402" i="3" s="1"/>
  <c r="AC1402" i="3" l="1"/>
  <c r="AE1402" i="3"/>
  <c r="AD1402" i="3"/>
  <c r="AF1402" i="3" s="1"/>
  <c r="AG1402" i="3"/>
  <c r="AB1401" i="3" l="1"/>
  <c r="AC1401" i="3" l="1"/>
  <c r="AE1401" i="3"/>
  <c r="AD1401" i="3"/>
  <c r="AF1401" i="3" s="1"/>
  <c r="AG1401" i="3" l="1"/>
  <c r="AB1400" i="3" l="1"/>
  <c r="AD1400" i="3" l="1"/>
  <c r="AC1400" i="3"/>
  <c r="AE1400" i="3"/>
  <c r="AF1400" i="3" l="1"/>
  <c r="AG1400" i="3" l="1"/>
  <c r="AB1399" i="3" l="1"/>
  <c r="AE1399" i="3" l="1"/>
  <c r="AD1399" i="3"/>
  <c r="AC1399" i="3"/>
  <c r="AF1399" i="3" l="1"/>
  <c r="AG1399" i="3"/>
  <c r="AB1398" i="3" l="1"/>
  <c r="AD1398" i="3" l="1"/>
  <c r="AE1398" i="3"/>
  <c r="AC1398" i="3"/>
  <c r="AF1398" i="3" l="1"/>
  <c r="AG1398" i="3" l="1"/>
  <c r="AB1397" i="3" l="1"/>
  <c r="AD1397" i="3" l="1"/>
  <c r="AE1397" i="3"/>
  <c r="AC1397" i="3"/>
  <c r="AF1397" i="3" l="1"/>
  <c r="AB1396" i="3" l="1"/>
  <c r="AG1397" i="3"/>
  <c r="AC1396" i="3" l="1"/>
  <c r="AE1396" i="3"/>
  <c r="AD1396" i="3"/>
  <c r="AF1396" i="3" s="1"/>
  <c r="AG1396" i="3"/>
  <c r="AB1395" i="3" l="1"/>
  <c r="AC1395" i="3" l="1"/>
  <c r="AE1395" i="3"/>
  <c r="AD1395" i="3"/>
  <c r="AF1395" i="3" s="1"/>
  <c r="AG1395" i="3" l="1"/>
  <c r="AB1394" i="3" s="1"/>
  <c r="AC1394" i="3" l="1"/>
  <c r="AD1394" i="3"/>
  <c r="AE1394" i="3"/>
  <c r="AF1394" i="3" l="1"/>
  <c r="AG1394" i="3" l="1"/>
  <c r="AB1393" i="3" l="1"/>
  <c r="AC1393" i="3" l="1"/>
  <c r="AE1393" i="3"/>
  <c r="AD1393" i="3"/>
  <c r="AF1393" i="3" s="1"/>
  <c r="AG1393" i="3" l="1"/>
  <c r="AB1392" i="3" l="1"/>
  <c r="AC1392" i="3" l="1"/>
  <c r="AE1392" i="3"/>
  <c r="AD1392" i="3"/>
  <c r="AF1392" i="3" l="1"/>
  <c r="AG1392" i="3"/>
  <c r="AB1391" i="3" l="1"/>
  <c r="AC1391" i="3" l="1"/>
  <c r="AD1391" i="3"/>
  <c r="AE1391" i="3"/>
  <c r="AF1391" i="3" l="1"/>
  <c r="AG1391" i="3" l="1"/>
  <c r="AB1390" i="3" l="1"/>
  <c r="AD1390" i="3" l="1"/>
  <c r="AC1390" i="3"/>
  <c r="AE1390" i="3"/>
  <c r="AF1390" i="3" l="1"/>
  <c r="AG1390" i="3"/>
  <c r="AB1389" i="3" s="1"/>
  <c r="AC1389" i="3" l="1"/>
  <c r="AE1389" i="3"/>
  <c r="AD1389" i="3"/>
  <c r="AF1389" i="3" l="1"/>
  <c r="AG1389" i="3" s="1"/>
  <c r="AB1388" i="3"/>
  <c r="AC1388" i="3" l="1"/>
  <c r="AE1388" i="3"/>
  <c r="AD1388" i="3"/>
  <c r="AF1388" i="3" s="1"/>
  <c r="AG1388" i="3" l="1"/>
  <c r="AB1387" i="3" l="1"/>
  <c r="AC1387" i="3" l="1"/>
  <c r="AD1387" i="3"/>
  <c r="AE1387" i="3"/>
  <c r="AF1387" i="3" l="1"/>
  <c r="AG1387" i="3" l="1"/>
  <c r="AB1386" i="3" l="1"/>
  <c r="AD1386" i="3" l="1"/>
  <c r="AE1386" i="3"/>
  <c r="AF1386" i="3" s="1"/>
  <c r="AC1386" i="3"/>
  <c r="AG1386" i="3" l="1"/>
  <c r="AB1385" i="3" l="1"/>
  <c r="AC1385" i="3" l="1"/>
  <c r="AD1385" i="3"/>
  <c r="AE1385" i="3"/>
  <c r="AF1385" i="3" l="1"/>
  <c r="AG1385" i="3" l="1"/>
  <c r="AB1384" i="3" l="1"/>
  <c r="AE1384" i="3" l="1"/>
  <c r="AC1384" i="3"/>
  <c r="AD1384" i="3"/>
  <c r="AF1384" i="3" l="1"/>
  <c r="AG1384" i="3" s="1"/>
  <c r="AB1383" i="3" l="1"/>
  <c r="AC1383" i="3" l="1"/>
  <c r="AD1383" i="3"/>
  <c r="AE1383" i="3"/>
  <c r="AF1383" i="3" l="1"/>
  <c r="AG1383" i="3" l="1"/>
  <c r="AB1382" i="3" l="1"/>
  <c r="AE1382" i="3" l="1"/>
  <c r="AD1382" i="3"/>
  <c r="AC1382" i="3"/>
  <c r="AF1382" i="3" l="1"/>
  <c r="AG1382" i="3" l="1"/>
  <c r="AB1381" i="3" l="1"/>
  <c r="AD1381" i="3" l="1"/>
  <c r="AC1381" i="3"/>
  <c r="AE1381" i="3"/>
  <c r="AF1381" i="3" l="1"/>
  <c r="AG1381" i="3"/>
  <c r="AB1380" i="3" l="1"/>
  <c r="AD1380" i="3" l="1"/>
  <c r="AE1380" i="3"/>
  <c r="AC1380" i="3"/>
  <c r="AF1380" i="3" l="1"/>
  <c r="AG1380" i="3" l="1"/>
  <c r="AB1379" i="3" l="1"/>
  <c r="AE1379" i="3" l="1"/>
  <c r="AD1379" i="3"/>
  <c r="AF1379" i="3" s="1"/>
  <c r="AC1379" i="3"/>
  <c r="AG1379" i="3" l="1"/>
  <c r="AB1378" i="3" l="1"/>
  <c r="AD1378" i="3" l="1"/>
  <c r="AE1378" i="3"/>
  <c r="AC1378" i="3"/>
  <c r="AF1378" i="3" l="1"/>
  <c r="AG1378" i="3" l="1"/>
  <c r="AB1377" i="3" l="1"/>
  <c r="AE1377" i="3" l="1"/>
  <c r="AD1377" i="3"/>
  <c r="AF1377" i="3" s="1"/>
  <c r="AC1377" i="3"/>
  <c r="AG1377" i="3" l="1"/>
  <c r="AB1376" i="3" l="1"/>
  <c r="AC1376" i="3" l="1"/>
  <c r="AD1376" i="3"/>
  <c r="AE1376" i="3"/>
  <c r="AF1376" i="3" l="1"/>
  <c r="AG1376" i="3" l="1"/>
  <c r="AB1375" i="3" l="1"/>
  <c r="AC1375" i="3" l="1"/>
  <c r="AD1375" i="3"/>
  <c r="AE1375" i="3"/>
  <c r="AF1375" i="3" l="1"/>
  <c r="AG1375" i="3"/>
  <c r="AB1374" i="3" s="1"/>
  <c r="AE1374" i="3" l="1"/>
  <c r="AD1374" i="3"/>
  <c r="AC1374" i="3"/>
  <c r="AF1374" i="3" l="1"/>
  <c r="AG1374" i="3" l="1"/>
  <c r="AB1373" i="3" l="1"/>
  <c r="AC1373" i="3" l="1"/>
  <c r="AE1373" i="3"/>
  <c r="AD1373" i="3"/>
  <c r="AF1373" i="3" s="1"/>
  <c r="AG1373" i="3" l="1"/>
  <c r="AB1372" i="3" l="1"/>
  <c r="AC1372" i="3" l="1"/>
  <c r="AE1372" i="3"/>
  <c r="AD1372" i="3"/>
  <c r="AF1372" i="3" s="1"/>
  <c r="AG1372" i="3" l="1"/>
  <c r="AB1371" i="3" s="1"/>
  <c r="AC1371" i="3" l="1"/>
  <c r="AD1371" i="3"/>
  <c r="AE1371" i="3"/>
  <c r="AF1371" i="3" l="1"/>
  <c r="AG1371" i="3" l="1"/>
  <c r="AB1370" i="3" l="1"/>
  <c r="AC1370" i="3" l="1"/>
  <c r="AE1370" i="3"/>
  <c r="AD1370" i="3"/>
  <c r="AF1370" i="3" s="1"/>
  <c r="AG1370" i="3" l="1"/>
  <c r="AB1369" i="3" l="1"/>
  <c r="AE1369" i="3" l="1"/>
  <c r="AC1369" i="3"/>
  <c r="AD1369" i="3"/>
  <c r="AF1369" i="3" s="1"/>
  <c r="AG1369" i="3" l="1"/>
  <c r="AB1368" i="3" l="1"/>
  <c r="AD1368" i="3" l="1"/>
  <c r="AC1368" i="3"/>
  <c r="AE1368" i="3"/>
  <c r="AF1368" i="3" l="1"/>
  <c r="AG1368" i="3" l="1"/>
  <c r="AB1367" i="3" l="1"/>
  <c r="AC1367" i="3" l="1"/>
  <c r="AE1367" i="3"/>
  <c r="AD1367" i="3"/>
  <c r="AF1367" i="3" s="1"/>
  <c r="AG1367" i="3" l="1"/>
  <c r="AB1366" i="3" l="1"/>
  <c r="AD1366" i="3" l="1"/>
  <c r="AC1366" i="3"/>
  <c r="AE1366" i="3"/>
  <c r="AF1366" i="3" l="1"/>
  <c r="AG1366" i="3" l="1"/>
  <c r="AB1365" i="3" l="1"/>
  <c r="AD1365" i="3" l="1"/>
  <c r="AC1365" i="3"/>
  <c r="AE1365" i="3"/>
  <c r="AF1365" i="3" l="1"/>
  <c r="AG1365" i="3" l="1"/>
  <c r="AB1364" i="3" l="1"/>
  <c r="AC1364" i="3" l="1"/>
  <c r="AD1364" i="3"/>
  <c r="AE1364" i="3"/>
  <c r="AF1364" i="3" l="1"/>
  <c r="AG1364" i="3" l="1"/>
  <c r="AB1363" i="3" l="1"/>
  <c r="AE1363" i="3" l="1"/>
  <c r="AD1363" i="3"/>
  <c r="AF1363" i="3" s="1"/>
  <c r="AC1363" i="3"/>
  <c r="AG1363" i="3" l="1"/>
  <c r="AB1362" i="3" l="1"/>
  <c r="AD1362" i="3" l="1"/>
  <c r="AC1362" i="3"/>
  <c r="AE1362" i="3"/>
  <c r="AF1362" i="3" l="1"/>
  <c r="AG1362" i="3" l="1"/>
  <c r="AB1361" i="3" l="1"/>
  <c r="AE1361" i="3" l="1"/>
  <c r="AC1361" i="3"/>
  <c r="AD1361" i="3"/>
  <c r="AF1361" i="3" s="1"/>
  <c r="AG1361" i="3" l="1"/>
  <c r="AB1360" i="3" l="1"/>
  <c r="AE1360" i="3" l="1"/>
  <c r="AC1360" i="3"/>
  <c r="AD1360" i="3"/>
  <c r="AF1360" i="3" l="1"/>
  <c r="AG1360" i="3"/>
  <c r="AB1359" i="3" l="1"/>
  <c r="AE1359" i="3" l="1"/>
  <c r="AD1359" i="3"/>
  <c r="AF1359" i="3" s="1"/>
  <c r="AC1359" i="3"/>
  <c r="AG1359" i="3" l="1"/>
  <c r="AB1358" i="3" l="1"/>
  <c r="AC1358" i="3" l="1"/>
  <c r="AE1358" i="3"/>
  <c r="AD1358" i="3"/>
  <c r="AF1358" i="3" s="1"/>
  <c r="AG1358" i="3" l="1"/>
  <c r="AB1357" i="3" l="1"/>
  <c r="AC1357" i="3" l="1"/>
  <c r="AE1357" i="3"/>
  <c r="AD1357" i="3"/>
  <c r="AF1357" i="3" s="1"/>
  <c r="AG1357" i="3" l="1"/>
  <c r="AB1356" i="3" l="1"/>
  <c r="AE1356" i="3" l="1"/>
  <c r="AD1356" i="3"/>
  <c r="AF1356" i="3" s="1"/>
  <c r="AC1356" i="3"/>
  <c r="AG1356" i="3" l="1"/>
  <c r="AB1355" i="3" l="1"/>
  <c r="AD1355" i="3" l="1"/>
  <c r="AE1355" i="3"/>
  <c r="AC1355" i="3"/>
  <c r="AF1355" i="3" l="1"/>
  <c r="AG1355" i="3" l="1"/>
  <c r="AB1354" i="3" l="1"/>
  <c r="AC1354" i="3" l="1"/>
  <c r="AE1354" i="3"/>
  <c r="AD1354" i="3"/>
  <c r="AF1354" i="3" s="1"/>
  <c r="AG1354" i="3" s="1"/>
  <c r="AB1353" i="3" l="1"/>
  <c r="AE1353" i="3" l="1"/>
  <c r="AD1353" i="3"/>
  <c r="AF1353" i="3" s="1"/>
  <c r="AG1353" i="3" s="1"/>
  <c r="AC1353" i="3"/>
  <c r="AB1352" i="3" l="1"/>
  <c r="AE1352" i="3" l="1"/>
  <c r="AD1352" i="3"/>
  <c r="AF1352" i="3" s="1"/>
  <c r="AG1352" i="3" s="1"/>
  <c r="AC1352" i="3"/>
  <c r="AB1351" i="3" l="1"/>
  <c r="AE1351" i="3" l="1"/>
  <c r="AC1351" i="3"/>
  <c r="AD1351" i="3"/>
  <c r="AF1351" i="3" s="1"/>
  <c r="AG1351" i="3" s="1"/>
  <c r="AB1350" i="3" l="1"/>
  <c r="AC1350" i="3" l="1"/>
  <c r="AE1350" i="3"/>
  <c r="AD1350" i="3"/>
  <c r="AF1350" i="3" s="1"/>
  <c r="AG1350" i="3" s="1"/>
  <c r="AB1349" i="3" l="1"/>
  <c r="AD1349" i="3" l="1"/>
  <c r="AE1349" i="3"/>
  <c r="AC1349" i="3"/>
  <c r="AF1349" i="3" l="1"/>
  <c r="AG1349" i="3" s="1"/>
  <c r="AB1348" i="3" l="1"/>
  <c r="AC1348" i="3" l="1"/>
  <c r="AE1348" i="3"/>
  <c r="AD1348" i="3"/>
  <c r="AF1348" i="3" s="1"/>
  <c r="AG1348" i="3" s="1"/>
  <c r="AB1347" i="3" l="1"/>
  <c r="AD1347" i="3" l="1"/>
  <c r="AE1347" i="3"/>
  <c r="AC1347" i="3"/>
  <c r="AF1347" i="3" l="1"/>
  <c r="AG1347" i="3" s="1"/>
  <c r="AB1346" i="3" l="1"/>
  <c r="AD1346" i="3" l="1"/>
  <c r="AC1346" i="3"/>
  <c r="AE1346" i="3"/>
  <c r="AF1346" i="3" l="1"/>
  <c r="AG1346" i="3" s="1"/>
  <c r="AB1345" i="3" l="1"/>
  <c r="AC1345" i="3" l="1"/>
  <c r="AE1345" i="3"/>
  <c r="AD1345" i="3"/>
  <c r="AF1345" i="3" s="1"/>
  <c r="AG1345" i="3" s="1"/>
  <c r="AB1344" i="3" l="1"/>
  <c r="AE1344" i="3" l="1"/>
  <c r="AD1344" i="3"/>
  <c r="AF1344" i="3" s="1"/>
  <c r="AG1344" i="3" s="1"/>
  <c r="AC1344" i="3"/>
  <c r="AB1343" i="3" l="1"/>
  <c r="AC1343" i="3" l="1"/>
  <c r="AE1343" i="3"/>
  <c r="AD1343" i="3"/>
  <c r="AF1343" i="3" s="1"/>
  <c r="AG1343" i="3" s="1"/>
  <c r="AB1342" i="3" l="1"/>
  <c r="AE1342" i="3" l="1"/>
  <c r="AD1342" i="3"/>
  <c r="AF1342" i="3" s="1"/>
  <c r="AG1342" i="3" s="1"/>
  <c r="AC1342" i="3"/>
  <c r="AB1341" i="3" l="1"/>
  <c r="AD1341" i="3" l="1"/>
  <c r="AC1341" i="3"/>
  <c r="AE1341" i="3"/>
  <c r="AF1341" i="3" l="1"/>
  <c r="AG1341" i="3" s="1"/>
  <c r="AB1340" i="3" l="1"/>
  <c r="AE1340" i="3" l="1"/>
  <c r="AC1340" i="3"/>
  <c r="AD1340" i="3"/>
  <c r="AF1340" i="3" s="1"/>
  <c r="AG1340" i="3" s="1"/>
  <c r="AB1339" i="3" l="1"/>
  <c r="AD1339" i="3" l="1"/>
  <c r="AC1339" i="3"/>
  <c r="AE1339" i="3"/>
  <c r="AF1339" i="3" l="1"/>
  <c r="AG1339" i="3" l="1"/>
  <c r="AB1338" i="3" l="1"/>
  <c r="AC1338" i="3" l="1"/>
  <c r="AE1338" i="3"/>
  <c r="AD1338" i="3"/>
  <c r="AF1338" i="3" s="1"/>
  <c r="AG1338" i="3" l="1"/>
  <c r="AB1337" i="3" l="1"/>
  <c r="AD1337" i="3" l="1"/>
  <c r="AE1337" i="3"/>
  <c r="AC1337" i="3"/>
  <c r="AF1337" i="3" l="1"/>
  <c r="AG1337" i="3" s="1"/>
  <c r="AB1336" i="3" l="1"/>
  <c r="AE1336" i="3" l="1"/>
  <c r="AD1336" i="3"/>
  <c r="AF1336" i="3" s="1"/>
  <c r="AG1336" i="3" s="1"/>
  <c r="AC1336" i="3"/>
  <c r="AB1335" i="3" l="1"/>
  <c r="AE1335" i="3" l="1"/>
  <c r="AD1335" i="3"/>
  <c r="AF1335" i="3" s="1"/>
  <c r="AG1335" i="3" s="1"/>
  <c r="AC1335" i="3"/>
  <c r="AB1334" i="3" l="1"/>
  <c r="AE1334" i="3" l="1"/>
  <c r="AC1334" i="3"/>
  <c r="AD1334" i="3"/>
  <c r="AF1334" i="3" s="1"/>
  <c r="AG1334" i="3" s="1"/>
  <c r="AB1333" i="3" l="1"/>
  <c r="AC1333" i="3" l="1"/>
  <c r="AE1333" i="3"/>
  <c r="AD1333" i="3"/>
  <c r="AF1333" i="3" s="1"/>
  <c r="AG1333" i="3" s="1"/>
  <c r="AB1332" i="3" l="1"/>
  <c r="AC1332" i="3" l="1"/>
  <c r="AE1332" i="3"/>
  <c r="AD1332" i="3"/>
  <c r="AF1332" i="3" s="1"/>
  <c r="AG1332" i="3" l="1"/>
  <c r="AB1331" i="3" l="1"/>
  <c r="AD1331" i="3" l="1"/>
  <c r="AC1331" i="3"/>
  <c r="AE1331" i="3"/>
  <c r="AF1331" i="3" l="1"/>
  <c r="AG1331" i="3" s="1"/>
  <c r="AB1330" i="3" l="1"/>
  <c r="AC1330" i="3" l="1"/>
  <c r="AD1330" i="3"/>
  <c r="AE1330" i="3"/>
  <c r="AF1330" i="3" l="1"/>
  <c r="AG1330" i="3" s="1"/>
  <c r="AB1329" i="3" l="1"/>
  <c r="AE1329" i="3" l="1"/>
  <c r="AC1329" i="3"/>
  <c r="AD1329" i="3"/>
  <c r="AF1329" i="3" s="1"/>
  <c r="AG1329" i="3" s="1"/>
  <c r="AB1328" i="3" l="1"/>
  <c r="AD1328" i="3" l="1"/>
  <c r="AC1328" i="3"/>
  <c r="AE1328" i="3"/>
  <c r="AF1328" i="3" l="1"/>
  <c r="AG1328" i="3" s="1"/>
  <c r="AB1327" i="3" l="1"/>
  <c r="AC1327" i="3" l="1"/>
  <c r="AE1327" i="3"/>
  <c r="AD1327" i="3"/>
  <c r="AF1327" i="3" s="1"/>
  <c r="AG1327" i="3" s="1"/>
  <c r="AB1326" i="3" l="1"/>
  <c r="AE1326" i="3" l="1"/>
  <c r="AD1326" i="3"/>
  <c r="AF1326" i="3" s="1"/>
  <c r="AG1326" i="3" s="1"/>
  <c r="AC1326" i="3"/>
  <c r="AB1325" i="3" l="1"/>
  <c r="AD1325" i="3" l="1"/>
  <c r="AE1325" i="3"/>
  <c r="AC1325" i="3"/>
  <c r="AF1325" i="3" l="1"/>
  <c r="AG1325" i="3" s="1"/>
  <c r="AB1324" i="3" l="1"/>
  <c r="AE1324" i="3" l="1"/>
  <c r="AD1324" i="3"/>
  <c r="AF1324" i="3" s="1"/>
  <c r="AG1324" i="3" s="1"/>
  <c r="AC1324" i="3"/>
  <c r="AB1323" i="3" l="1"/>
  <c r="AC1323" i="3" l="1"/>
  <c r="AE1323" i="3"/>
  <c r="AD1323" i="3"/>
  <c r="AF1323" i="3" s="1"/>
  <c r="AG1323" i="3" s="1"/>
  <c r="AB1322" i="3" l="1"/>
  <c r="AE1322" i="3" l="1"/>
  <c r="AD1322" i="3"/>
  <c r="AF1322" i="3" s="1"/>
  <c r="AG1322" i="3" s="1"/>
  <c r="AC1322" i="3"/>
  <c r="AB1321" i="3" l="1"/>
  <c r="AE1321" i="3" l="1"/>
  <c r="AD1321" i="3"/>
  <c r="AF1321" i="3" s="1"/>
  <c r="AC1321" i="3"/>
  <c r="AG1321" i="3" l="1"/>
  <c r="AB1320" i="3" l="1"/>
  <c r="AD1320" i="3" l="1"/>
  <c r="AC1320" i="3"/>
  <c r="AE1320" i="3"/>
  <c r="AF1320" i="3" l="1"/>
  <c r="AG1320" i="3" s="1"/>
  <c r="AB1319" i="3" l="1"/>
  <c r="AC1319" i="3" l="1"/>
  <c r="AE1319" i="3"/>
  <c r="AD1319" i="3"/>
  <c r="AF1319" i="3" s="1"/>
  <c r="AG1319" i="3" s="1"/>
  <c r="AB1318" i="3" l="1"/>
  <c r="AE1318" i="3" l="1"/>
  <c r="AC1318" i="3"/>
  <c r="AD1318" i="3"/>
  <c r="AF1318" i="3" s="1"/>
  <c r="AG1318" i="3" s="1"/>
  <c r="AB1317" i="3" l="1"/>
  <c r="AE1317" i="3" l="1"/>
  <c r="AD1317" i="3"/>
  <c r="AF1317" i="3" s="1"/>
  <c r="AG1317" i="3" s="1"/>
  <c r="AC1317" i="3"/>
  <c r="AB1316" i="3" l="1"/>
  <c r="AE1316" i="3" l="1"/>
  <c r="AD1316" i="3"/>
  <c r="AF1316" i="3" s="1"/>
  <c r="AG1316" i="3" s="1"/>
  <c r="AC1316" i="3"/>
  <c r="AB1315" i="3" l="1"/>
  <c r="AE1315" i="3" l="1"/>
  <c r="AD1315" i="3"/>
  <c r="AF1315" i="3" s="1"/>
  <c r="AG1315" i="3" s="1"/>
  <c r="AC1315" i="3"/>
  <c r="AB1314" i="3" l="1"/>
  <c r="AD1314" i="3" l="1"/>
  <c r="AE1314" i="3"/>
  <c r="AC1314" i="3"/>
  <c r="AF1314" i="3" l="1"/>
  <c r="AG1314" i="3" s="1"/>
  <c r="AB1313" i="3" l="1"/>
  <c r="AC1313" i="3" l="1"/>
  <c r="AE1313" i="3"/>
  <c r="AD1313" i="3"/>
  <c r="AF1313" i="3" s="1"/>
  <c r="AG1313" i="3" s="1"/>
  <c r="AB1312" i="3" l="1"/>
  <c r="AE1312" i="3" l="1"/>
  <c r="AD1312" i="3"/>
  <c r="AF1312" i="3" s="1"/>
  <c r="AG1312" i="3" s="1"/>
  <c r="AC1312" i="3"/>
  <c r="AB1311" i="3" l="1"/>
  <c r="AC1311" i="3" l="1"/>
  <c r="AD1311" i="3"/>
  <c r="AE1311" i="3"/>
  <c r="AF1311" i="3" l="1"/>
  <c r="AG1311" i="3" s="1"/>
  <c r="AB1310" i="3" l="1"/>
  <c r="AE1310" i="3" l="1"/>
  <c r="AC1310" i="3"/>
  <c r="AD1310" i="3"/>
  <c r="AF1310" i="3" s="1"/>
  <c r="AG1310" i="3" l="1"/>
  <c r="AB1309" i="3" l="1"/>
  <c r="AD1309" i="3" l="1"/>
  <c r="AC1309" i="3"/>
  <c r="AE1309" i="3"/>
  <c r="AF1309" i="3" l="1"/>
  <c r="AG1309" i="3" s="1"/>
  <c r="AB1308" i="3" l="1"/>
  <c r="AE1308" i="3" l="1"/>
  <c r="AD1308" i="3"/>
  <c r="AF1308" i="3" s="1"/>
  <c r="AG1308" i="3" s="1"/>
  <c r="AC1308" i="3"/>
  <c r="AB1307" i="3" l="1"/>
  <c r="AE1307" i="3" l="1"/>
  <c r="AD1307" i="3"/>
  <c r="AC1307" i="3"/>
  <c r="AF1307" i="3" l="1"/>
  <c r="AG1307" i="3" s="1"/>
  <c r="AB1306" i="3" l="1"/>
  <c r="AC1306" i="3" l="1"/>
  <c r="AD1306" i="3"/>
  <c r="AE1306" i="3"/>
  <c r="AF1306" i="3" l="1"/>
  <c r="AG1306" i="3" s="1"/>
  <c r="AB1305" i="3" l="1"/>
  <c r="AE1305" i="3" l="1"/>
  <c r="AC1305" i="3"/>
  <c r="AD1305" i="3"/>
  <c r="AF1305" i="3" s="1"/>
  <c r="AG1305" i="3" s="1"/>
  <c r="AB1304" i="3" l="1"/>
  <c r="AE1304" i="3" l="1"/>
  <c r="AC1304" i="3"/>
  <c r="AD1304" i="3"/>
  <c r="AF1304" i="3" s="1"/>
  <c r="AG1304" i="3" s="1"/>
  <c r="AB1303" i="3" l="1"/>
  <c r="AC1303" i="3" l="1"/>
  <c r="AE1303" i="3"/>
  <c r="AD1303" i="3"/>
  <c r="AF1303" i="3" l="1"/>
  <c r="AG1303" i="3" s="1"/>
  <c r="AB1302" i="3"/>
  <c r="AE1302" i="3" l="1"/>
  <c r="AC1302" i="3"/>
  <c r="AD1302" i="3"/>
  <c r="AF1302" i="3" s="1"/>
  <c r="AG1302" i="3" s="1"/>
  <c r="AB1301" i="3" l="1"/>
  <c r="AD1301" i="3" l="1"/>
  <c r="AC1301" i="3"/>
  <c r="AE1301" i="3"/>
  <c r="AF1301" i="3" l="1"/>
  <c r="AG1301" i="3" s="1"/>
  <c r="AB1300" i="3" l="1"/>
  <c r="AE1300" i="3" l="1"/>
  <c r="AD1300" i="3"/>
  <c r="AC1300" i="3"/>
  <c r="AF1300" i="3" l="1"/>
  <c r="AG1300" i="3" s="1"/>
  <c r="AB1299" i="3" s="1"/>
  <c r="AE1299" i="3" l="1"/>
  <c r="AD1299" i="3"/>
  <c r="AF1299" i="3" s="1"/>
  <c r="AG1299" i="3" s="1"/>
  <c r="AC1299" i="3"/>
  <c r="AB1298" i="3" l="1"/>
  <c r="AD1298" i="3" l="1"/>
  <c r="AE1298" i="3"/>
  <c r="AC1298" i="3"/>
  <c r="AF1298" i="3" l="1"/>
  <c r="AG1298" i="3" s="1"/>
  <c r="AB1297" i="3" l="1"/>
  <c r="AD1297" i="3" l="1"/>
  <c r="AE1297" i="3"/>
  <c r="AC1297" i="3"/>
  <c r="AF1297" i="3" l="1"/>
  <c r="AG1297" i="3" s="1"/>
  <c r="AB1296" i="3" l="1"/>
  <c r="AC1296" i="3" l="1"/>
  <c r="AE1296" i="3"/>
  <c r="AD1296" i="3"/>
  <c r="AF1296" i="3" s="1"/>
  <c r="AG1296" i="3" s="1"/>
  <c r="AB1295" i="3" l="1"/>
  <c r="AC1295" i="3" l="1"/>
  <c r="AE1295" i="3"/>
  <c r="AD1295" i="3"/>
  <c r="AF1295" i="3" s="1"/>
  <c r="AG1295" i="3" s="1"/>
  <c r="AB1294" i="3" l="1"/>
  <c r="AD1294" i="3" l="1"/>
  <c r="AC1294" i="3"/>
  <c r="AE1294" i="3"/>
  <c r="AF1294" i="3" l="1"/>
  <c r="AG1294" i="3" s="1"/>
  <c r="AB1293" i="3" l="1"/>
  <c r="AD1293" i="3" l="1"/>
  <c r="AE1293" i="3"/>
  <c r="AC1293" i="3"/>
  <c r="AF1293" i="3" l="1"/>
  <c r="AG1293" i="3" s="1"/>
  <c r="AB1292" i="3" l="1"/>
  <c r="AD1292" i="3" l="1"/>
  <c r="AE1292" i="3"/>
  <c r="AC1292" i="3"/>
  <c r="AF1292" i="3" l="1"/>
  <c r="AG1292" i="3" s="1"/>
  <c r="AB1291" i="3" l="1"/>
  <c r="AE1291" i="3" l="1"/>
  <c r="AC1291" i="3"/>
  <c r="AD1291" i="3"/>
  <c r="AF1291" i="3" s="1"/>
  <c r="AG1291" i="3" s="1"/>
  <c r="AB1290" i="3" l="1"/>
  <c r="AC1290" i="3" l="1"/>
  <c r="AD1290" i="3"/>
  <c r="AE1290" i="3"/>
  <c r="AF1290" i="3" l="1"/>
  <c r="AG1290" i="3" s="1"/>
  <c r="AB1289" i="3" l="1"/>
  <c r="AD1289" i="3" l="1"/>
  <c r="AE1289" i="3"/>
  <c r="AC1289" i="3"/>
  <c r="AF1289" i="3" l="1"/>
  <c r="AG1289" i="3" s="1"/>
  <c r="AB1288" i="3" l="1"/>
  <c r="AE1288" i="3" l="1"/>
  <c r="AD1288" i="3"/>
  <c r="AF1288" i="3" s="1"/>
  <c r="AG1288" i="3" s="1"/>
  <c r="AC1288" i="3"/>
  <c r="AB1287" i="3" l="1"/>
  <c r="AC1287" i="3" l="1"/>
  <c r="AD1287" i="3"/>
  <c r="AE1287" i="3"/>
  <c r="AF1287" i="3" l="1"/>
  <c r="AG1287" i="3" s="1"/>
  <c r="AB1286" i="3" l="1"/>
  <c r="AE1286" i="3" l="1"/>
  <c r="AC1286" i="3"/>
  <c r="AD1286" i="3"/>
  <c r="AF1286" i="3" s="1"/>
  <c r="AG1286" i="3" l="1"/>
  <c r="AB1285" i="3" l="1"/>
  <c r="AD1285" i="3" l="1"/>
  <c r="AE1285" i="3"/>
  <c r="AC1285" i="3"/>
  <c r="AF1285" i="3" l="1"/>
  <c r="AG1285" i="3" s="1"/>
  <c r="AB1284" i="3" l="1"/>
  <c r="AC1284" i="3" l="1"/>
  <c r="AE1284" i="3"/>
  <c r="AD1284" i="3"/>
  <c r="AF1284" i="3" s="1"/>
  <c r="AG1284" i="3" s="1"/>
  <c r="AB1283" i="3" l="1"/>
  <c r="AE1283" i="3" l="1"/>
  <c r="AC1283" i="3"/>
  <c r="AD1283" i="3"/>
  <c r="AF1283" i="3" s="1"/>
  <c r="AG1283" i="3" s="1"/>
  <c r="AB1282" i="3" l="1"/>
  <c r="AD1282" i="3" l="1"/>
  <c r="AC1282" i="3"/>
  <c r="AE1282" i="3"/>
  <c r="AF1282" i="3" l="1"/>
  <c r="AG1282" i="3" l="1"/>
  <c r="AB1281" i="3" l="1"/>
  <c r="AE1281" i="3" l="1"/>
  <c r="AC1281" i="3"/>
  <c r="AD1281" i="3"/>
  <c r="AF1281" i="3" s="1"/>
  <c r="AG1281" i="3" s="1"/>
  <c r="AB1280" i="3" l="1"/>
  <c r="AC1280" i="3" l="1"/>
  <c r="AD1280" i="3"/>
  <c r="AE1280" i="3"/>
  <c r="AF1280" i="3" l="1"/>
  <c r="AG1280" i="3" s="1"/>
  <c r="AB1279" i="3" l="1"/>
  <c r="AE1279" i="3" l="1"/>
  <c r="AC1279" i="3"/>
  <c r="AD1279" i="3"/>
  <c r="AF1279" i="3" s="1"/>
  <c r="AG1279" i="3" l="1"/>
  <c r="AB1278" i="3" l="1"/>
  <c r="AE1278" i="3" l="1"/>
  <c r="AC1278" i="3"/>
  <c r="AD1278" i="3"/>
  <c r="AF1278" i="3" s="1"/>
  <c r="AG1278" i="3" l="1"/>
  <c r="AB1277" i="3" l="1"/>
  <c r="AE1277" i="3" l="1"/>
  <c r="AC1277" i="3"/>
  <c r="AD1277" i="3"/>
  <c r="AF1277" i="3" s="1"/>
  <c r="AG1277" i="3" s="1"/>
  <c r="AB1276" i="3" l="1"/>
  <c r="AE1276" i="3" l="1"/>
  <c r="AD1276" i="3"/>
  <c r="AF1276" i="3" s="1"/>
  <c r="AC1276" i="3"/>
  <c r="AG1276" i="3" l="1"/>
  <c r="AB1275" i="3" l="1"/>
  <c r="AE1275" i="3" l="1"/>
  <c r="AD1275" i="3"/>
  <c r="AF1275" i="3" s="1"/>
  <c r="AG1275" i="3" s="1"/>
  <c r="AC1275" i="3"/>
  <c r="AB1274" i="3" l="1"/>
  <c r="AC1274" i="3" l="1"/>
  <c r="AD1274" i="3"/>
  <c r="AE1274" i="3"/>
  <c r="AF1274" i="3" l="1"/>
  <c r="AG1274" i="3" s="1"/>
  <c r="AB1273" i="3" l="1"/>
  <c r="AC1273" i="3" l="1"/>
  <c r="AE1273" i="3"/>
  <c r="AD1273" i="3"/>
  <c r="AF1273" i="3" l="1"/>
  <c r="AG1273" i="3" s="1"/>
  <c r="AB1272" i="3" s="1"/>
  <c r="AC1272" i="3" l="1"/>
  <c r="AE1272" i="3"/>
  <c r="AD1272" i="3"/>
  <c r="AF1272" i="3" s="1"/>
  <c r="AG1272" i="3" s="1"/>
  <c r="AB1271" i="3" l="1"/>
  <c r="AE1271" i="3" l="1"/>
  <c r="AD1271" i="3"/>
  <c r="AF1271" i="3" s="1"/>
  <c r="AG1271" i="3" s="1"/>
  <c r="AC1271" i="3"/>
  <c r="AB1270" i="3" l="1"/>
  <c r="AD1270" i="3" l="1"/>
  <c r="AE1270" i="3"/>
  <c r="AC1270" i="3"/>
  <c r="AF1270" i="3" l="1"/>
  <c r="AG1270" i="3" l="1"/>
  <c r="AB1269" i="3" l="1"/>
  <c r="AE1269" i="3" l="1"/>
  <c r="AD1269" i="3"/>
  <c r="AF1269" i="3" s="1"/>
  <c r="AG1269" i="3" s="1"/>
  <c r="AC1269" i="3"/>
  <c r="AB1268" i="3" l="1"/>
  <c r="AE1268" i="3" l="1"/>
  <c r="AC1268" i="3"/>
  <c r="AD1268" i="3"/>
  <c r="AF1268" i="3" s="1"/>
  <c r="AG1268" i="3" s="1"/>
  <c r="AB1267" i="3" l="1"/>
  <c r="AD1267" i="3" l="1"/>
  <c r="AC1267" i="3"/>
  <c r="AE1267" i="3"/>
  <c r="AF1267" i="3" l="1"/>
  <c r="AG1267" i="3" l="1"/>
  <c r="AB1266" i="3" l="1"/>
  <c r="AC1266" i="3" l="1"/>
  <c r="AE1266" i="3"/>
  <c r="AD1266" i="3"/>
  <c r="AF1266" i="3" s="1"/>
  <c r="AG1266" i="3" s="1"/>
  <c r="AB1265" i="3" l="1"/>
  <c r="AC1265" i="3" l="1"/>
  <c r="AD1265" i="3"/>
  <c r="AE1265" i="3"/>
  <c r="AF1265" i="3" l="1"/>
  <c r="AG1265" i="3" s="1"/>
  <c r="AB1264" i="3" l="1"/>
  <c r="AC1264" i="3" l="1"/>
  <c r="AE1264" i="3"/>
  <c r="AD1264" i="3"/>
  <c r="AF1264" i="3" l="1"/>
  <c r="AG1264" i="3" s="1"/>
  <c r="AB1263" i="3" l="1"/>
  <c r="AD1263" i="3" l="1"/>
  <c r="AC1263" i="3"/>
  <c r="AE1263" i="3"/>
  <c r="AF1263" i="3" l="1"/>
  <c r="AG1263" i="3" s="1"/>
  <c r="AB1262" i="3" l="1"/>
  <c r="AD1262" i="3" l="1"/>
  <c r="AE1262" i="3"/>
  <c r="AC1262" i="3"/>
  <c r="AF1262" i="3" l="1"/>
  <c r="AG1262" i="3" s="1"/>
  <c r="AB1261" i="3" l="1"/>
  <c r="AE1261" i="3" l="1"/>
  <c r="AC1261" i="3"/>
  <c r="AD1261" i="3"/>
  <c r="AF1261" i="3" s="1"/>
  <c r="AG1261" i="3" s="1"/>
  <c r="AB1260" i="3" l="1"/>
  <c r="AC1260" i="3" l="1"/>
  <c r="AE1260" i="3"/>
  <c r="AD1260" i="3"/>
  <c r="AF1260" i="3" s="1"/>
  <c r="AG1260" i="3" s="1"/>
  <c r="AB1259" i="3" l="1"/>
  <c r="AD1259" i="3" l="1"/>
  <c r="AC1259" i="3"/>
  <c r="AE1259" i="3"/>
  <c r="AF1259" i="3" l="1"/>
  <c r="AG1259" i="3" s="1"/>
  <c r="AB1258" i="3" l="1"/>
  <c r="AC1258" i="3" l="1"/>
  <c r="AD1258" i="3"/>
  <c r="AE1258" i="3"/>
  <c r="AF1258" i="3" l="1"/>
  <c r="AG1258" i="3" l="1"/>
  <c r="AB1257" i="3" l="1"/>
  <c r="AC1257" i="3" l="1"/>
  <c r="AE1257" i="3"/>
  <c r="AD1257" i="3"/>
  <c r="AF1257" i="3" s="1"/>
  <c r="AG1257" i="3" s="1"/>
  <c r="AB1256" i="3" l="1"/>
  <c r="AD1256" i="3" l="1"/>
  <c r="AE1256" i="3"/>
  <c r="AC1256" i="3"/>
  <c r="AF1256" i="3" l="1"/>
  <c r="AG1256" i="3" l="1"/>
  <c r="AB1255" i="3" l="1"/>
  <c r="AC1255" i="3" l="1"/>
  <c r="AD1255" i="3"/>
  <c r="AE1255" i="3"/>
  <c r="AF1255" i="3" l="1"/>
  <c r="AG1255" i="3" s="1"/>
  <c r="AB1254" i="3" l="1"/>
  <c r="AD1254" i="3" l="1"/>
  <c r="AE1254" i="3"/>
  <c r="AC1254" i="3"/>
  <c r="AF1254" i="3" l="1"/>
  <c r="AG1254" i="3" s="1"/>
  <c r="AB1253" i="3" l="1"/>
  <c r="AE1253" i="3" l="1"/>
  <c r="AD1253" i="3"/>
  <c r="AF1253" i="3" s="1"/>
  <c r="AG1253" i="3" s="1"/>
  <c r="AC1253" i="3"/>
  <c r="AB1252" i="3" l="1"/>
  <c r="AC1252" i="3" l="1"/>
  <c r="AE1252" i="3"/>
  <c r="AD1252" i="3"/>
  <c r="AF1252" i="3" s="1"/>
  <c r="AG1252" i="3" s="1"/>
  <c r="AB1251" i="3" l="1"/>
  <c r="AD1251" i="3" l="1"/>
  <c r="AC1251" i="3"/>
  <c r="AE1251" i="3"/>
  <c r="AF1251" i="3" l="1"/>
  <c r="AG1251" i="3" s="1"/>
  <c r="AB1250" i="3" l="1"/>
  <c r="AC1250" i="3" l="1"/>
  <c r="AD1250" i="3"/>
  <c r="AE1250" i="3"/>
  <c r="AF1250" i="3" l="1"/>
  <c r="AG1250" i="3" s="1"/>
  <c r="AB1249" i="3" l="1"/>
  <c r="AE1249" i="3" l="1"/>
  <c r="AC1249" i="3"/>
  <c r="AD1249" i="3"/>
  <c r="AF1249" i="3" l="1"/>
  <c r="AG1249" i="3" s="1"/>
  <c r="AB1248" i="3" l="1"/>
  <c r="AE1248" i="3" l="1"/>
  <c r="AC1248" i="3"/>
  <c r="AD1248" i="3"/>
  <c r="AF1248" i="3" s="1"/>
  <c r="AG1248" i="3" s="1"/>
  <c r="AB1247" i="3" l="1"/>
  <c r="AC1247" i="3" l="1"/>
  <c r="AE1247" i="3"/>
  <c r="AD1247" i="3"/>
  <c r="AF1247" i="3" s="1"/>
  <c r="AG1247" i="3" s="1"/>
  <c r="AB1246" i="3" l="1"/>
  <c r="AE1246" i="3" l="1"/>
  <c r="AC1246" i="3"/>
  <c r="AD1246" i="3"/>
  <c r="AF1246" i="3" s="1"/>
  <c r="AG1246" i="3" s="1"/>
  <c r="AB1245" i="3" l="1"/>
  <c r="AE1245" i="3" l="1"/>
  <c r="AD1245" i="3"/>
  <c r="AF1245" i="3" s="1"/>
  <c r="AG1245" i="3" s="1"/>
  <c r="AC1245" i="3"/>
  <c r="AB1244" i="3" l="1"/>
  <c r="AE1244" i="3" l="1"/>
  <c r="AC1244" i="3"/>
  <c r="AD1244" i="3"/>
  <c r="AF1244" i="3" s="1"/>
  <c r="AG1244" i="3" s="1"/>
  <c r="AB1243" i="3" l="1"/>
  <c r="AC1243" i="3" l="1"/>
  <c r="AE1243" i="3"/>
  <c r="AD1243" i="3"/>
  <c r="AF1243" i="3" s="1"/>
  <c r="AG1243" i="3" l="1"/>
  <c r="AB1242" i="3" l="1"/>
  <c r="AD1242" i="3" l="1"/>
  <c r="AC1242" i="3"/>
  <c r="AE1242" i="3"/>
  <c r="AF1242" i="3" l="1"/>
  <c r="AG1242" i="3" s="1"/>
  <c r="AB1241" i="3" l="1"/>
  <c r="AE1241" i="3" l="1"/>
  <c r="AC1241" i="3"/>
  <c r="AD1241" i="3"/>
  <c r="AF1241" i="3" l="1"/>
  <c r="AG1241" i="3" s="1"/>
  <c r="AB1240" i="3" l="1"/>
  <c r="AC1240" i="3" l="1"/>
  <c r="AE1240" i="3"/>
  <c r="AD1240" i="3"/>
  <c r="AF1240" i="3" s="1"/>
  <c r="AG1240" i="3" s="1"/>
  <c r="AB1239" i="3" l="1"/>
  <c r="AE1239" i="3" l="1"/>
  <c r="AC1239" i="3"/>
  <c r="AD1239" i="3"/>
  <c r="AF1239" i="3" s="1"/>
  <c r="AG1239" i="3" s="1"/>
  <c r="AB1238" i="3" l="1"/>
  <c r="AE1238" i="3" l="1"/>
  <c r="AD1238" i="3"/>
  <c r="AF1238" i="3" s="1"/>
  <c r="AG1238" i="3" s="1"/>
  <c r="AC1238" i="3"/>
  <c r="AB1237" i="3" l="1"/>
  <c r="AE1237" i="3" l="1"/>
  <c r="AD1237" i="3"/>
  <c r="AF1237" i="3" s="1"/>
  <c r="AG1237" i="3" s="1"/>
  <c r="AC1237" i="3"/>
  <c r="AB1236" i="3" l="1"/>
  <c r="AD1236" i="3" l="1"/>
  <c r="AC1236" i="3"/>
  <c r="AE1236" i="3"/>
  <c r="AF1236" i="3" l="1"/>
  <c r="AG1236" i="3" s="1"/>
  <c r="AB1235" i="3" l="1"/>
  <c r="AC1235" i="3" l="1"/>
  <c r="AD1235" i="3"/>
  <c r="AE1235" i="3"/>
  <c r="AF1235" i="3" l="1"/>
  <c r="AG1235" i="3" s="1"/>
  <c r="AB1234" i="3" l="1"/>
  <c r="AD1234" i="3" l="1"/>
  <c r="AC1234" i="3"/>
  <c r="AE1234" i="3"/>
  <c r="AF1234" i="3" l="1"/>
  <c r="AG1234" i="3" s="1"/>
  <c r="AB1233" i="3" l="1"/>
  <c r="AD1233" i="3" l="1"/>
  <c r="AC1233" i="3"/>
  <c r="AE1233" i="3"/>
  <c r="AF1233" i="3" l="1"/>
  <c r="AG1233" i="3" s="1"/>
  <c r="AB1232" i="3" l="1"/>
  <c r="AD1232" i="3" l="1"/>
  <c r="AC1232" i="3"/>
  <c r="AE1232" i="3"/>
  <c r="AF1232" i="3" l="1"/>
  <c r="AG1232" i="3" s="1"/>
  <c r="AB1231" i="3" l="1"/>
  <c r="AC1231" i="3" l="1"/>
  <c r="AE1231" i="3"/>
  <c r="AD1231" i="3"/>
  <c r="AF1231" i="3" s="1"/>
  <c r="AG1231" i="3" s="1"/>
  <c r="AB1230" i="3" l="1"/>
  <c r="AD1230" i="3" l="1"/>
  <c r="AC1230" i="3"/>
  <c r="AE1230" i="3"/>
  <c r="AF1230" i="3" l="1"/>
  <c r="AG1230" i="3" s="1"/>
  <c r="AB1229" i="3" l="1"/>
  <c r="AE1229" i="3" l="1"/>
  <c r="AD1229" i="3"/>
  <c r="AF1229" i="3" s="1"/>
  <c r="AG1229" i="3" s="1"/>
  <c r="AC1229" i="3"/>
  <c r="AB1228" i="3" l="1"/>
  <c r="AD1228" i="3" l="1"/>
  <c r="AE1228" i="3"/>
  <c r="AC1228" i="3"/>
  <c r="AF1228" i="3" l="1"/>
  <c r="AG1228" i="3" s="1"/>
  <c r="AB1227" i="3" l="1"/>
  <c r="AD1227" i="3" l="1"/>
  <c r="AC1227" i="3"/>
  <c r="AE1227" i="3"/>
  <c r="AF1227" i="3" l="1"/>
  <c r="AG1227" i="3" s="1"/>
  <c r="AB1226" i="3" l="1"/>
  <c r="AC1226" i="3" l="1"/>
  <c r="AD1226" i="3"/>
  <c r="AE1226" i="3"/>
  <c r="AF1226" i="3" l="1"/>
  <c r="AG1226" i="3" s="1"/>
  <c r="AB1225" i="3" l="1"/>
  <c r="AC1225" i="3" l="1"/>
  <c r="AD1225" i="3"/>
  <c r="AE1225" i="3"/>
  <c r="AF1225" i="3" l="1"/>
  <c r="AG1225" i="3" s="1"/>
  <c r="AB1224" i="3" l="1"/>
  <c r="AC1224" i="3" l="1"/>
  <c r="AD1224" i="3"/>
  <c r="AE1224" i="3"/>
  <c r="AF1224" i="3" l="1"/>
  <c r="AG1224" i="3" s="1"/>
  <c r="AB1223" i="3" l="1"/>
  <c r="AD1223" i="3" l="1"/>
  <c r="AE1223" i="3"/>
  <c r="AC1223" i="3"/>
  <c r="AF1223" i="3" l="1"/>
  <c r="AG1223" i="3" s="1"/>
  <c r="AB1222" i="3" l="1"/>
  <c r="AE1222" i="3" l="1"/>
  <c r="AD1222" i="3"/>
  <c r="AF1222" i="3" s="1"/>
  <c r="AG1222" i="3" s="1"/>
  <c r="AC1222" i="3"/>
  <c r="AB1221" i="3" l="1"/>
  <c r="AE1221" i="3" l="1"/>
  <c r="AD1221" i="3"/>
  <c r="AF1221" i="3" s="1"/>
  <c r="AG1221" i="3" s="1"/>
  <c r="AC1221" i="3"/>
  <c r="AB1220" i="3" l="1"/>
  <c r="AC1220" i="3" l="1"/>
  <c r="AE1220" i="3"/>
  <c r="AD1220" i="3"/>
  <c r="AF1220" i="3" s="1"/>
  <c r="AG1220" i="3" s="1"/>
  <c r="AB1219" i="3" l="1"/>
  <c r="AC1219" i="3" l="1"/>
  <c r="AE1219" i="3"/>
  <c r="AD1219" i="3"/>
  <c r="AF1219" i="3" s="1"/>
  <c r="AG1219" i="3" s="1"/>
  <c r="AB1218" i="3" l="1"/>
  <c r="AC1218" i="3" l="1"/>
  <c r="AD1218" i="3"/>
  <c r="AE1218" i="3"/>
  <c r="AF1218" i="3" l="1"/>
  <c r="AG1218" i="3" s="1"/>
  <c r="AB1217" i="3" l="1"/>
  <c r="AE1217" i="3" l="1"/>
  <c r="AC1217" i="3"/>
  <c r="AD1217" i="3"/>
  <c r="AF1217" i="3" s="1"/>
  <c r="AG1217" i="3" s="1"/>
  <c r="AB1216" i="3" l="1"/>
  <c r="AD1216" i="3" l="1"/>
  <c r="AE1216" i="3"/>
  <c r="AC1216" i="3"/>
  <c r="AF1216" i="3" l="1"/>
  <c r="AG1216" i="3" s="1"/>
  <c r="AB1215" i="3" l="1"/>
  <c r="AC1215" i="3" l="1"/>
  <c r="AE1215" i="3"/>
  <c r="AD1215" i="3"/>
  <c r="AF1215" i="3" s="1"/>
  <c r="AG1215" i="3" s="1"/>
  <c r="AB1214" i="3" l="1"/>
  <c r="AD1214" i="3" l="1"/>
  <c r="AC1214" i="3"/>
  <c r="AE1214" i="3"/>
  <c r="AF1214" i="3" l="1"/>
  <c r="AG1214" i="3" s="1"/>
  <c r="AB1213" i="3" l="1"/>
  <c r="AE1213" i="3" l="1"/>
  <c r="AD1213" i="3"/>
  <c r="AC1213" i="3"/>
  <c r="AF1213" i="3" l="1"/>
  <c r="AG1213" i="3" s="1"/>
  <c r="AB1212" i="3"/>
  <c r="AE1212" i="3" l="1"/>
  <c r="AC1212" i="3"/>
  <c r="AD1212" i="3"/>
  <c r="AF1212" i="3" l="1"/>
  <c r="AG1212" i="3" l="1"/>
  <c r="AB1211" i="3" l="1"/>
  <c r="AD1211" i="3" l="1"/>
  <c r="AC1211" i="3"/>
  <c r="AE1211" i="3"/>
  <c r="AF1211" i="3" l="1"/>
  <c r="AG1211" i="3" s="1"/>
  <c r="AB1210" i="3"/>
  <c r="AD1210" i="3" l="1"/>
  <c r="AC1210" i="3"/>
  <c r="AE1210" i="3"/>
  <c r="AF1210" i="3" l="1"/>
  <c r="AG1210" i="3" s="1"/>
  <c r="AB1209" i="3" l="1"/>
  <c r="AC1209" i="3" l="1"/>
  <c r="AE1209" i="3"/>
  <c r="AD1209" i="3"/>
  <c r="AF1209" i="3" s="1"/>
  <c r="AG1209" i="3" s="1"/>
  <c r="AB1208" i="3" l="1"/>
  <c r="AD1208" i="3" l="1"/>
  <c r="AC1208" i="3"/>
  <c r="AE1208" i="3"/>
  <c r="AF1208" i="3" l="1"/>
  <c r="AG1208" i="3" s="1"/>
  <c r="AB1207" i="3" l="1"/>
  <c r="AC1207" i="3" l="1"/>
  <c r="AD1207" i="3"/>
  <c r="AE1207" i="3"/>
  <c r="AF1207" i="3" l="1"/>
  <c r="AG1207" i="3" l="1"/>
  <c r="AB1206" i="3" l="1"/>
  <c r="AD1206" i="3" l="1"/>
  <c r="AC1206" i="3"/>
  <c r="AE1206" i="3"/>
  <c r="AF1206" i="3" l="1"/>
  <c r="AG1206" i="3" s="1"/>
  <c r="AB1205" i="3" l="1"/>
  <c r="AD1205" i="3" l="1"/>
  <c r="AE1205" i="3"/>
  <c r="AC1205" i="3"/>
  <c r="AF1205" i="3" l="1"/>
  <c r="AG1205" i="3" s="1"/>
  <c r="AB1204" i="3" l="1"/>
  <c r="AD1204" i="3" l="1"/>
  <c r="AC1204" i="3"/>
  <c r="AE1204" i="3"/>
  <c r="AF1204" i="3" l="1"/>
  <c r="AG1204" i="3" s="1"/>
  <c r="AB1203" i="3" l="1"/>
  <c r="AD1203" i="3" l="1"/>
  <c r="AE1203" i="3"/>
  <c r="AC1203" i="3"/>
  <c r="AF1203" i="3" l="1"/>
  <c r="AG1203" i="3" s="1"/>
  <c r="AB1202" i="3" l="1"/>
  <c r="AD1202" i="3" l="1"/>
  <c r="AE1202" i="3"/>
  <c r="AC1202" i="3"/>
  <c r="AF1202" i="3" l="1"/>
  <c r="AG1202" i="3" s="1"/>
  <c r="AB1201" i="3" l="1"/>
  <c r="AC1201" i="3" l="1"/>
  <c r="AD1201" i="3"/>
  <c r="AE1201" i="3"/>
  <c r="AF1201" i="3" l="1"/>
  <c r="AG1201" i="3" s="1"/>
  <c r="AB1200" i="3" l="1"/>
  <c r="AD1200" i="3" l="1"/>
  <c r="AC1200" i="3"/>
  <c r="AE1200" i="3"/>
  <c r="AF1200" i="3" l="1"/>
  <c r="AG1200" i="3" s="1"/>
  <c r="AB1199" i="3" s="1"/>
  <c r="AC1199" i="3" l="1"/>
  <c r="AD1199" i="3"/>
  <c r="AE1199" i="3"/>
  <c r="AF1199" i="3" l="1"/>
  <c r="AG1199" i="3" s="1"/>
  <c r="AB1198" i="3" l="1"/>
  <c r="AD1198" i="3" l="1"/>
  <c r="AC1198" i="3"/>
  <c r="AE1198" i="3"/>
  <c r="AF1198" i="3" l="1"/>
  <c r="AG1198" i="3" s="1"/>
  <c r="AB1197" i="3" l="1"/>
  <c r="AD1197" i="3" l="1"/>
  <c r="AC1197" i="3"/>
  <c r="AE1197" i="3"/>
  <c r="AF1197" i="3" l="1"/>
  <c r="AG1197" i="3" s="1"/>
  <c r="AB1196" i="3" l="1"/>
  <c r="AE1196" i="3" l="1"/>
  <c r="AC1196" i="3"/>
  <c r="AD1196" i="3"/>
  <c r="AF1196" i="3" s="1"/>
  <c r="AG1196" i="3" s="1"/>
  <c r="AB1195" i="3" l="1"/>
  <c r="AD1195" i="3" l="1"/>
  <c r="AE1195" i="3"/>
  <c r="AC1195" i="3"/>
  <c r="AF1195" i="3" l="1"/>
  <c r="AG1195" i="3" s="1"/>
  <c r="AB1194" i="3" l="1"/>
  <c r="AC1194" i="3" l="1"/>
  <c r="AD1194" i="3"/>
  <c r="AE1194" i="3"/>
  <c r="AF1194" i="3" l="1"/>
  <c r="AG1194" i="3" s="1"/>
  <c r="AB1193" i="3" l="1"/>
  <c r="AC1193" i="3" l="1"/>
  <c r="AD1193" i="3"/>
  <c r="AE1193" i="3"/>
  <c r="AF1193" i="3" l="1"/>
  <c r="AG1193" i="3" s="1"/>
  <c r="AB1192" i="3" l="1"/>
  <c r="AD1192" i="3" l="1"/>
  <c r="AE1192" i="3"/>
  <c r="AC1192" i="3"/>
  <c r="AF1192" i="3" l="1"/>
  <c r="AG1192" i="3" s="1"/>
  <c r="AB1191" i="3" l="1"/>
  <c r="AC1191" i="3" l="1"/>
  <c r="AE1191" i="3"/>
  <c r="AD1191" i="3"/>
  <c r="AF1191" i="3" s="1"/>
  <c r="AG1191" i="3" s="1"/>
  <c r="AB1190" i="3" l="1"/>
  <c r="AE1190" i="3" l="1"/>
  <c r="AD1190" i="3"/>
  <c r="AF1190" i="3" s="1"/>
  <c r="AG1190" i="3" s="1"/>
  <c r="AC1190" i="3"/>
  <c r="AB1189" i="3" l="1"/>
  <c r="AC1189" i="3" l="1"/>
  <c r="AE1189" i="3"/>
  <c r="AD1189" i="3"/>
  <c r="AF1189" i="3" s="1"/>
  <c r="AG1189" i="3" s="1"/>
  <c r="AB1188" i="3" l="1"/>
  <c r="AE1188" i="3" l="1"/>
  <c r="AD1188" i="3"/>
  <c r="AF1188" i="3" s="1"/>
  <c r="AG1188" i="3" s="1"/>
  <c r="AC1188" i="3"/>
  <c r="AB1187" i="3" l="1"/>
  <c r="AD1187" i="3" l="1"/>
  <c r="AC1187" i="3"/>
  <c r="AE1187" i="3"/>
  <c r="AF1187" i="3" l="1"/>
  <c r="AG1187" i="3" s="1"/>
  <c r="AB1186" i="3" l="1"/>
  <c r="AC1186" i="3" l="1"/>
  <c r="AE1186" i="3"/>
  <c r="AD1186" i="3"/>
  <c r="AF1186" i="3" s="1"/>
  <c r="AG1186" i="3" l="1"/>
  <c r="AB1185" i="3" l="1"/>
  <c r="AE1185" i="3" l="1"/>
  <c r="AC1185" i="3"/>
  <c r="AD1185" i="3"/>
  <c r="AF1185" i="3" s="1"/>
  <c r="AG1185" i="3" s="1"/>
  <c r="AB1184" i="3" l="1"/>
  <c r="AD1184" i="3" l="1"/>
  <c r="AC1184" i="3"/>
  <c r="AE1184" i="3"/>
  <c r="AF1184" i="3" l="1"/>
  <c r="AG1184" i="3" s="1"/>
  <c r="AB1183" i="3" l="1"/>
  <c r="AD1183" i="3" l="1"/>
  <c r="AC1183" i="3"/>
  <c r="AE1183" i="3"/>
  <c r="AF1183" i="3" l="1"/>
  <c r="AG1183" i="3" s="1"/>
  <c r="AB1182" i="3" l="1"/>
  <c r="AE1182" i="3" l="1"/>
  <c r="AD1182" i="3"/>
  <c r="AF1182" i="3" s="1"/>
  <c r="AG1182" i="3" s="1"/>
  <c r="AC1182" i="3"/>
  <c r="AB1181" i="3" l="1"/>
  <c r="AE1181" i="3" l="1"/>
  <c r="AD1181" i="3"/>
  <c r="AF1181" i="3" s="1"/>
  <c r="AG1181" i="3" s="1"/>
  <c r="AC1181" i="3"/>
  <c r="AB1180" i="3" l="1"/>
  <c r="AD1180" i="3" l="1"/>
  <c r="AC1180" i="3"/>
  <c r="AE1180" i="3"/>
  <c r="AF1180" i="3" l="1"/>
  <c r="AG1180" i="3" s="1"/>
  <c r="AB1179" i="3" l="1"/>
  <c r="AD1179" i="3" l="1"/>
  <c r="AE1179" i="3"/>
  <c r="AC1179" i="3"/>
  <c r="AF1179" i="3" l="1"/>
  <c r="AG1179" i="3" s="1"/>
  <c r="AB1178" i="3" l="1"/>
  <c r="AC1178" i="3" l="1"/>
  <c r="AE1178" i="3"/>
  <c r="AD1178" i="3"/>
  <c r="AF1178" i="3" s="1"/>
  <c r="AG1178" i="3" s="1"/>
  <c r="AB1177" i="3" l="1"/>
  <c r="AC1177" i="3" l="1"/>
  <c r="AE1177" i="3"/>
  <c r="AD1177" i="3"/>
  <c r="AF1177" i="3" s="1"/>
  <c r="AG1177" i="3" s="1"/>
  <c r="AB1176" i="3" l="1"/>
  <c r="AC1176" i="3" l="1"/>
  <c r="AE1176" i="3"/>
  <c r="AD1176" i="3"/>
  <c r="AF1176" i="3" l="1"/>
  <c r="AG1176" i="3" s="1"/>
  <c r="AB1175" i="3"/>
  <c r="AD1175" i="3" l="1"/>
  <c r="AC1175" i="3"/>
  <c r="AE1175" i="3"/>
  <c r="AF1175" i="3" l="1"/>
  <c r="AG1175" i="3" s="1"/>
  <c r="AB1174" i="3" l="1"/>
  <c r="AD1174" i="3" l="1"/>
  <c r="AE1174" i="3"/>
  <c r="AC1174" i="3"/>
  <c r="AF1174" i="3" l="1"/>
  <c r="AG1174" i="3" s="1"/>
  <c r="AB1173" i="3" l="1"/>
  <c r="AE1173" i="3" l="1"/>
  <c r="AD1173" i="3"/>
  <c r="AF1173" i="3" s="1"/>
  <c r="AC1173" i="3"/>
  <c r="AG1173" i="3" l="1"/>
  <c r="AB1172" i="3" l="1"/>
  <c r="AE1172" i="3" l="1"/>
  <c r="AD1172" i="3"/>
  <c r="AC1172" i="3"/>
  <c r="AF1172" i="3" l="1"/>
  <c r="AG1172" i="3" s="1"/>
  <c r="AB1171" i="3"/>
  <c r="AE1171" i="3" l="1"/>
  <c r="AC1171" i="3"/>
  <c r="AD1171" i="3"/>
  <c r="AF1171" i="3" s="1"/>
  <c r="AG1171" i="3" s="1"/>
  <c r="AB1170" i="3" l="1"/>
  <c r="AD1170" i="3" l="1"/>
  <c r="AC1170" i="3"/>
  <c r="AE1170" i="3"/>
  <c r="AF1170" i="3" l="1"/>
  <c r="AG1170" i="3" s="1"/>
  <c r="AB1169" i="3" l="1"/>
  <c r="AC1169" i="3" l="1"/>
  <c r="AE1169" i="3"/>
  <c r="AD1169" i="3"/>
  <c r="AF1169" i="3" s="1"/>
  <c r="AG1169" i="3" s="1"/>
  <c r="AB1168" i="3" l="1"/>
  <c r="AE1168" i="3" l="1"/>
  <c r="AC1168" i="3"/>
  <c r="AD1168" i="3"/>
  <c r="AF1168" i="3" s="1"/>
  <c r="AG1168" i="3" s="1"/>
  <c r="AB1167" i="3" l="1"/>
  <c r="AD1167" i="3" l="1"/>
  <c r="AE1167" i="3"/>
  <c r="AC1167" i="3"/>
  <c r="AF1167" i="3" l="1"/>
  <c r="AG1167" i="3" s="1"/>
  <c r="AB1166" i="3" l="1"/>
  <c r="AE1166" i="3" l="1"/>
  <c r="AD1166" i="3"/>
  <c r="AF1166" i="3" s="1"/>
  <c r="AG1166" i="3" s="1"/>
  <c r="AC1166" i="3"/>
  <c r="AB1165" i="3" l="1"/>
  <c r="AE1165" i="3" l="1"/>
  <c r="AC1165" i="3"/>
  <c r="AD1165" i="3"/>
  <c r="AF1165" i="3" s="1"/>
  <c r="AG1165" i="3" s="1"/>
  <c r="AB1164" i="3" l="1"/>
  <c r="AE1164" i="3" l="1"/>
  <c r="AD1164" i="3"/>
  <c r="AF1164" i="3" s="1"/>
  <c r="AG1164" i="3" s="1"/>
  <c r="AC1164" i="3"/>
  <c r="AB1163" i="3" l="1"/>
  <c r="AE1163" i="3" l="1"/>
  <c r="AD1163" i="3"/>
  <c r="AF1163" i="3" s="1"/>
  <c r="AG1163" i="3" s="1"/>
  <c r="AC1163" i="3"/>
  <c r="AB1162" i="3" l="1"/>
  <c r="AE1162" i="3" l="1"/>
  <c r="AD1162" i="3"/>
  <c r="AF1162" i="3" s="1"/>
  <c r="AG1162" i="3" s="1"/>
  <c r="AC1162" i="3"/>
  <c r="AB1161" i="3" l="1"/>
  <c r="AE1161" i="3" l="1"/>
  <c r="AC1161" i="3"/>
  <c r="AD1161" i="3"/>
  <c r="AF1161" i="3" s="1"/>
  <c r="AG1161" i="3" l="1"/>
  <c r="AB1160" i="3" l="1"/>
  <c r="AD1160" i="3" l="1"/>
  <c r="AE1160" i="3"/>
  <c r="AC1160" i="3"/>
  <c r="AF1160" i="3" l="1"/>
  <c r="AG1160" i="3" s="1"/>
  <c r="AB1159" i="3" l="1"/>
  <c r="AE1159" i="3" l="1"/>
  <c r="AD1159" i="3"/>
  <c r="AF1159" i="3" s="1"/>
  <c r="AG1159" i="3" s="1"/>
  <c r="AC1159" i="3"/>
  <c r="AB1158" i="3" l="1"/>
  <c r="AE1158" i="3" l="1"/>
  <c r="AD1158" i="3"/>
  <c r="AF1158" i="3" s="1"/>
  <c r="AG1158" i="3" s="1"/>
  <c r="AC1158" i="3"/>
  <c r="AB1157" i="3" l="1"/>
  <c r="AC1157" i="3" l="1"/>
  <c r="AE1157" i="3"/>
  <c r="AD1157" i="3"/>
  <c r="AF1157" i="3" s="1"/>
  <c r="AG1157" i="3" s="1"/>
  <c r="AB1156" i="3" l="1"/>
  <c r="AE1156" i="3" l="1"/>
  <c r="AC1156" i="3"/>
  <c r="AD1156" i="3"/>
  <c r="AF1156" i="3" s="1"/>
  <c r="AG1156" i="3" s="1"/>
  <c r="AB1155" i="3" l="1"/>
  <c r="AE1155" i="3" l="1"/>
  <c r="AC1155" i="3"/>
  <c r="AD1155" i="3"/>
  <c r="AF1155" i="3" s="1"/>
  <c r="AG1155" i="3" l="1"/>
  <c r="AB1154" i="3" l="1"/>
  <c r="AC1154" i="3" l="1"/>
  <c r="AD1154" i="3"/>
  <c r="AE1154" i="3"/>
  <c r="AF1154" i="3" l="1"/>
  <c r="AG1154" i="3" s="1"/>
  <c r="AB1153" i="3" l="1"/>
  <c r="AE1153" i="3" l="1"/>
  <c r="AC1153" i="3"/>
  <c r="AD1153" i="3"/>
  <c r="AF1153" i="3" s="1"/>
  <c r="AG1153" i="3" s="1"/>
  <c r="AB1152" i="3" l="1"/>
  <c r="AC1152" i="3" l="1"/>
  <c r="AE1152" i="3"/>
  <c r="AD1152" i="3"/>
  <c r="AF1152" i="3" s="1"/>
  <c r="AG1152" i="3" s="1"/>
  <c r="AB1151" i="3" l="1"/>
  <c r="AD1151" i="3" l="1"/>
  <c r="AE1151" i="3"/>
  <c r="AC1151" i="3"/>
  <c r="AF1151" i="3" l="1"/>
  <c r="AG1151" i="3" s="1"/>
  <c r="AB1150" i="3" l="1"/>
  <c r="AE1150" i="3" l="1"/>
  <c r="AD1150" i="3"/>
  <c r="AF1150" i="3" s="1"/>
  <c r="AG1150" i="3" s="1"/>
  <c r="AC1150" i="3"/>
  <c r="AB1149" i="3" l="1"/>
  <c r="AE1149" i="3" l="1"/>
  <c r="AD1149" i="3"/>
  <c r="AF1149" i="3" s="1"/>
  <c r="AG1149" i="3" s="1"/>
  <c r="AC1149" i="3"/>
  <c r="AB1148" i="3" l="1"/>
  <c r="AE1148" i="3" l="1"/>
  <c r="AD1148" i="3"/>
  <c r="AF1148" i="3" s="1"/>
  <c r="AG1148" i="3" s="1"/>
  <c r="AC1148" i="3"/>
  <c r="AB1147" i="3" l="1"/>
  <c r="AE1147" i="3" l="1"/>
  <c r="AC1147" i="3"/>
  <c r="AD1147" i="3"/>
  <c r="AF1147" i="3" s="1"/>
  <c r="AG1147" i="3" s="1"/>
  <c r="AB1146" i="3" l="1"/>
  <c r="AD1146" i="3" l="1"/>
  <c r="AC1146" i="3"/>
  <c r="AE1146" i="3"/>
  <c r="AF1146" i="3" l="1"/>
  <c r="AG1146" i="3" s="1"/>
  <c r="AB1145" i="3" l="1"/>
  <c r="AC1145" i="3" l="1"/>
  <c r="AD1145" i="3"/>
  <c r="AE1145" i="3"/>
  <c r="AF1145" i="3" l="1"/>
  <c r="AG1145" i="3" s="1"/>
  <c r="AB1144" i="3" l="1"/>
  <c r="AE1144" i="3" l="1"/>
  <c r="AD1144" i="3"/>
  <c r="AF1144" i="3" s="1"/>
  <c r="AG1144" i="3" s="1"/>
  <c r="AC1144" i="3"/>
  <c r="AB1143" i="3" l="1"/>
  <c r="AE1143" i="3" l="1"/>
  <c r="AC1143" i="3"/>
  <c r="AD1143" i="3"/>
  <c r="AF1143" i="3" s="1"/>
  <c r="AG1143" i="3" s="1"/>
  <c r="AB1142" i="3" l="1"/>
  <c r="AD1142" i="3" l="1"/>
  <c r="AE1142" i="3"/>
  <c r="AC1142" i="3"/>
  <c r="AF1142" i="3" l="1"/>
  <c r="AG1142" i="3" l="1"/>
  <c r="AB1141" i="3" l="1"/>
  <c r="AE1141" i="3" l="1"/>
  <c r="AC1141" i="3"/>
  <c r="AD1141" i="3"/>
  <c r="AF1141" i="3" s="1"/>
  <c r="AG1141" i="3" s="1"/>
  <c r="AB1140" i="3" l="1"/>
  <c r="AE1140" i="3" l="1"/>
  <c r="AD1140" i="3"/>
  <c r="AF1140" i="3" s="1"/>
  <c r="AG1140" i="3" s="1"/>
  <c r="AC1140" i="3"/>
  <c r="AB1139" i="3" l="1"/>
  <c r="AE1139" i="3" l="1"/>
  <c r="AD1139" i="3"/>
  <c r="AF1139" i="3" s="1"/>
  <c r="AG1139" i="3" s="1"/>
  <c r="AC1139" i="3"/>
  <c r="AB1138" i="3" l="1"/>
  <c r="AC1138" i="3" l="1"/>
  <c r="AD1138" i="3"/>
  <c r="AE1138" i="3"/>
  <c r="AF1138" i="3" l="1"/>
  <c r="AG1138" i="3" s="1"/>
  <c r="AB1137" i="3" l="1"/>
  <c r="AC1137" i="3" l="1"/>
  <c r="AD1137" i="3"/>
  <c r="AE1137" i="3"/>
  <c r="AF1137" i="3" l="1"/>
  <c r="AG1137" i="3" s="1"/>
  <c r="AB1136" i="3" l="1"/>
  <c r="AE1136" i="3" l="1"/>
  <c r="AD1136" i="3"/>
  <c r="AF1136" i="3" s="1"/>
  <c r="AG1136" i="3" s="1"/>
  <c r="AC1136" i="3"/>
  <c r="AB1135" i="3" l="1"/>
  <c r="AE1135" i="3" l="1"/>
  <c r="AD1135" i="3"/>
  <c r="AF1135" i="3" s="1"/>
  <c r="AG1135" i="3" s="1"/>
  <c r="AC1135" i="3"/>
  <c r="AB1134" i="3" l="1"/>
  <c r="AE1134" i="3" l="1"/>
  <c r="AC1134" i="3"/>
  <c r="AD1134" i="3"/>
  <c r="AF1134" i="3" s="1"/>
  <c r="AG1134" i="3" s="1"/>
  <c r="AB1133" i="3" l="1"/>
  <c r="AD1133" i="3" l="1"/>
  <c r="AE1133" i="3"/>
  <c r="AC1133" i="3"/>
  <c r="AF1133" i="3" l="1"/>
  <c r="AG1133" i="3" s="1"/>
  <c r="AB1132" i="3" l="1"/>
  <c r="AE1132" i="3" l="1"/>
  <c r="AC1132" i="3"/>
  <c r="AD1132" i="3"/>
  <c r="AF1132" i="3" s="1"/>
  <c r="AG1132" i="3" s="1"/>
  <c r="AB1131" i="3" l="1"/>
  <c r="AD1131" i="3" l="1"/>
  <c r="AE1131" i="3"/>
  <c r="AC1131" i="3"/>
  <c r="AF1131" i="3" l="1"/>
  <c r="AG1131" i="3" s="1"/>
  <c r="AB1130" i="3" l="1"/>
  <c r="AD1130" i="3" l="1"/>
  <c r="AC1130" i="3"/>
  <c r="AE1130" i="3"/>
  <c r="AF1130" i="3" l="1"/>
  <c r="AG1130" i="3" s="1"/>
  <c r="AB1129" i="3" l="1"/>
  <c r="AD1129" i="3" l="1"/>
  <c r="AC1129" i="3"/>
  <c r="AE1129" i="3"/>
  <c r="AF1129" i="3" l="1"/>
  <c r="AG1129" i="3" s="1"/>
  <c r="AB1128" i="3" l="1"/>
  <c r="AD1128" i="3" l="1"/>
  <c r="AE1128" i="3"/>
  <c r="AC1128" i="3"/>
  <c r="AF1128" i="3" l="1"/>
  <c r="AG1128" i="3" s="1"/>
  <c r="AB1127" i="3" l="1"/>
  <c r="AD1127" i="3" l="1"/>
  <c r="AE1127" i="3"/>
  <c r="AC1127" i="3"/>
  <c r="AF1127" i="3" l="1"/>
  <c r="AG1127" i="3" s="1"/>
  <c r="AB1126" i="3" l="1"/>
  <c r="AD1126" i="3" l="1"/>
  <c r="AE1126" i="3"/>
  <c r="AC1126" i="3"/>
  <c r="AF1126" i="3" l="1"/>
  <c r="AG1126" i="3" s="1"/>
  <c r="AB1125" i="3" l="1"/>
  <c r="AE1125" i="3" l="1"/>
  <c r="AC1125" i="3"/>
  <c r="AD1125" i="3"/>
  <c r="AF1125" i="3" s="1"/>
  <c r="AG1125" i="3" s="1"/>
  <c r="AB1124" i="3" l="1"/>
  <c r="AE1124" i="3" l="1"/>
  <c r="AD1124" i="3"/>
  <c r="AF1124" i="3" s="1"/>
  <c r="AG1124" i="3" s="1"/>
  <c r="AC1124" i="3"/>
  <c r="AB1123" i="3" l="1"/>
  <c r="AD1123" i="3" l="1"/>
  <c r="AC1123" i="3"/>
  <c r="AE1123" i="3"/>
  <c r="AF1123" i="3" l="1"/>
  <c r="AG1123" i="3" s="1"/>
  <c r="AB1122" i="3" l="1"/>
  <c r="AC1122" i="3" l="1"/>
  <c r="AE1122" i="3"/>
  <c r="AD1122" i="3"/>
  <c r="AF1122" i="3" s="1"/>
  <c r="AG1122" i="3" s="1"/>
  <c r="AB1121" i="3" l="1"/>
  <c r="AC1121" i="3" l="1"/>
  <c r="AD1121" i="3"/>
  <c r="AE1121" i="3"/>
  <c r="AF1121" i="3" l="1"/>
  <c r="AG1121" i="3" s="1"/>
  <c r="AB1120" i="3" l="1"/>
  <c r="AE1120" i="3" l="1"/>
  <c r="AD1120" i="3"/>
  <c r="AF1120" i="3" s="1"/>
  <c r="AC1120" i="3"/>
  <c r="AG1120" i="3" l="1"/>
  <c r="AB1119" i="3" l="1"/>
  <c r="AD1119" i="3" l="1"/>
  <c r="AE1119" i="3"/>
  <c r="AC1119" i="3"/>
  <c r="AF1119" i="3" l="1"/>
  <c r="AG1119" i="3" s="1"/>
  <c r="AB1118" i="3" l="1"/>
  <c r="AD1118" i="3" l="1"/>
  <c r="AC1118" i="3"/>
  <c r="AE1118" i="3"/>
  <c r="AF1118" i="3" l="1"/>
  <c r="AG1118" i="3" s="1"/>
  <c r="AB1117" i="3" l="1"/>
  <c r="AE1117" i="3" l="1"/>
  <c r="AC1117" i="3"/>
  <c r="AD1117" i="3"/>
  <c r="AF1117" i="3" s="1"/>
  <c r="AG1117" i="3" s="1"/>
  <c r="AB1116" i="3" l="1"/>
  <c r="AD1116" i="3" l="1"/>
  <c r="AE1116" i="3"/>
  <c r="AC1116" i="3"/>
  <c r="AF1116" i="3" l="1"/>
  <c r="AG1116" i="3" s="1"/>
  <c r="AB1115" i="3" l="1"/>
  <c r="AE1115" i="3" l="1"/>
  <c r="AD1115" i="3"/>
  <c r="AF1115" i="3" s="1"/>
  <c r="AG1115" i="3" s="1"/>
  <c r="AC1115" i="3"/>
  <c r="AB1114" i="3" l="1"/>
  <c r="AD1114" i="3" l="1"/>
  <c r="AC1114" i="3"/>
  <c r="AE1114" i="3"/>
  <c r="AF1114" i="3" l="1"/>
  <c r="AG1114" i="3" s="1"/>
  <c r="AB1113" i="3" l="1"/>
  <c r="AD1113" i="3" l="1"/>
  <c r="AC1113" i="3"/>
  <c r="AE1113" i="3"/>
  <c r="AF1113" i="3" l="1"/>
  <c r="AG1113" i="3" s="1"/>
  <c r="AB1112" i="3" l="1"/>
  <c r="AD1112" i="3" l="1"/>
  <c r="AC1112" i="3"/>
  <c r="AE1112" i="3"/>
  <c r="AF1112" i="3" l="1"/>
  <c r="AG1112" i="3" s="1"/>
  <c r="AB1111" i="3" l="1"/>
  <c r="AD1111" i="3" l="1"/>
  <c r="AE1111" i="3"/>
  <c r="AC1111" i="3"/>
  <c r="AF1111" i="3" l="1"/>
  <c r="AG1111" i="3" s="1"/>
  <c r="AB1110" i="3" l="1"/>
  <c r="AD1110" i="3" l="1"/>
  <c r="AC1110" i="3"/>
  <c r="AE1110" i="3"/>
  <c r="AF1110" i="3" l="1"/>
  <c r="AG1110" i="3" s="1"/>
  <c r="AB1109" i="3" l="1"/>
  <c r="AE1109" i="3" l="1"/>
  <c r="AD1109" i="3"/>
  <c r="AF1109" i="3" s="1"/>
  <c r="AG1109" i="3" s="1"/>
  <c r="AC1109" i="3"/>
  <c r="AB1108" i="3" l="1"/>
  <c r="AE1108" i="3" l="1"/>
  <c r="AD1108" i="3"/>
  <c r="AF1108" i="3" s="1"/>
  <c r="AG1108" i="3" s="1"/>
  <c r="AC1108" i="3"/>
  <c r="AB1107" i="3" l="1"/>
  <c r="AD1107" i="3" l="1"/>
  <c r="AC1107" i="3"/>
  <c r="AE1107" i="3"/>
  <c r="AF1107" i="3" l="1"/>
  <c r="AG1107" i="3" s="1"/>
  <c r="AB1106" i="3" l="1"/>
  <c r="AD1106" i="3" l="1"/>
  <c r="AC1106" i="3"/>
  <c r="AE1106" i="3"/>
  <c r="AF1106" i="3" l="1"/>
  <c r="AG1106" i="3" s="1"/>
  <c r="AB1105" i="3" l="1"/>
  <c r="AD1105" i="3" l="1"/>
  <c r="AC1105" i="3"/>
  <c r="AE1105" i="3"/>
  <c r="AF1105" i="3" l="1"/>
  <c r="AG1105" i="3" s="1"/>
  <c r="AB1104" i="3" l="1"/>
  <c r="AD1104" i="3" l="1"/>
  <c r="AE1104" i="3"/>
  <c r="AC1104" i="3"/>
  <c r="AF1104" i="3" l="1"/>
  <c r="AG1104" i="3" s="1"/>
  <c r="AB1103" i="3" l="1"/>
  <c r="AC1103" i="3" l="1"/>
  <c r="AE1103" i="3"/>
  <c r="AD1103" i="3"/>
  <c r="AF1103" i="3" s="1"/>
  <c r="AG1103" i="3" s="1"/>
  <c r="AB1102" i="3" l="1"/>
  <c r="AE1102" i="3" l="1"/>
  <c r="AC1102" i="3"/>
  <c r="AD1102" i="3"/>
  <c r="AF1102" i="3" s="1"/>
  <c r="AG1102" i="3" s="1"/>
  <c r="AB1101" i="3" l="1"/>
  <c r="AE1101" i="3" l="1"/>
  <c r="AD1101" i="3"/>
  <c r="AF1101" i="3" s="1"/>
  <c r="AG1101" i="3" s="1"/>
  <c r="AC1101" i="3"/>
  <c r="AB1100" i="3" l="1"/>
  <c r="AE1100" i="3" l="1"/>
  <c r="AC1100" i="3"/>
  <c r="AD1100" i="3"/>
  <c r="AF1100" i="3" s="1"/>
  <c r="AG1100" i="3" s="1"/>
  <c r="AB1099" i="3" l="1"/>
  <c r="AD1099" i="3" l="1"/>
  <c r="AC1099" i="3"/>
  <c r="AE1099" i="3"/>
  <c r="AF1099" i="3" l="1"/>
  <c r="AG1099" i="3" s="1"/>
  <c r="AB1098" i="3" l="1"/>
  <c r="AC1098" i="3" l="1"/>
  <c r="AD1098" i="3"/>
  <c r="AE1098" i="3"/>
  <c r="AF1098" i="3" l="1"/>
  <c r="AG1098" i="3" s="1"/>
  <c r="AB1097" i="3" l="1"/>
  <c r="AC1097" i="3" l="1"/>
  <c r="AD1097" i="3"/>
  <c r="AE1097" i="3"/>
  <c r="AF1097" i="3" l="1"/>
  <c r="AG1097" i="3" s="1"/>
  <c r="AB1096" i="3" l="1"/>
  <c r="AD1096" i="3" l="1"/>
  <c r="AC1096" i="3"/>
  <c r="AE1096" i="3"/>
  <c r="AF1096" i="3" l="1"/>
  <c r="AG1096" i="3" s="1"/>
  <c r="AB1095" i="3" l="1"/>
  <c r="AD1095" i="3" l="1"/>
  <c r="AE1095" i="3"/>
  <c r="AC1095" i="3"/>
  <c r="AF1095" i="3" l="1"/>
  <c r="AG1095" i="3" s="1"/>
  <c r="AB1094" i="3" l="1"/>
  <c r="AD1094" i="3" l="1"/>
  <c r="AE1094" i="3"/>
  <c r="AC1094" i="3"/>
  <c r="AF1094" i="3" l="1"/>
  <c r="AG1094" i="3" s="1"/>
  <c r="AB1093" i="3" l="1"/>
  <c r="AE1093" i="3" l="1"/>
  <c r="AC1093" i="3"/>
  <c r="AD1093" i="3"/>
  <c r="AF1093" i="3" s="1"/>
  <c r="AG1093" i="3" s="1"/>
  <c r="AB1092" i="3" l="1"/>
  <c r="AE1092" i="3" l="1"/>
  <c r="AD1092" i="3"/>
  <c r="AF1092" i="3" s="1"/>
  <c r="AG1092" i="3" s="1"/>
  <c r="AC1092" i="3"/>
  <c r="AB1091" i="3" l="1"/>
  <c r="AD1091" i="3" l="1"/>
  <c r="AC1091" i="3"/>
  <c r="AE1091" i="3"/>
  <c r="AF1091" i="3" l="1"/>
  <c r="AG1091" i="3" s="1"/>
  <c r="AB1090" i="3" l="1"/>
  <c r="AC1090" i="3" l="1"/>
  <c r="AE1090" i="3"/>
  <c r="AD1090" i="3"/>
  <c r="AF1090" i="3" s="1"/>
  <c r="AG1090" i="3" s="1"/>
  <c r="AB1089" i="3" l="1"/>
  <c r="AC1089" i="3" l="1"/>
  <c r="AE1089" i="3"/>
  <c r="AD1089" i="3"/>
  <c r="AF1089" i="3" s="1"/>
  <c r="AG1089" i="3" s="1"/>
  <c r="AB1088" i="3" l="1"/>
  <c r="AE1088" i="3" l="1"/>
  <c r="AC1088" i="3"/>
  <c r="AD1088" i="3"/>
  <c r="AF1088" i="3" s="1"/>
  <c r="AG1088" i="3" s="1"/>
  <c r="AB1087" i="3" l="1"/>
  <c r="AD1087" i="3" l="1"/>
  <c r="AE1087" i="3"/>
  <c r="AC1087" i="3"/>
  <c r="AF1087" i="3" l="1"/>
  <c r="AG1087" i="3" s="1"/>
  <c r="AB1086" i="3" l="1"/>
  <c r="AE1086" i="3" l="1"/>
  <c r="AD1086" i="3"/>
  <c r="AF1086" i="3" s="1"/>
  <c r="AG1086" i="3" s="1"/>
  <c r="AC1086" i="3"/>
  <c r="AB1085" i="3" l="1"/>
  <c r="AE1085" i="3" l="1"/>
  <c r="AC1085" i="3"/>
  <c r="AD1085" i="3"/>
  <c r="AF1085" i="3" s="1"/>
  <c r="AG1085" i="3" s="1"/>
  <c r="AB1084" i="3" l="1"/>
  <c r="AD1084" i="3" l="1"/>
  <c r="AC1084" i="3"/>
  <c r="AE1084" i="3"/>
  <c r="AF1084" i="3" l="1"/>
  <c r="AG1084" i="3" s="1"/>
  <c r="AB1083" i="3" l="1"/>
  <c r="AD1083" i="3" l="1"/>
  <c r="AC1083" i="3"/>
  <c r="AE1083" i="3"/>
  <c r="AF1083" i="3" l="1"/>
  <c r="AG1083" i="3" s="1"/>
  <c r="AB1082" i="3" l="1"/>
  <c r="AD1082" i="3" l="1"/>
  <c r="AC1082" i="3"/>
  <c r="AE1082" i="3"/>
  <c r="AF1082" i="3" l="1"/>
  <c r="AG1082" i="3" s="1"/>
  <c r="AB1081" i="3" l="1"/>
  <c r="AC1081" i="3" l="1"/>
  <c r="AD1081" i="3"/>
  <c r="AE1081" i="3"/>
  <c r="AF1081" i="3" l="1"/>
  <c r="AG1081" i="3" s="1"/>
  <c r="AB1080" i="3" l="1"/>
  <c r="AE1080" i="3" l="1"/>
  <c r="AD1080" i="3"/>
  <c r="AF1080" i="3" s="1"/>
  <c r="AG1080" i="3" s="1"/>
  <c r="AC1080" i="3"/>
  <c r="AB1079" i="3" l="1"/>
  <c r="AE1079" i="3" l="1"/>
  <c r="AD1079" i="3"/>
  <c r="AF1079" i="3" s="1"/>
  <c r="AG1079" i="3" s="1"/>
  <c r="AC1079" i="3"/>
  <c r="AB1078" i="3" l="1"/>
  <c r="AE1078" i="3" l="1"/>
  <c r="AC1078" i="3"/>
  <c r="AD1078" i="3"/>
  <c r="AF1078" i="3" s="1"/>
  <c r="AG1078" i="3" l="1"/>
  <c r="AB1077" i="3" l="1"/>
  <c r="AE1077" i="3" l="1"/>
  <c r="AC1077" i="3"/>
  <c r="AD1077" i="3"/>
  <c r="AF1077" i="3" s="1"/>
  <c r="AG1077" i="3" s="1"/>
  <c r="AB1076" i="3" l="1"/>
  <c r="AE1076" i="3" l="1"/>
  <c r="AC1076" i="3"/>
  <c r="AD1076" i="3"/>
  <c r="AF1076" i="3" s="1"/>
  <c r="AG1076" i="3" s="1"/>
  <c r="AB1075" i="3" l="1"/>
  <c r="AD1075" i="3" l="1"/>
  <c r="AE1075" i="3"/>
  <c r="AC1075" i="3"/>
  <c r="AF1075" i="3" l="1"/>
  <c r="AG1075" i="3" s="1"/>
  <c r="AB1074" i="3" l="1"/>
  <c r="AC1074" i="3" l="1"/>
  <c r="AE1074" i="3"/>
  <c r="AD1074" i="3"/>
  <c r="AF1074" i="3" s="1"/>
  <c r="AG1074" i="3" s="1"/>
  <c r="AB1073" i="3" l="1"/>
  <c r="AC1073" i="3" l="1"/>
  <c r="AD1073" i="3"/>
  <c r="AE1073" i="3"/>
  <c r="AF1073" i="3" l="1"/>
  <c r="AG1073" i="3" s="1"/>
  <c r="AB1072" i="3" l="1"/>
  <c r="AE1072" i="3" l="1"/>
  <c r="AC1072" i="3"/>
  <c r="AD1072" i="3"/>
  <c r="AF1072" i="3" s="1"/>
  <c r="AG1072" i="3" s="1"/>
  <c r="AB1071" i="3" l="1"/>
  <c r="AD1071" i="3" l="1"/>
  <c r="AE1071" i="3"/>
  <c r="AC1071" i="3"/>
  <c r="AF1071" i="3" l="1"/>
  <c r="AG1071" i="3" s="1"/>
  <c r="AB1070" i="3" l="1"/>
  <c r="AD1070" i="3" l="1"/>
  <c r="AC1070" i="3"/>
  <c r="AE1070" i="3"/>
  <c r="AF1070" i="3" l="1"/>
  <c r="AG1070" i="3" s="1"/>
  <c r="AB1069" i="3" l="1"/>
  <c r="AD1069" i="3" l="1"/>
  <c r="AE1069" i="3"/>
  <c r="AC1069" i="3"/>
  <c r="AF1069" i="3" l="1"/>
  <c r="AG1069" i="3" s="1"/>
  <c r="AB1068" i="3" l="1"/>
  <c r="AD1068" i="3" l="1"/>
  <c r="AC1068" i="3"/>
  <c r="AE1068" i="3"/>
  <c r="AF1068" i="3" l="1"/>
  <c r="AG1068" i="3" s="1"/>
  <c r="AB1067" i="3" l="1"/>
  <c r="AE1067" i="3" l="1"/>
  <c r="AD1067" i="3"/>
  <c r="AF1067" i="3" s="1"/>
  <c r="AG1067" i="3" s="1"/>
  <c r="AC1067" i="3"/>
  <c r="AB1066" i="3" l="1"/>
  <c r="AD1066" i="3" l="1"/>
  <c r="AC1066" i="3"/>
  <c r="AE1066" i="3"/>
  <c r="AF1066" i="3" l="1"/>
  <c r="AG1066" i="3" s="1"/>
  <c r="AB1065" i="3" l="1"/>
  <c r="AD1065" i="3" l="1"/>
  <c r="AC1065" i="3"/>
  <c r="AE1065" i="3"/>
  <c r="AF1065" i="3" l="1"/>
  <c r="AG1065" i="3" s="1"/>
  <c r="AB1064" i="3" l="1"/>
  <c r="AD1064" i="3" l="1"/>
  <c r="AC1064" i="3"/>
  <c r="AE1064" i="3"/>
  <c r="AF1064" i="3" l="1"/>
  <c r="AG1064" i="3" s="1"/>
  <c r="AB1063" i="3" l="1"/>
  <c r="AD1063" i="3" l="1"/>
  <c r="AE1063" i="3"/>
  <c r="AC1063" i="3"/>
  <c r="AF1063" i="3" l="1"/>
  <c r="AG1063" i="3" s="1"/>
  <c r="AB1062" i="3" l="1"/>
  <c r="AC1062" i="3" l="1"/>
  <c r="AE1062" i="3"/>
  <c r="AD1062" i="3"/>
  <c r="AF1062" i="3" s="1"/>
  <c r="AG1062" i="3" s="1"/>
  <c r="AB1061" i="3" l="1"/>
  <c r="AD1061" i="3" l="1"/>
  <c r="AC1061" i="3"/>
  <c r="AE1061" i="3"/>
  <c r="AF1061" i="3" l="1"/>
  <c r="AG1061" i="3" s="1"/>
  <c r="AB1060" i="3" l="1"/>
  <c r="AD1060" i="3" l="1"/>
  <c r="AC1060" i="3"/>
  <c r="AE1060" i="3"/>
  <c r="AF1060" i="3" l="1"/>
  <c r="AG1060" i="3" s="1"/>
  <c r="AB1059" i="3" l="1"/>
  <c r="AD1059" i="3" l="1"/>
  <c r="AC1059" i="3"/>
  <c r="AE1059" i="3"/>
  <c r="AF1059" i="3" l="1"/>
  <c r="AG1059" i="3" s="1"/>
  <c r="AB1058" i="3" l="1"/>
  <c r="AC1058" i="3" l="1"/>
  <c r="AE1058" i="3"/>
  <c r="AD1058" i="3"/>
  <c r="AF1058" i="3" s="1"/>
  <c r="AG1058" i="3" s="1"/>
  <c r="AB1057" i="3" l="1"/>
  <c r="AC1057" i="3" l="1"/>
  <c r="AD1057" i="3"/>
  <c r="AE1057" i="3"/>
  <c r="AF1057" i="3" l="1"/>
  <c r="AG1057" i="3" s="1"/>
  <c r="AB1056" i="3" l="1"/>
  <c r="AD1056" i="3" l="1"/>
  <c r="AE1056" i="3"/>
  <c r="AC1056" i="3"/>
  <c r="AF1056" i="3" l="1"/>
  <c r="AG1056" i="3" s="1"/>
  <c r="AB1055" i="3" l="1"/>
  <c r="AC1055" i="3" l="1"/>
  <c r="AE1055" i="3"/>
  <c r="AD1055" i="3"/>
  <c r="AF1055" i="3" s="1"/>
  <c r="AG1055" i="3" s="1"/>
  <c r="AB1054" i="3" l="1"/>
  <c r="AD1054" i="3" l="1"/>
  <c r="AC1054" i="3"/>
  <c r="AE1054" i="3"/>
  <c r="AF1054" i="3" l="1"/>
  <c r="AG1054" i="3" s="1"/>
  <c r="AB1053" i="3" l="1"/>
  <c r="AD1053" i="3" l="1"/>
  <c r="AC1053" i="3"/>
  <c r="AE1053" i="3"/>
  <c r="AF1053" i="3" l="1"/>
  <c r="AG1053" i="3" s="1"/>
  <c r="AB1052" i="3" l="1"/>
  <c r="AE1052" i="3" l="1"/>
  <c r="AD1052" i="3"/>
  <c r="AF1052" i="3" s="1"/>
  <c r="AG1052" i="3" s="1"/>
  <c r="AC1052" i="3"/>
  <c r="AB1051" i="3" l="1"/>
  <c r="AE1051" i="3" l="1"/>
  <c r="AC1051" i="3"/>
  <c r="AD1051" i="3"/>
  <c r="AF1051" i="3" s="1"/>
  <c r="AG1051" i="3" s="1"/>
  <c r="AB1050" i="3" l="1"/>
  <c r="AD1050" i="3" l="1"/>
  <c r="AC1050" i="3"/>
  <c r="AE1050" i="3"/>
  <c r="AF1050" i="3" l="1"/>
  <c r="AG1050" i="3" s="1"/>
  <c r="AB1049" i="3" l="1"/>
  <c r="AE1049" i="3" l="1"/>
  <c r="AD1049" i="3"/>
  <c r="AC1049" i="3"/>
  <c r="AF1049" i="3" l="1"/>
  <c r="AG1049" i="3" s="1"/>
  <c r="AB1048" i="3"/>
  <c r="AE1048" i="3" l="1"/>
  <c r="AC1048" i="3"/>
  <c r="AD1048" i="3"/>
  <c r="AF1048" i="3" s="1"/>
  <c r="AG1048" i="3" s="1"/>
  <c r="AB1047" i="3" l="1"/>
  <c r="AE1047" i="3" l="1"/>
  <c r="AC1047" i="3"/>
  <c r="AD1047" i="3"/>
  <c r="AF1047" i="3" s="1"/>
  <c r="AG1047" i="3" s="1"/>
  <c r="AB1046" i="3" l="1"/>
  <c r="AD1046" i="3" l="1"/>
  <c r="AC1046" i="3"/>
  <c r="AE1046" i="3"/>
  <c r="AF1046" i="3" l="1"/>
  <c r="AG1046" i="3" s="1"/>
  <c r="AB1045" i="3" l="1"/>
  <c r="AE1045" i="3" l="1"/>
  <c r="AC1045" i="3"/>
  <c r="AD1045" i="3"/>
  <c r="AF1045" i="3" s="1"/>
  <c r="AG1045" i="3" s="1"/>
  <c r="AB1044" i="3" l="1"/>
  <c r="AD1044" i="3" l="1"/>
  <c r="AC1044" i="3"/>
  <c r="AE1044" i="3"/>
  <c r="AF1044" i="3" l="1"/>
  <c r="AG1044" i="3" s="1"/>
  <c r="AB1043" i="3" l="1"/>
  <c r="AE1043" i="3" l="1"/>
  <c r="AD1043" i="3"/>
  <c r="AF1043" i="3" s="1"/>
  <c r="AG1043" i="3" s="1"/>
  <c r="AC1043" i="3"/>
  <c r="AB1042" i="3" l="1"/>
  <c r="AD1042" i="3" l="1"/>
  <c r="AC1042" i="3"/>
  <c r="AE1042" i="3"/>
  <c r="AF1042" i="3" l="1"/>
  <c r="AG1042" i="3" s="1"/>
  <c r="AB1041" i="3" l="1"/>
  <c r="AD1041" i="3" l="1"/>
  <c r="AC1041" i="3"/>
  <c r="AE1041" i="3"/>
  <c r="AF1041" i="3" l="1"/>
  <c r="AG1041" i="3" s="1"/>
  <c r="AB1040" i="3" l="1"/>
  <c r="AE1040" i="3" l="1"/>
  <c r="AC1040" i="3"/>
  <c r="AD1040" i="3"/>
  <c r="AF1040" i="3" s="1"/>
  <c r="AG1040" i="3" s="1"/>
  <c r="AB1039" i="3" l="1"/>
  <c r="AC1039" i="3" l="1"/>
  <c r="AD1039" i="3"/>
  <c r="AE1039" i="3"/>
  <c r="AF1039" i="3" l="1"/>
  <c r="AG1039" i="3" s="1"/>
  <c r="AB1038" i="3" l="1"/>
  <c r="AE1038" i="3" l="1"/>
  <c r="AD1038" i="3"/>
  <c r="AF1038" i="3" s="1"/>
  <c r="AG1038" i="3" s="1"/>
  <c r="AC1038" i="3"/>
  <c r="AB1037" i="3" l="1"/>
  <c r="AD1037" i="3" l="1"/>
  <c r="AC1037" i="3"/>
  <c r="AE1037" i="3"/>
  <c r="AF1037" i="3" l="1"/>
  <c r="AG1037" i="3" s="1"/>
  <c r="AB1036" i="3" l="1"/>
  <c r="AE1036" i="3" l="1"/>
  <c r="AC1036" i="3"/>
  <c r="AD1036" i="3"/>
  <c r="AF1036" i="3" s="1"/>
  <c r="AG1036" i="3" s="1"/>
  <c r="AB1035" i="3" l="1"/>
  <c r="AD1035" i="3" l="1"/>
  <c r="AE1035" i="3"/>
  <c r="AC1035" i="3"/>
  <c r="AF1035" i="3" l="1"/>
  <c r="AG1035" i="3" s="1"/>
  <c r="AB1034" i="3" l="1"/>
  <c r="AD1034" i="3" l="1"/>
  <c r="AC1034" i="3"/>
  <c r="AE1034" i="3"/>
  <c r="AF1034" i="3" l="1"/>
  <c r="AG1034" i="3" s="1"/>
  <c r="AB1033" i="3" l="1"/>
  <c r="AC1033" i="3" l="1"/>
  <c r="AE1033" i="3"/>
  <c r="AD1033" i="3"/>
  <c r="AF1033" i="3" s="1"/>
  <c r="AG1033" i="3" s="1"/>
  <c r="AB1032" i="3" l="1"/>
  <c r="AE1032" i="3" l="1"/>
  <c r="AD1032" i="3"/>
  <c r="AF1032" i="3" s="1"/>
  <c r="AG1032" i="3" s="1"/>
  <c r="AC1032" i="3"/>
  <c r="AB1031" i="3" l="1"/>
  <c r="AD1031" i="3" l="1"/>
  <c r="AC1031" i="3"/>
  <c r="AE1031" i="3"/>
  <c r="AF1031" i="3" l="1"/>
  <c r="AG1031" i="3" s="1"/>
  <c r="AB1030" i="3" l="1"/>
  <c r="AE1030" i="3" l="1"/>
  <c r="AD1030" i="3"/>
  <c r="AF1030" i="3" s="1"/>
  <c r="AG1030" i="3" s="1"/>
  <c r="AC1030" i="3"/>
  <c r="AB1029" i="3" l="1"/>
  <c r="AE1029" i="3" l="1"/>
  <c r="AD1029" i="3"/>
  <c r="AF1029" i="3" s="1"/>
  <c r="AG1029" i="3" s="1"/>
  <c r="AC1029" i="3"/>
  <c r="AB1028" i="3" l="1"/>
  <c r="AD1028" i="3" l="1"/>
  <c r="AC1028" i="3"/>
  <c r="AE1028" i="3"/>
  <c r="AF1028" i="3" l="1"/>
  <c r="AG1028" i="3" s="1"/>
  <c r="AB1027" i="3" l="1"/>
  <c r="AE1027" i="3" l="1"/>
  <c r="AD1027" i="3"/>
  <c r="AF1027" i="3" s="1"/>
  <c r="AG1027" i="3" s="1"/>
  <c r="AC1027" i="3"/>
  <c r="AB1026" i="3" l="1"/>
  <c r="AD1026" i="3" l="1"/>
  <c r="AC1026" i="3"/>
  <c r="AE1026" i="3"/>
  <c r="AF1026" i="3" l="1"/>
  <c r="AG1026" i="3" s="1"/>
  <c r="AB1025" i="3" l="1"/>
  <c r="AC1025" i="3" l="1"/>
  <c r="AE1025" i="3"/>
  <c r="AD1025" i="3"/>
  <c r="AF1025" i="3" s="1"/>
  <c r="AG1025" i="3" s="1"/>
  <c r="AB1024" i="3" l="1"/>
  <c r="AE1024" i="3" l="1"/>
  <c r="AD1024" i="3"/>
  <c r="AF1024" i="3" s="1"/>
  <c r="AG1024" i="3" s="1"/>
  <c r="AC1024" i="3"/>
  <c r="AB1023" i="3" l="1"/>
  <c r="AC1023" i="3" l="1"/>
  <c r="AE1023" i="3"/>
  <c r="AD1023" i="3"/>
  <c r="AF1023" i="3" s="1"/>
  <c r="AG1023" i="3" s="1"/>
  <c r="AB1022" i="3" l="1"/>
  <c r="AC1022" i="3" l="1"/>
  <c r="AD1022" i="3"/>
  <c r="AE1022" i="3"/>
  <c r="AF1022" i="3" l="1"/>
  <c r="AG1022" i="3" s="1"/>
  <c r="AB1021" i="3" l="1"/>
  <c r="AE1021" i="3" l="1"/>
  <c r="AD1021" i="3"/>
  <c r="AF1021" i="3" s="1"/>
  <c r="AG1021" i="3" s="1"/>
  <c r="AC1021" i="3"/>
  <c r="AB1020" i="3" l="1"/>
  <c r="AE1020" i="3" l="1"/>
  <c r="AC1020" i="3"/>
  <c r="AD1020" i="3"/>
  <c r="AF1020" i="3" s="1"/>
  <c r="AG1020" i="3" s="1"/>
  <c r="AB1019" i="3" l="1"/>
  <c r="AE1019" i="3" l="1"/>
  <c r="AD1019" i="3"/>
  <c r="AF1019" i="3" s="1"/>
  <c r="AG1019" i="3" s="1"/>
  <c r="AC1019" i="3"/>
  <c r="AB1018" i="3" l="1"/>
  <c r="AE1018" i="3" l="1"/>
  <c r="AD1018" i="3"/>
  <c r="AF1018" i="3" s="1"/>
  <c r="AG1018" i="3" s="1"/>
  <c r="AC1018" i="3"/>
  <c r="AB1017" i="3" l="1"/>
  <c r="AE1017" i="3" l="1"/>
  <c r="AD1017" i="3"/>
  <c r="AF1017" i="3" s="1"/>
  <c r="AG1017" i="3" s="1"/>
  <c r="AC1017" i="3"/>
  <c r="AB1016" i="3" l="1"/>
  <c r="AD1016" i="3" l="1"/>
  <c r="AE1016" i="3"/>
  <c r="AC1016" i="3"/>
  <c r="AF1016" i="3" l="1"/>
  <c r="AG1016" i="3" s="1"/>
  <c r="AB1015" i="3" l="1"/>
  <c r="AC1015" i="3" l="1"/>
  <c r="AD1015" i="3"/>
  <c r="AE1015" i="3"/>
  <c r="AF1015" i="3" l="1"/>
  <c r="AG1015" i="3" s="1"/>
  <c r="AB1014" i="3" l="1"/>
  <c r="AC1014" i="3" l="1"/>
  <c r="AE1014" i="3"/>
  <c r="AD1014" i="3"/>
  <c r="AF1014" i="3" s="1"/>
  <c r="AG1014" i="3" s="1"/>
  <c r="AB1013" i="3" l="1"/>
  <c r="AE1013" i="3" l="1"/>
  <c r="AD1013" i="3"/>
  <c r="AF1013" i="3" s="1"/>
  <c r="AG1013" i="3" s="1"/>
  <c r="AC1013" i="3"/>
  <c r="AB1012" i="3" l="1"/>
  <c r="AC1012" i="3" l="1"/>
  <c r="AD1012" i="3"/>
  <c r="AE1012" i="3"/>
  <c r="AF1012" i="3" l="1"/>
  <c r="AG1012" i="3" s="1"/>
  <c r="AB1011" i="3" l="1"/>
  <c r="AD1011" i="3" l="1"/>
  <c r="AC1011" i="3"/>
  <c r="AE1011" i="3"/>
  <c r="AF1011" i="3" l="1"/>
  <c r="AG1011" i="3" s="1"/>
  <c r="AB1010" i="3" l="1"/>
  <c r="AD1010" i="3" l="1"/>
  <c r="AC1010" i="3"/>
  <c r="AE1010" i="3"/>
  <c r="AF1010" i="3" l="1"/>
  <c r="AG1010" i="3" s="1"/>
  <c r="AB1009" i="3" l="1"/>
  <c r="AD1009" i="3" l="1"/>
  <c r="AE1009" i="3"/>
  <c r="AC1009" i="3"/>
  <c r="AF1009" i="3" l="1"/>
  <c r="AG1009" i="3" s="1"/>
  <c r="AB1008" i="3" l="1"/>
  <c r="AD1008" i="3" l="1"/>
  <c r="AC1008" i="3"/>
  <c r="AE1008" i="3"/>
  <c r="AF1008" i="3" l="1"/>
  <c r="AG1008" i="3" s="1"/>
  <c r="AB1007" i="3" l="1"/>
  <c r="AD1007" i="3" l="1"/>
  <c r="AC1007" i="3"/>
  <c r="AE1007" i="3"/>
  <c r="AF1007" i="3" l="1"/>
  <c r="AG1007" i="3" s="1"/>
  <c r="AB1006" i="3" l="1"/>
  <c r="AC1006" i="3" l="1"/>
  <c r="AD1006" i="3"/>
  <c r="AE1006" i="3"/>
  <c r="AF1006" i="3" l="1"/>
  <c r="AG1006" i="3" s="1"/>
  <c r="AB1005" i="3" l="1"/>
  <c r="AE1005" i="3" l="1"/>
  <c r="AD1005" i="3"/>
  <c r="AF1005" i="3" s="1"/>
  <c r="AG1005" i="3" s="1"/>
  <c r="AC1005" i="3"/>
  <c r="AB1004" i="3" l="1"/>
  <c r="AD1004" i="3" l="1"/>
  <c r="AE1004" i="3"/>
  <c r="AC1004" i="3"/>
  <c r="AF1004" i="3" l="1"/>
  <c r="AG1004" i="3" s="1"/>
  <c r="AB1003" i="3" l="1"/>
  <c r="AE1003" i="3" l="1"/>
  <c r="AD1003" i="3"/>
  <c r="AF1003" i="3" s="1"/>
  <c r="AG1003" i="3" s="1"/>
  <c r="AC1003" i="3"/>
  <c r="AB1002" i="3" l="1"/>
  <c r="AE1002" i="3" l="1"/>
  <c r="AD1002" i="3"/>
  <c r="AF1002" i="3" s="1"/>
  <c r="AG1002" i="3" s="1"/>
  <c r="AC1002" i="3"/>
  <c r="AB1001" i="3" l="1"/>
  <c r="AE1001" i="3" l="1"/>
  <c r="AD1001" i="3"/>
  <c r="AF1001" i="3" s="1"/>
  <c r="AG1001" i="3" s="1"/>
  <c r="AC1001" i="3"/>
  <c r="AB1000" i="3" l="1"/>
  <c r="AD1000" i="3" l="1"/>
  <c r="AC1000" i="3"/>
  <c r="AE1000" i="3"/>
  <c r="AF1000" i="3" l="1"/>
  <c r="AG1000" i="3" s="1"/>
  <c r="AB999" i="3" l="1"/>
  <c r="AD999" i="3" l="1"/>
  <c r="AC999" i="3"/>
  <c r="AE999" i="3"/>
  <c r="AF999" i="3" l="1"/>
  <c r="AG999" i="3" s="1"/>
  <c r="AB998" i="3" l="1"/>
  <c r="AC998" i="3" l="1"/>
  <c r="AE998" i="3"/>
  <c r="AD998" i="3"/>
  <c r="AF998" i="3" s="1"/>
  <c r="AG998" i="3" s="1"/>
  <c r="AB997" i="3" l="1"/>
  <c r="AC997" i="3" l="1"/>
  <c r="AE997" i="3"/>
  <c r="AD997" i="3"/>
  <c r="AF997" i="3" s="1"/>
  <c r="AG997" i="3" s="1"/>
  <c r="AB996" i="3" l="1"/>
  <c r="AE996" i="3" l="1"/>
  <c r="AC996" i="3"/>
  <c r="AD996" i="3"/>
  <c r="AF996" i="3" s="1"/>
  <c r="AG996" i="3" s="1"/>
  <c r="AB995" i="3" l="1"/>
  <c r="AD995" i="3" l="1"/>
  <c r="AC995" i="3"/>
  <c r="AE995" i="3"/>
  <c r="AF995" i="3" l="1"/>
  <c r="AG995" i="3" s="1"/>
  <c r="AB994" i="3" l="1"/>
  <c r="AE994" i="3" l="1"/>
  <c r="AD994" i="3"/>
  <c r="AF994" i="3" s="1"/>
  <c r="AG994" i="3" s="1"/>
  <c r="AC994" i="3"/>
  <c r="AB993" i="3" l="1"/>
  <c r="AC993" i="3" l="1"/>
  <c r="AE993" i="3"/>
  <c r="AD993" i="3"/>
  <c r="AF993" i="3" s="1"/>
  <c r="AG993" i="3" s="1"/>
  <c r="AB992" i="3" l="1"/>
  <c r="AE992" i="3" l="1"/>
  <c r="AC992" i="3"/>
  <c r="AD992" i="3"/>
  <c r="AF992" i="3" s="1"/>
  <c r="AG992" i="3" s="1"/>
  <c r="AB991" i="3" l="1"/>
  <c r="AD991" i="3" l="1"/>
  <c r="AE991" i="3"/>
  <c r="AC991" i="3"/>
  <c r="AF991" i="3" l="1"/>
  <c r="AG991" i="3" s="1"/>
  <c r="AB990" i="3" l="1"/>
  <c r="AE990" i="3" l="1"/>
  <c r="AC990" i="3"/>
  <c r="AD990" i="3"/>
  <c r="AF990" i="3" s="1"/>
  <c r="AG990" i="3" s="1"/>
  <c r="AB989" i="3" l="1"/>
  <c r="AC989" i="3" l="1"/>
  <c r="AE989" i="3"/>
  <c r="AD989" i="3"/>
  <c r="AF989" i="3" s="1"/>
  <c r="AG989" i="3" s="1"/>
  <c r="AB988" i="3" l="1"/>
  <c r="AE988" i="3" l="1"/>
  <c r="AC988" i="3"/>
  <c r="AD988" i="3"/>
  <c r="AF988" i="3" s="1"/>
  <c r="AG988" i="3" s="1"/>
  <c r="AB987" i="3" l="1"/>
  <c r="AD987" i="3" l="1"/>
  <c r="AC987" i="3"/>
  <c r="AE987" i="3"/>
  <c r="AF987" i="3" l="1"/>
  <c r="AG987" i="3" s="1"/>
  <c r="AB986" i="3" l="1"/>
  <c r="AE986" i="3" l="1"/>
  <c r="AD986" i="3"/>
  <c r="AF986" i="3" s="1"/>
  <c r="AG986" i="3" s="1"/>
  <c r="AC986" i="3"/>
  <c r="AB985" i="3" l="1"/>
  <c r="AD985" i="3" l="1"/>
  <c r="AE985" i="3"/>
  <c r="AC985" i="3"/>
  <c r="AF985" i="3" l="1"/>
  <c r="AG985" i="3" s="1"/>
  <c r="AB984" i="3" l="1"/>
  <c r="AD984" i="3" l="1"/>
  <c r="AC984" i="3"/>
  <c r="AE984" i="3"/>
  <c r="AF984" i="3" l="1"/>
  <c r="AG984" i="3" s="1"/>
  <c r="AB983" i="3" l="1"/>
  <c r="AC983" i="3" l="1"/>
  <c r="AD983" i="3"/>
  <c r="AE983" i="3"/>
  <c r="AF983" i="3" l="1"/>
  <c r="AG983" i="3" s="1"/>
  <c r="AB982" i="3" l="1"/>
  <c r="AE982" i="3" l="1"/>
  <c r="AD982" i="3"/>
  <c r="AF982" i="3" s="1"/>
  <c r="AG982" i="3" s="1"/>
  <c r="AC982" i="3"/>
  <c r="AB981" i="3" l="1"/>
  <c r="AD981" i="3" l="1"/>
  <c r="AE981" i="3"/>
  <c r="AC981" i="3"/>
  <c r="AF981" i="3" l="1"/>
  <c r="AG981" i="3" s="1"/>
  <c r="AB980" i="3" l="1"/>
  <c r="AD980" i="3" l="1"/>
  <c r="AC980" i="3"/>
  <c r="AE980" i="3"/>
  <c r="AF980" i="3" l="1"/>
  <c r="AG980" i="3" s="1"/>
  <c r="AB979" i="3" l="1"/>
  <c r="AD979" i="3" l="1"/>
  <c r="AC979" i="3"/>
  <c r="AE979" i="3"/>
  <c r="AF979" i="3" l="1"/>
  <c r="AG979" i="3" s="1"/>
  <c r="AB978" i="3"/>
  <c r="AD978" i="3" l="1"/>
  <c r="AC978" i="3"/>
  <c r="AE978" i="3"/>
  <c r="AF978" i="3" l="1"/>
  <c r="AG978" i="3" s="1"/>
  <c r="AB977" i="3" l="1"/>
  <c r="AD977" i="3" l="1"/>
  <c r="AE977" i="3"/>
  <c r="AC977" i="3"/>
  <c r="AF977" i="3" l="1"/>
  <c r="AG977" i="3" s="1"/>
  <c r="AB976" i="3" l="1"/>
  <c r="AD976" i="3" l="1"/>
  <c r="AC976" i="3"/>
  <c r="AE976" i="3"/>
  <c r="AF976" i="3" l="1"/>
  <c r="AG976" i="3" s="1"/>
  <c r="AB975" i="3" l="1"/>
  <c r="AE975" i="3" l="1"/>
  <c r="AD975" i="3"/>
  <c r="AF975" i="3" s="1"/>
  <c r="AG975" i="3" s="1"/>
  <c r="AC975" i="3"/>
  <c r="AB974" i="3" l="1"/>
  <c r="AD974" i="3" l="1"/>
  <c r="AE974" i="3"/>
  <c r="AC974" i="3"/>
  <c r="AF974" i="3" l="1"/>
  <c r="AG974" i="3" s="1"/>
  <c r="AB973" i="3"/>
  <c r="AE973" i="3" l="1"/>
  <c r="AD973" i="3"/>
  <c r="AF973" i="3" s="1"/>
  <c r="AG973" i="3" s="1"/>
  <c r="AC973" i="3"/>
  <c r="AB972" i="3" l="1"/>
  <c r="AD972" i="3" l="1"/>
  <c r="AC972" i="3"/>
  <c r="AE972" i="3"/>
  <c r="AF972" i="3" l="1"/>
  <c r="AG972" i="3" s="1"/>
  <c r="AB971" i="3" l="1"/>
  <c r="AE971" i="3" l="1"/>
  <c r="AC971" i="3"/>
  <c r="AD971" i="3"/>
  <c r="AF971" i="3" s="1"/>
  <c r="AG971" i="3" s="1"/>
  <c r="AB970" i="3" l="1"/>
  <c r="AE970" i="3" l="1"/>
  <c r="AD970" i="3"/>
  <c r="AF970" i="3" s="1"/>
  <c r="AG970" i="3" s="1"/>
  <c r="AC970" i="3"/>
  <c r="AB969" i="3" l="1"/>
  <c r="AC969" i="3" l="1"/>
  <c r="AE969" i="3"/>
  <c r="AD969" i="3"/>
  <c r="AF969" i="3" l="1"/>
  <c r="AG969" i="3" s="1"/>
  <c r="AB968" i="3" l="1"/>
  <c r="AD968" i="3" l="1"/>
  <c r="AE968" i="3"/>
  <c r="AC968" i="3"/>
  <c r="AF968" i="3" l="1"/>
  <c r="AG968" i="3" s="1"/>
  <c r="AB967" i="3"/>
  <c r="AC967" i="3" l="1"/>
  <c r="AD967" i="3"/>
  <c r="AE967" i="3"/>
  <c r="AF967" i="3" l="1"/>
  <c r="AG967" i="3" s="1"/>
  <c r="AB966" i="3"/>
  <c r="AE966" i="3" l="1"/>
  <c r="AD966" i="3"/>
  <c r="AC966" i="3"/>
  <c r="AF966" i="3" l="1"/>
  <c r="AG966" i="3" s="1"/>
  <c r="AB965" i="3" l="1"/>
  <c r="AC965" i="3" l="1"/>
  <c r="AE965" i="3"/>
  <c r="AD965" i="3"/>
  <c r="AF965" i="3" s="1"/>
  <c r="AG965" i="3" s="1"/>
  <c r="AB964" i="3" l="1"/>
  <c r="AE964" i="3" l="1"/>
  <c r="AD964" i="3"/>
  <c r="AC964" i="3"/>
  <c r="AF964" i="3" l="1"/>
  <c r="AG964" i="3" s="1"/>
  <c r="AB963" i="3"/>
  <c r="AD963" i="3" l="1"/>
  <c r="AE963" i="3"/>
  <c r="AC963" i="3"/>
  <c r="AF963" i="3" l="1"/>
  <c r="AG963" i="3" s="1"/>
  <c r="AB962" i="3" l="1"/>
  <c r="AD962" i="3" l="1"/>
  <c r="AC962" i="3"/>
  <c r="AE962" i="3"/>
  <c r="AF962" i="3" l="1"/>
  <c r="AG962" i="3" s="1"/>
  <c r="AB961" i="3" l="1"/>
  <c r="AE961" i="3" l="1"/>
  <c r="AC961" i="3"/>
  <c r="AD961" i="3"/>
  <c r="AF961" i="3" s="1"/>
  <c r="AG961" i="3" s="1"/>
  <c r="AB960" i="3" l="1"/>
  <c r="AD960" i="3" l="1"/>
  <c r="AE960" i="3"/>
  <c r="AC960" i="3"/>
  <c r="AF960" i="3" l="1"/>
  <c r="AG960" i="3" s="1"/>
  <c r="AB959" i="3" l="1"/>
  <c r="AD959" i="3" l="1"/>
  <c r="AE959" i="3"/>
  <c r="AC959" i="3"/>
  <c r="AF959" i="3" l="1"/>
  <c r="AG959" i="3" s="1"/>
  <c r="AB958" i="3" l="1"/>
  <c r="AE958" i="3" l="1"/>
  <c r="AD958" i="3"/>
  <c r="AF958" i="3" s="1"/>
  <c r="AG958" i="3" s="1"/>
  <c r="AC958" i="3"/>
  <c r="AB957" i="3" l="1"/>
  <c r="AE957" i="3" l="1"/>
  <c r="AC957" i="3"/>
  <c r="AD957" i="3"/>
  <c r="AF957" i="3" s="1"/>
  <c r="AG957" i="3" s="1"/>
  <c r="AB956" i="3" l="1"/>
  <c r="AC956" i="3" l="1"/>
  <c r="AE956" i="3"/>
  <c r="AD956" i="3"/>
  <c r="AF956" i="3" s="1"/>
  <c r="AG956" i="3" s="1"/>
  <c r="AB955" i="3" l="1"/>
  <c r="AD955" i="3" l="1"/>
  <c r="AC955" i="3"/>
  <c r="AE955" i="3"/>
  <c r="AF955" i="3" l="1"/>
  <c r="AG955" i="3" s="1"/>
  <c r="AB954" i="3" l="1"/>
  <c r="AC954" i="3" l="1"/>
  <c r="AE954" i="3"/>
  <c r="AD954" i="3"/>
  <c r="AF954" i="3" s="1"/>
  <c r="AG954" i="3" s="1"/>
  <c r="AB953" i="3" l="1"/>
  <c r="AD953" i="3" l="1"/>
  <c r="AC953" i="3"/>
  <c r="AE953" i="3"/>
  <c r="AF953" i="3" l="1"/>
  <c r="AG953" i="3" s="1"/>
  <c r="AB952" i="3" l="1"/>
  <c r="AD952" i="3" l="1"/>
  <c r="AE952" i="3"/>
  <c r="AC952" i="3"/>
  <c r="AF952" i="3" l="1"/>
  <c r="AG952" i="3" s="1"/>
  <c r="AB951" i="3" l="1"/>
  <c r="AD951" i="3" l="1"/>
  <c r="AC951" i="3"/>
  <c r="AE951" i="3"/>
  <c r="AF951" i="3" l="1"/>
  <c r="AG951" i="3" s="1"/>
  <c r="AB950" i="3" l="1"/>
  <c r="AC950" i="3" l="1"/>
  <c r="AD950" i="3"/>
  <c r="AE950" i="3"/>
  <c r="AF950" i="3" l="1"/>
  <c r="AG950" i="3" s="1"/>
  <c r="AB949" i="3" l="1"/>
  <c r="AC949" i="3" l="1"/>
  <c r="AD949" i="3"/>
  <c r="AE949" i="3"/>
  <c r="AF949" i="3" l="1"/>
  <c r="AG949" i="3" s="1"/>
  <c r="AB948" i="3" l="1"/>
  <c r="AD948" i="3" l="1"/>
  <c r="AC948" i="3"/>
  <c r="AE948" i="3"/>
  <c r="AF948" i="3" l="1"/>
  <c r="AG948" i="3" s="1"/>
  <c r="AB947" i="3" l="1"/>
  <c r="AD947" i="3" l="1"/>
  <c r="AC947" i="3"/>
  <c r="AE947" i="3"/>
  <c r="AF947" i="3" l="1"/>
  <c r="AG947" i="3" s="1"/>
  <c r="AB946" i="3" l="1"/>
  <c r="AC946" i="3" l="1"/>
  <c r="AE946" i="3"/>
  <c r="AD946" i="3"/>
  <c r="AF946" i="3" s="1"/>
  <c r="AG946" i="3" s="1"/>
  <c r="AB945" i="3" l="1"/>
  <c r="AC945" i="3" l="1"/>
  <c r="AE945" i="3"/>
  <c r="AD945" i="3"/>
  <c r="AF945" i="3" s="1"/>
  <c r="AG945" i="3" s="1"/>
  <c r="AB944" i="3" l="1"/>
  <c r="AC944" i="3" l="1"/>
  <c r="AE944" i="3"/>
  <c r="AD944" i="3"/>
  <c r="AF944" i="3" s="1"/>
  <c r="AG944" i="3" s="1"/>
  <c r="AB943" i="3" l="1"/>
  <c r="AC943" i="3" l="1"/>
  <c r="AE943" i="3"/>
  <c r="AD943" i="3"/>
  <c r="AF943" i="3" s="1"/>
  <c r="AG943" i="3" s="1"/>
  <c r="AB942" i="3" l="1"/>
  <c r="AC942" i="3" l="1"/>
  <c r="AE942" i="3"/>
  <c r="AD942" i="3"/>
  <c r="AF942" i="3" s="1"/>
  <c r="AG942" i="3" s="1"/>
  <c r="AB941" i="3" l="1"/>
  <c r="AD941" i="3" l="1"/>
  <c r="AC941" i="3"/>
  <c r="AE941" i="3"/>
  <c r="AF941" i="3" l="1"/>
  <c r="AG941" i="3" s="1"/>
  <c r="AB940" i="3" l="1"/>
  <c r="AC940" i="3" l="1"/>
  <c r="AD940" i="3"/>
  <c r="AE940" i="3"/>
  <c r="AF940" i="3" l="1"/>
  <c r="AG940" i="3" s="1"/>
  <c r="AB939" i="3" l="1"/>
  <c r="AD939" i="3" l="1"/>
  <c r="AC939" i="3"/>
  <c r="AE939" i="3"/>
  <c r="AF939" i="3" l="1"/>
  <c r="AG939" i="3" s="1"/>
  <c r="AB938" i="3" l="1"/>
  <c r="AE938" i="3" l="1"/>
  <c r="AD938" i="3"/>
  <c r="AF938" i="3" s="1"/>
  <c r="AG938" i="3" s="1"/>
  <c r="AC938" i="3"/>
  <c r="AB937" i="3" l="1"/>
  <c r="AE937" i="3" l="1"/>
  <c r="AC937" i="3"/>
  <c r="AD937" i="3"/>
  <c r="AF937" i="3" s="1"/>
  <c r="AG937" i="3" s="1"/>
  <c r="AB936" i="3" l="1"/>
  <c r="AD936" i="3" l="1"/>
  <c r="AC936" i="3"/>
  <c r="AE936" i="3"/>
  <c r="AF936" i="3" l="1"/>
  <c r="AG936" i="3" s="1"/>
  <c r="AB935" i="3" l="1"/>
  <c r="AD935" i="3" l="1"/>
  <c r="AE935" i="3"/>
  <c r="AC935" i="3"/>
  <c r="AF935" i="3" l="1"/>
  <c r="AG935" i="3" s="1"/>
  <c r="AB934" i="3" l="1"/>
  <c r="AE934" i="3" l="1"/>
  <c r="AC934" i="3"/>
  <c r="AD934" i="3"/>
  <c r="AF934" i="3" s="1"/>
  <c r="AG934" i="3" s="1"/>
  <c r="AB933" i="3" l="1"/>
  <c r="AD933" i="3" l="1"/>
  <c r="AC933" i="3"/>
  <c r="AE933" i="3"/>
  <c r="AF933" i="3" l="1"/>
  <c r="AG933" i="3" s="1"/>
  <c r="AB932" i="3" l="1"/>
  <c r="AD932" i="3" l="1"/>
  <c r="AE932" i="3"/>
  <c r="AC932" i="3"/>
  <c r="AF932" i="3" l="1"/>
  <c r="AG932" i="3" s="1"/>
  <c r="AB931" i="3" l="1"/>
  <c r="AE931" i="3" l="1"/>
  <c r="AC931" i="3"/>
  <c r="AD931" i="3"/>
  <c r="AF931" i="3" s="1"/>
  <c r="AG931" i="3" s="1"/>
  <c r="AB930" i="3" l="1"/>
  <c r="AE930" i="3" l="1"/>
  <c r="AD930" i="3"/>
  <c r="AF930" i="3" s="1"/>
  <c r="AG930" i="3" s="1"/>
  <c r="AC930" i="3"/>
  <c r="AB929" i="3" l="1"/>
  <c r="AE929" i="3" l="1"/>
  <c r="AD929" i="3"/>
  <c r="AF929" i="3" s="1"/>
  <c r="AG929" i="3" s="1"/>
  <c r="AC929" i="3"/>
  <c r="AB928" i="3" l="1"/>
  <c r="AD928" i="3" l="1"/>
  <c r="AE928" i="3"/>
  <c r="AC928" i="3"/>
  <c r="AF928" i="3" l="1"/>
  <c r="AG928" i="3" s="1"/>
  <c r="AB927" i="3" l="1"/>
  <c r="AE927" i="3" l="1"/>
  <c r="AC927" i="3"/>
  <c r="AD927" i="3"/>
  <c r="AF927" i="3" s="1"/>
  <c r="AG927" i="3" s="1"/>
  <c r="AB926" i="3" l="1"/>
  <c r="AD926" i="3" l="1"/>
  <c r="AC926" i="3"/>
  <c r="AE926" i="3"/>
  <c r="AF926" i="3" l="1"/>
  <c r="AG926" i="3" s="1"/>
  <c r="AB925" i="3" l="1"/>
  <c r="AC925" i="3" l="1"/>
  <c r="AE925" i="3"/>
  <c r="AD925" i="3"/>
  <c r="AF925" i="3" s="1"/>
  <c r="AG925" i="3" s="1"/>
  <c r="AB924" i="3" l="1"/>
  <c r="AE924" i="3" l="1"/>
  <c r="AD924" i="3"/>
  <c r="AF924" i="3" s="1"/>
  <c r="AG924" i="3" s="1"/>
  <c r="AC924" i="3"/>
  <c r="AB923" i="3" l="1"/>
  <c r="AC923" i="3" l="1"/>
  <c r="AE923" i="3"/>
  <c r="AD923" i="3"/>
  <c r="AF923" i="3" s="1"/>
  <c r="AG923" i="3" s="1"/>
  <c r="AB922" i="3" l="1"/>
  <c r="AD922" i="3" l="1"/>
  <c r="AC922" i="3"/>
  <c r="AE922" i="3"/>
  <c r="AF922" i="3" l="1"/>
  <c r="AG922" i="3" s="1"/>
  <c r="AB921" i="3" l="1"/>
  <c r="AE921" i="3" l="1"/>
  <c r="AD921" i="3"/>
  <c r="AF921" i="3" s="1"/>
  <c r="AG921" i="3" s="1"/>
  <c r="AC921" i="3"/>
  <c r="AB920" i="3" l="1"/>
  <c r="AD920" i="3" l="1"/>
  <c r="AE920" i="3"/>
  <c r="AC920" i="3"/>
  <c r="AF920" i="3" l="1"/>
  <c r="AG920" i="3" s="1"/>
  <c r="AB919" i="3" l="1"/>
  <c r="AD919" i="3" l="1"/>
  <c r="AC919" i="3"/>
  <c r="AE919" i="3"/>
  <c r="AF919" i="3" l="1"/>
  <c r="AG919" i="3" s="1"/>
  <c r="AB918" i="3" l="1"/>
  <c r="AD918" i="3" l="1"/>
  <c r="AC918" i="3"/>
  <c r="AE918" i="3"/>
  <c r="AF918" i="3" l="1"/>
  <c r="AG918" i="3" s="1"/>
  <c r="AB917" i="3" l="1"/>
  <c r="AC917" i="3" l="1"/>
  <c r="AD917" i="3"/>
  <c r="AE917" i="3"/>
  <c r="AF917" i="3" l="1"/>
  <c r="AG917" i="3" s="1"/>
  <c r="AB916" i="3" l="1"/>
  <c r="AD916" i="3" l="1"/>
  <c r="AE916" i="3"/>
  <c r="AC916" i="3"/>
  <c r="AF916" i="3" l="1"/>
  <c r="AG916" i="3" s="1"/>
  <c r="AB915" i="3" l="1"/>
  <c r="AE915" i="3" l="1"/>
  <c r="AD915" i="3"/>
  <c r="AF915" i="3" s="1"/>
  <c r="AG915" i="3" s="1"/>
  <c r="AC915" i="3"/>
  <c r="AB914" i="3" l="1"/>
  <c r="AE914" i="3" l="1"/>
  <c r="AC914" i="3"/>
  <c r="AD914" i="3"/>
  <c r="AF914" i="3" s="1"/>
  <c r="AG914" i="3" s="1"/>
  <c r="AB913" i="3" l="1"/>
  <c r="AE913" i="3" l="1"/>
  <c r="AD913" i="3"/>
  <c r="AF913" i="3" s="1"/>
  <c r="AG913" i="3" s="1"/>
  <c r="AC913" i="3"/>
  <c r="AB912" i="3" l="1"/>
  <c r="AD912" i="3" l="1"/>
  <c r="AC912" i="3"/>
  <c r="AE912" i="3"/>
  <c r="AF912" i="3" l="1"/>
  <c r="AG912" i="3" s="1"/>
  <c r="AB911" i="3" l="1"/>
  <c r="AC911" i="3" l="1"/>
  <c r="AD911" i="3"/>
  <c r="AE911" i="3"/>
  <c r="AF911" i="3" l="1"/>
  <c r="AG911" i="3" s="1"/>
  <c r="AB910" i="3" l="1"/>
  <c r="AC910" i="3" l="1"/>
  <c r="AD910" i="3"/>
  <c r="AE910" i="3"/>
  <c r="AF910" i="3" l="1"/>
  <c r="AG910" i="3" s="1"/>
  <c r="AB909" i="3" l="1"/>
  <c r="AE909" i="3" l="1"/>
  <c r="AD909" i="3"/>
  <c r="AC909" i="3"/>
  <c r="AF909" i="3" l="1"/>
  <c r="AG909" i="3" s="1"/>
  <c r="AB908" i="3" l="1"/>
  <c r="AD908" i="3" l="1"/>
  <c r="AC908" i="3"/>
  <c r="AE908" i="3"/>
  <c r="AF908" i="3" l="1"/>
  <c r="AG908" i="3" s="1"/>
  <c r="AB907" i="3" l="1"/>
  <c r="AC907" i="3" l="1"/>
  <c r="AD907" i="3"/>
  <c r="AE907" i="3"/>
  <c r="AF907" i="3" l="1"/>
  <c r="AG907" i="3" s="1"/>
  <c r="AB906" i="3" l="1"/>
  <c r="AD906" i="3" l="1"/>
  <c r="AC906" i="3"/>
  <c r="AE906" i="3"/>
  <c r="AF906" i="3" l="1"/>
  <c r="AG906" i="3" s="1"/>
  <c r="AB905" i="3" l="1"/>
  <c r="AE905" i="3" l="1"/>
  <c r="AC905" i="3"/>
  <c r="AD905" i="3"/>
  <c r="AF905" i="3" s="1"/>
  <c r="AG905" i="3" s="1"/>
  <c r="AB904" i="3" l="1"/>
  <c r="AD904" i="3" l="1"/>
  <c r="AE904" i="3"/>
  <c r="AC904" i="3"/>
  <c r="AF904" i="3" l="1"/>
  <c r="AG904" i="3" s="1"/>
  <c r="AB903" i="3" l="1"/>
  <c r="AD903" i="3" l="1"/>
  <c r="AC903" i="3"/>
  <c r="AE903" i="3"/>
  <c r="AF903" i="3" l="1"/>
  <c r="AG903" i="3" s="1"/>
  <c r="AB902" i="3" l="1"/>
  <c r="AC902" i="3" l="1"/>
  <c r="AD902" i="3"/>
  <c r="AE902" i="3"/>
  <c r="AF902" i="3" l="1"/>
  <c r="AG902" i="3" s="1"/>
  <c r="AB901" i="3" l="1"/>
  <c r="AE901" i="3" l="1"/>
  <c r="AD901" i="3"/>
  <c r="AF901" i="3" s="1"/>
  <c r="AG901" i="3" s="1"/>
  <c r="AC901" i="3"/>
  <c r="AB900" i="3" l="1"/>
  <c r="AD900" i="3" l="1"/>
  <c r="AC900" i="3"/>
  <c r="AE900" i="3"/>
  <c r="AF900" i="3" l="1"/>
  <c r="AG900" i="3" s="1"/>
  <c r="AB899" i="3" l="1"/>
  <c r="AD899" i="3" l="1"/>
  <c r="AE899" i="3"/>
  <c r="AC899" i="3"/>
  <c r="AF899" i="3" l="1"/>
  <c r="AG899" i="3" s="1"/>
  <c r="AB898" i="3" l="1"/>
  <c r="AE898" i="3" l="1"/>
  <c r="AC898" i="3"/>
  <c r="AD898" i="3"/>
  <c r="AF898" i="3" s="1"/>
  <c r="AG898" i="3" s="1"/>
  <c r="AB897" i="3" l="1"/>
  <c r="AE897" i="3" l="1"/>
  <c r="AD897" i="3"/>
  <c r="AF897" i="3" s="1"/>
  <c r="AG897" i="3" s="1"/>
  <c r="AC897" i="3"/>
  <c r="AB896" i="3" l="1"/>
  <c r="AE896" i="3" l="1"/>
  <c r="AD896" i="3"/>
  <c r="AF896" i="3" s="1"/>
  <c r="AG896" i="3" s="1"/>
  <c r="AC896" i="3"/>
  <c r="AB895" i="3" l="1"/>
  <c r="AD895" i="3" l="1"/>
  <c r="AC895" i="3"/>
  <c r="AE895" i="3"/>
  <c r="AF895" i="3" l="1"/>
  <c r="AG895" i="3" s="1"/>
  <c r="AB894" i="3" l="1"/>
  <c r="AD894" i="3" l="1"/>
  <c r="AC894" i="3"/>
  <c r="AE894" i="3"/>
  <c r="AF894" i="3" l="1"/>
  <c r="AG894" i="3" s="1"/>
  <c r="AB893" i="3" l="1"/>
  <c r="AC893" i="3" l="1"/>
  <c r="AE893" i="3"/>
  <c r="AD893" i="3"/>
  <c r="AF893" i="3" s="1"/>
  <c r="AG893" i="3" s="1"/>
  <c r="AB892" i="3" l="1"/>
  <c r="AE892" i="3" l="1"/>
  <c r="AC892" i="3"/>
  <c r="AD892" i="3"/>
  <c r="AF892" i="3" s="1"/>
  <c r="AG892" i="3" s="1"/>
  <c r="AB891" i="3" l="1"/>
  <c r="AD891" i="3" l="1"/>
  <c r="AE891" i="3"/>
  <c r="AC891" i="3"/>
  <c r="AF891" i="3" l="1"/>
  <c r="AG891" i="3" s="1"/>
  <c r="AB890" i="3" l="1"/>
  <c r="AD890" i="3" l="1"/>
  <c r="AC890" i="3"/>
  <c r="AE890" i="3"/>
  <c r="AF890" i="3" l="1"/>
  <c r="AG890" i="3" s="1"/>
  <c r="AB889" i="3" l="1"/>
  <c r="AE889" i="3" l="1"/>
  <c r="AD889" i="3"/>
  <c r="AF889" i="3" s="1"/>
  <c r="AG889" i="3" s="1"/>
  <c r="AC889" i="3"/>
  <c r="AB888" i="3" l="1"/>
  <c r="AE888" i="3" l="1"/>
  <c r="AC888" i="3"/>
  <c r="AD888" i="3"/>
  <c r="AF888" i="3" s="1"/>
  <c r="AG888" i="3" s="1"/>
  <c r="AB887" i="3" l="1"/>
  <c r="AD887" i="3" l="1"/>
  <c r="AC887" i="3"/>
  <c r="AE887" i="3"/>
  <c r="AF887" i="3" l="1"/>
  <c r="AG887" i="3" s="1"/>
  <c r="AB886" i="3" l="1"/>
  <c r="AD886" i="3" l="1"/>
  <c r="AC886" i="3"/>
  <c r="AE886" i="3"/>
  <c r="AF886" i="3" l="1"/>
  <c r="AG886" i="3" s="1"/>
  <c r="AB885" i="3" l="1"/>
  <c r="AC885" i="3" l="1"/>
  <c r="AD885" i="3"/>
  <c r="AE885" i="3"/>
  <c r="AF885" i="3" l="1"/>
  <c r="AG885" i="3" s="1"/>
  <c r="AB884" i="3" l="1"/>
  <c r="AE884" i="3" l="1"/>
  <c r="AD884" i="3"/>
  <c r="AF884" i="3" s="1"/>
  <c r="AG884" i="3" s="1"/>
  <c r="AC884" i="3"/>
  <c r="AB883" i="3" l="1"/>
  <c r="AD883" i="3" l="1"/>
  <c r="AE883" i="3"/>
  <c r="AC883" i="3"/>
  <c r="AF883" i="3" l="1"/>
  <c r="AG883" i="3" s="1"/>
  <c r="AB882" i="3" l="1"/>
  <c r="AD882" i="3" l="1"/>
  <c r="AE882" i="3"/>
  <c r="AC882" i="3"/>
  <c r="AF882" i="3" l="1"/>
  <c r="AG882" i="3" s="1"/>
  <c r="AB881" i="3" l="1"/>
  <c r="AE881" i="3" l="1"/>
  <c r="AC881" i="3"/>
  <c r="AD881" i="3"/>
  <c r="AF881" i="3" l="1"/>
  <c r="AG881" i="3" s="1"/>
  <c r="AB880" i="3"/>
  <c r="AE880" i="3" l="1"/>
  <c r="AD880" i="3"/>
  <c r="AC880" i="3"/>
  <c r="AF880" i="3" l="1"/>
  <c r="AG880" i="3" s="1"/>
  <c r="AB879" i="3"/>
  <c r="AD879" i="3" l="1"/>
  <c r="AC879" i="3"/>
  <c r="AE879" i="3"/>
  <c r="AF879" i="3" l="1"/>
  <c r="AG879" i="3" s="1"/>
  <c r="AB878" i="3" l="1"/>
  <c r="AC878" i="3" l="1"/>
  <c r="AD878" i="3"/>
  <c r="AE878" i="3"/>
  <c r="AF878" i="3" l="1"/>
  <c r="AG878" i="3" s="1"/>
  <c r="AB877" i="3" l="1"/>
  <c r="AE877" i="3" l="1"/>
  <c r="AD877" i="3"/>
  <c r="AF877" i="3" s="1"/>
  <c r="AG877" i="3" s="1"/>
  <c r="AC877" i="3"/>
  <c r="AB876" i="3" l="1"/>
  <c r="AD876" i="3" l="1"/>
  <c r="AC876" i="3"/>
  <c r="AE876" i="3"/>
  <c r="AF876" i="3" l="1"/>
  <c r="AG876" i="3" s="1"/>
  <c r="AB875" i="3" l="1"/>
  <c r="AE875" i="3" l="1"/>
  <c r="AC875" i="3"/>
  <c r="AD875" i="3"/>
  <c r="AF875" i="3" s="1"/>
  <c r="AG875" i="3" s="1"/>
  <c r="AB874" i="3" l="1"/>
  <c r="AD874" i="3" l="1"/>
  <c r="AC874" i="3"/>
  <c r="AE874" i="3"/>
  <c r="AF874" i="3" l="1"/>
  <c r="AG874" i="3" s="1"/>
  <c r="AB873" i="3" l="1"/>
  <c r="AD873" i="3" l="1"/>
  <c r="AC873" i="3"/>
  <c r="AE873" i="3"/>
  <c r="AF873" i="3" l="1"/>
  <c r="AG873" i="3" s="1"/>
  <c r="AB872" i="3" l="1"/>
  <c r="AE872" i="3" l="1"/>
  <c r="AD872" i="3"/>
  <c r="AF872" i="3" s="1"/>
  <c r="AG872" i="3" s="1"/>
  <c r="AC872" i="3"/>
  <c r="AB871" i="3" l="1"/>
  <c r="AC871" i="3" l="1"/>
  <c r="AE871" i="3"/>
  <c r="AD871" i="3"/>
  <c r="AF871" i="3" s="1"/>
  <c r="AG871" i="3" s="1"/>
  <c r="AB870" i="3" l="1"/>
  <c r="AD870" i="3" l="1"/>
  <c r="AC870" i="3"/>
  <c r="AE870" i="3"/>
  <c r="AF870" i="3" l="1"/>
  <c r="AG870" i="3" s="1"/>
  <c r="AB869" i="3" l="1"/>
  <c r="AC869" i="3" l="1"/>
  <c r="AD869" i="3"/>
  <c r="AE869" i="3"/>
  <c r="AF869" i="3" l="1"/>
  <c r="AG869" i="3" s="1"/>
  <c r="AB868" i="3" l="1"/>
  <c r="AC868" i="3" l="1"/>
  <c r="AD868" i="3"/>
  <c r="AE868" i="3"/>
  <c r="AF868" i="3" l="1"/>
  <c r="AG868" i="3" s="1"/>
  <c r="AB867" i="3" l="1"/>
  <c r="AE867" i="3" l="1"/>
  <c r="AC867" i="3"/>
  <c r="AD867" i="3"/>
  <c r="AF867" i="3" s="1"/>
  <c r="AG867" i="3" s="1"/>
  <c r="AB866" i="3" l="1"/>
  <c r="AD866" i="3" l="1"/>
  <c r="AC866" i="3"/>
  <c r="AE866" i="3"/>
  <c r="AF866" i="3" l="1"/>
  <c r="AG866" i="3" s="1"/>
  <c r="AB865" i="3" l="1"/>
  <c r="AC865" i="3" l="1"/>
  <c r="AE865" i="3"/>
  <c r="AD865" i="3"/>
  <c r="AF865" i="3" s="1"/>
  <c r="AG865" i="3" s="1"/>
  <c r="AB864" i="3" l="1"/>
  <c r="AE864" i="3" l="1"/>
  <c r="AD864" i="3"/>
  <c r="AF864" i="3" s="1"/>
  <c r="AG864" i="3" s="1"/>
  <c r="AC864" i="3"/>
  <c r="AB863" i="3" l="1"/>
  <c r="AD863" i="3" l="1"/>
  <c r="AC863" i="3"/>
  <c r="AE863" i="3"/>
  <c r="AF863" i="3" l="1"/>
  <c r="AG863" i="3" s="1"/>
  <c r="AB862" i="3" l="1"/>
  <c r="AC862" i="3" l="1"/>
  <c r="AD862" i="3"/>
  <c r="AE862" i="3"/>
  <c r="AF862" i="3" l="1"/>
  <c r="AG862" i="3" s="1"/>
  <c r="AB861" i="3" l="1"/>
  <c r="AE861" i="3" l="1"/>
  <c r="AC861" i="3"/>
  <c r="AD861" i="3"/>
  <c r="AF861" i="3" s="1"/>
  <c r="AG861" i="3" s="1"/>
  <c r="AB860" i="3" l="1"/>
  <c r="AD860" i="3" l="1"/>
  <c r="AE860" i="3"/>
  <c r="AC860" i="3"/>
  <c r="AF860" i="3" l="1"/>
  <c r="AG860" i="3" s="1"/>
  <c r="AB859" i="3" l="1"/>
  <c r="AE859" i="3" l="1"/>
  <c r="AC859" i="3"/>
  <c r="AD859" i="3"/>
  <c r="AF859" i="3" s="1"/>
  <c r="AG859" i="3" s="1"/>
  <c r="AB858" i="3" l="1"/>
  <c r="AE858" i="3" l="1"/>
  <c r="AD858" i="3"/>
  <c r="AF858" i="3" s="1"/>
  <c r="AG858" i="3" s="1"/>
  <c r="AC858" i="3"/>
  <c r="AB857" i="3" l="1"/>
  <c r="AD857" i="3" l="1"/>
  <c r="AE857" i="3"/>
  <c r="AC857" i="3"/>
  <c r="AF857" i="3" l="1"/>
  <c r="AG857" i="3" s="1"/>
  <c r="AB856" i="3" l="1"/>
  <c r="AD856" i="3" l="1"/>
  <c r="AC856" i="3"/>
  <c r="AE856" i="3"/>
  <c r="AF856" i="3" l="1"/>
  <c r="AG856" i="3" s="1"/>
  <c r="AB855" i="3" l="1"/>
  <c r="AE855" i="3" l="1"/>
  <c r="AD855" i="3"/>
  <c r="AF855" i="3" s="1"/>
  <c r="AG855" i="3" s="1"/>
  <c r="AC855" i="3"/>
  <c r="AB854" i="3" l="1"/>
  <c r="AC854" i="3" l="1"/>
  <c r="AD854" i="3"/>
  <c r="AE854" i="3"/>
  <c r="AF854" i="3" l="1"/>
  <c r="AG854" i="3" s="1"/>
  <c r="AB853" i="3" l="1"/>
  <c r="AC853" i="3" l="1"/>
  <c r="AE853" i="3"/>
  <c r="AD853" i="3"/>
  <c r="AF853" i="3" s="1"/>
  <c r="AG853" i="3" s="1"/>
  <c r="AB852" i="3" l="1"/>
  <c r="AD852" i="3" l="1"/>
  <c r="AC852" i="3"/>
  <c r="AE852" i="3"/>
  <c r="AF852" i="3" l="1"/>
  <c r="AG852" i="3" s="1"/>
  <c r="AB851" i="3" l="1"/>
  <c r="AC851" i="3" l="1"/>
  <c r="AD851" i="3"/>
  <c r="AE851" i="3"/>
  <c r="AF851" i="3" l="1"/>
  <c r="AG851" i="3" s="1"/>
  <c r="AB850" i="3" l="1"/>
  <c r="AE850" i="3" l="1"/>
  <c r="AD850" i="3"/>
  <c r="AF850" i="3" s="1"/>
  <c r="AG850" i="3" s="1"/>
  <c r="AC850" i="3"/>
  <c r="AB849" i="3" l="1"/>
  <c r="AD849" i="3" l="1"/>
  <c r="AC849" i="3"/>
  <c r="AE849" i="3"/>
  <c r="AF849" i="3" l="1"/>
  <c r="AG849" i="3" s="1"/>
  <c r="AB848" i="3" l="1"/>
  <c r="AE848" i="3" l="1"/>
  <c r="AC848" i="3"/>
  <c r="AD848" i="3"/>
  <c r="AF848" i="3" s="1"/>
  <c r="AG848" i="3" s="1"/>
  <c r="AB847" i="3" l="1"/>
  <c r="AD847" i="3" l="1"/>
  <c r="AC847" i="3"/>
  <c r="AE847" i="3"/>
  <c r="AF847" i="3" l="1"/>
  <c r="AG847" i="3" s="1"/>
  <c r="AB846" i="3" l="1"/>
  <c r="AC846" i="3" l="1"/>
  <c r="AD846" i="3"/>
  <c r="AE846" i="3"/>
  <c r="AF846" i="3" l="1"/>
  <c r="AG846" i="3" s="1"/>
  <c r="AB845" i="3" l="1"/>
  <c r="AE845" i="3" l="1"/>
  <c r="AC845" i="3"/>
  <c r="AD845" i="3"/>
  <c r="AF845" i="3" l="1"/>
  <c r="AG845" i="3" s="1"/>
  <c r="AB844" i="3"/>
  <c r="AC844" i="3" l="1"/>
  <c r="AE844" i="3"/>
  <c r="AD844" i="3"/>
  <c r="AF844" i="3" s="1"/>
  <c r="AG844" i="3" s="1"/>
  <c r="AB843" i="3" l="1"/>
  <c r="AD843" i="3" l="1"/>
  <c r="AE843" i="3"/>
  <c r="AC843" i="3"/>
  <c r="AF843" i="3" l="1"/>
  <c r="AG843" i="3" s="1"/>
  <c r="AB842" i="3" l="1"/>
  <c r="AD842" i="3" l="1"/>
  <c r="AC842" i="3"/>
  <c r="AE842" i="3"/>
  <c r="AF842" i="3" l="1"/>
  <c r="AG842" i="3" s="1"/>
  <c r="AB841" i="3" l="1"/>
  <c r="AE841" i="3" l="1"/>
  <c r="AC841" i="3"/>
  <c r="AD841" i="3"/>
  <c r="AF841" i="3" s="1"/>
  <c r="AG841" i="3" s="1"/>
  <c r="AB840" i="3" l="1"/>
  <c r="AD840" i="3" l="1"/>
  <c r="AC840" i="3"/>
  <c r="AE840" i="3"/>
  <c r="AF840" i="3" l="1"/>
  <c r="AG840" i="3" s="1"/>
  <c r="AB839" i="3" l="1"/>
  <c r="AC839" i="3" l="1"/>
  <c r="AE839" i="3"/>
  <c r="AD839" i="3"/>
  <c r="AF839" i="3" s="1"/>
  <c r="AG839" i="3" s="1"/>
  <c r="AB838" i="3" l="1"/>
  <c r="AC838" i="3" l="1"/>
  <c r="AE838" i="3"/>
  <c r="AD838" i="3"/>
  <c r="AF838" i="3" s="1"/>
  <c r="AG838" i="3" s="1"/>
  <c r="AB837" i="3" l="1"/>
  <c r="AE837" i="3" l="1"/>
  <c r="AD837" i="3"/>
  <c r="AF837" i="3" s="1"/>
  <c r="AG837" i="3" s="1"/>
  <c r="AC837" i="3"/>
  <c r="AB836" i="3" l="1"/>
  <c r="AE836" i="3" l="1"/>
  <c r="AD836" i="3"/>
  <c r="AF836" i="3" s="1"/>
  <c r="AG836" i="3" s="1"/>
  <c r="AC836" i="3"/>
  <c r="AB835" i="3" l="1"/>
  <c r="AE835" i="3" l="1"/>
  <c r="AD835" i="3"/>
  <c r="AF835" i="3" s="1"/>
  <c r="AG835" i="3" s="1"/>
  <c r="AC835" i="3"/>
  <c r="AB834" i="3" l="1"/>
  <c r="AE834" i="3" l="1"/>
  <c r="AC834" i="3"/>
  <c r="AD834" i="3"/>
  <c r="AF834" i="3" s="1"/>
  <c r="AG834" i="3" s="1"/>
  <c r="AB833" i="3" l="1"/>
  <c r="AD833" i="3" l="1"/>
  <c r="AC833" i="3"/>
  <c r="AE833" i="3"/>
  <c r="AF833" i="3" l="1"/>
  <c r="AG833" i="3" s="1"/>
  <c r="AB832" i="3" l="1"/>
  <c r="AD832" i="3" l="1"/>
  <c r="AC832" i="3"/>
  <c r="AE832" i="3"/>
  <c r="AF832" i="3" l="1"/>
  <c r="AG832" i="3" s="1"/>
  <c r="AB831" i="3" l="1"/>
  <c r="AD831" i="3" l="1"/>
  <c r="AE831" i="3"/>
  <c r="AC831" i="3"/>
  <c r="AF831" i="3" l="1"/>
  <c r="AG831" i="3" s="1"/>
  <c r="AB830" i="3" l="1"/>
  <c r="AE830" i="3" l="1"/>
  <c r="AD830" i="3"/>
  <c r="AF830" i="3" s="1"/>
  <c r="AG830" i="3" s="1"/>
  <c r="AC830" i="3"/>
  <c r="AB829" i="3" l="1"/>
  <c r="AC829" i="3" l="1"/>
  <c r="AD829" i="3"/>
  <c r="AE829" i="3"/>
  <c r="AF829" i="3" l="1"/>
  <c r="AG829" i="3" s="1"/>
  <c r="AB828" i="3" l="1"/>
  <c r="AE828" i="3" l="1"/>
  <c r="AC828" i="3"/>
  <c r="AD828" i="3"/>
  <c r="AF828" i="3" s="1"/>
  <c r="AG828" i="3" s="1"/>
  <c r="AB827" i="3" l="1"/>
  <c r="AE827" i="3" l="1"/>
  <c r="AD827" i="3"/>
  <c r="AF827" i="3" s="1"/>
  <c r="AC827" i="3"/>
  <c r="AG827" i="3" l="1"/>
  <c r="AB826" i="3" l="1"/>
  <c r="AE826" i="3" l="1"/>
  <c r="AD826" i="3"/>
  <c r="AF826" i="3" s="1"/>
  <c r="AG826" i="3" s="1"/>
  <c r="AC826" i="3"/>
  <c r="AB825" i="3" l="1"/>
  <c r="AE825" i="3" l="1"/>
  <c r="AD825" i="3"/>
  <c r="AF825" i="3" s="1"/>
  <c r="AC825" i="3"/>
  <c r="AG825" i="3" l="1"/>
  <c r="AB824" i="3" l="1"/>
  <c r="AC824" i="3" l="1"/>
  <c r="AE824" i="3"/>
  <c r="AD824" i="3"/>
  <c r="AF824" i="3" s="1"/>
  <c r="AG824" i="3" s="1"/>
  <c r="AB823" i="3" l="1"/>
  <c r="AD823" i="3" l="1"/>
  <c r="AE823" i="3"/>
  <c r="AC823" i="3"/>
  <c r="AF823" i="3" l="1"/>
  <c r="AG823" i="3" s="1"/>
  <c r="AB822" i="3" l="1"/>
  <c r="AD822" i="3" l="1"/>
  <c r="AE822" i="3"/>
  <c r="AC822" i="3"/>
  <c r="AF822" i="3" l="1"/>
  <c r="AG822" i="3" s="1"/>
  <c r="AB821" i="3" l="1"/>
  <c r="AD821" i="3" l="1"/>
  <c r="AE821" i="3"/>
  <c r="AC821" i="3"/>
  <c r="AF821" i="3" l="1"/>
  <c r="AG821" i="3" s="1"/>
  <c r="AB820" i="3" l="1"/>
  <c r="AD820" i="3" l="1"/>
  <c r="AC820" i="3"/>
  <c r="AE820" i="3"/>
  <c r="AF820" i="3" l="1"/>
  <c r="AG820" i="3" s="1"/>
  <c r="AB819" i="3" l="1"/>
  <c r="AC819" i="3" l="1"/>
  <c r="AE819" i="3"/>
  <c r="AD819" i="3"/>
  <c r="AF819" i="3" s="1"/>
  <c r="AG819" i="3" s="1"/>
  <c r="AB818" i="3" l="1"/>
  <c r="AE818" i="3" l="1"/>
  <c r="AD818" i="3"/>
  <c r="AF818" i="3" s="1"/>
  <c r="AG818" i="3" s="1"/>
  <c r="AC818" i="3"/>
  <c r="AB817" i="3" l="1"/>
  <c r="AE817" i="3" l="1"/>
  <c r="AC817" i="3"/>
  <c r="AD817" i="3"/>
  <c r="AF817" i="3" s="1"/>
  <c r="AG817" i="3" s="1"/>
  <c r="AB816" i="3" l="1"/>
  <c r="AE816" i="3" l="1"/>
  <c r="AC816" i="3"/>
  <c r="AD816" i="3"/>
  <c r="AF816" i="3" s="1"/>
  <c r="AG816" i="3" s="1"/>
  <c r="AB815" i="3" l="1"/>
  <c r="AD815" i="3" l="1"/>
  <c r="AC815" i="3"/>
  <c r="AE815" i="3"/>
  <c r="AF815" i="3" l="1"/>
  <c r="AG815" i="3" s="1"/>
  <c r="AB814" i="3" l="1"/>
  <c r="AC814" i="3" l="1"/>
  <c r="AD814" i="3"/>
  <c r="AE814" i="3"/>
  <c r="AF814" i="3" l="1"/>
  <c r="AG814" i="3" s="1"/>
  <c r="AB813" i="3" l="1"/>
  <c r="AE813" i="3" l="1"/>
  <c r="AD813" i="3"/>
  <c r="AF813" i="3" s="1"/>
  <c r="AG813" i="3" s="1"/>
  <c r="AC813" i="3"/>
  <c r="AB812" i="3" l="1"/>
  <c r="AC812" i="3" l="1"/>
  <c r="AE812" i="3"/>
  <c r="AD812" i="3"/>
  <c r="AF812" i="3" s="1"/>
  <c r="AG812" i="3" s="1"/>
  <c r="AB811" i="3" l="1"/>
  <c r="AD811" i="3" l="1"/>
  <c r="AE811" i="3"/>
  <c r="AC811" i="3"/>
  <c r="AF811" i="3" l="1"/>
  <c r="AG811" i="3" s="1"/>
  <c r="AB810" i="3" l="1"/>
  <c r="AE810" i="3" l="1"/>
  <c r="AC810" i="3"/>
  <c r="AD810" i="3"/>
  <c r="AF810" i="3" s="1"/>
  <c r="AG810" i="3" s="1"/>
  <c r="AB809" i="3" l="1"/>
  <c r="AC809" i="3" l="1"/>
  <c r="AE809" i="3"/>
  <c r="AD809" i="3"/>
  <c r="AF809" i="3" s="1"/>
  <c r="AG809" i="3" s="1"/>
  <c r="AB808" i="3" l="1"/>
  <c r="AD808" i="3" l="1"/>
  <c r="AC808" i="3"/>
  <c r="AE808" i="3"/>
  <c r="AF808" i="3" l="1"/>
  <c r="AG808" i="3" s="1"/>
  <c r="AB807" i="3" l="1"/>
  <c r="AD807" i="3" l="1"/>
  <c r="AE807" i="3"/>
  <c r="AC807" i="3"/>
  <c r="AF807" i="3" l="1"/>
  <c r="AG807" i="3" s="1"/>
  <c r="AB806" i="3" l="1"/>
  <c r="AE806" i="3" l="1"/>
  <c r="AD806" i="3"/>
  <c r="AF806" i="3" s="1"/>
  <c r="AG806" i="3" s="1"/>
  <c r="AC806" i="3"/>
  <c r="AB805" i="3" l="1"/>
  <c r="AE805" i="3" l="1"/>
  <c r="AD805" i="3"/>
  <c r="AF805" i="3" s="1"/>
  <c r="AG805" i="3" s="1"/>
  <c r="AC805" i="3"/>
  <c r="AB804" i="3" l="1"/>
  <c r="AC804" i="3" l="1"/>
  <c r="AE804" i="3"/>
  <c r="AD804" i="3"/>
  <c r="AF804" i="3" s="1"/>
  <c r="AG804" i="3" s="1"/>
  <c r="AB803" i="3" l="1"/>
  <c r="AE803" i="3" l="1"/>
  <c r="AD803" i="3"/>
  <c r="AF803" i="3" s="1"/>
  <c r="AG803" i="3" s="1"/>
  <c r="AC803" i="3"/>
  <c r="AB802" i="3" l="1"/>
  <c r="AE802" i="3" l="1"/>
  <c r="AC802" i="3"/>
  <c r="AD802" i="3"/>
  <c r="AF802" i="3" s="1"/>
  <c r="AG802" i="3" s="1"/>
  <c r="AB801" i="3" l="1"/>
  <c r="AE801" i="3" l="1"/>
  <c r="AC801" i="3"/>
  <c r="AD801" i="3"/>
  <c r="AF801" i="3" s="1"/>
  <c r="AG801" i="3" s="1"/>
  <c r="AB800" i="3" l="1"/>
  <c r="AD800" i="3" l="1"/>
  <c r="AC800" i="3"/>
  <c r="AE800" i="3"/>
  <c r="AF800" i="3" l="1"/>
  <c r="AG800" i="3" s="1"/>
  <c r="AB799" i="3" l="1"/>
  <c r="AD799" i="3" l="1"/>
  <c r="AE799" i="3"/>
  <c r="AC799" i="3"/>
  <c r="AF799" i="3" l="1"/>
  <c r="AG799" i="3" s="1"/>
  <c r="AB798" i="3" l="1"/>
  <c r="AC798" i="3" l="1"/>
  <c r="AD798" i="3"/>
  <c r="AE798" i="3"/>
  <c r="AF798" i="3" l="1"/>
  <c r="AG798" i="3" s="1"/>
  <c r="AB797" i="3" l="1"/>
  <c r="AD797" i="3" l="1"/>
  <c r="AC797" i="3"/>
  <c r="AE797" i="3"/>
  <c r="AF797" i="3" l="1"/>
  <c r="AG797" i="3" s="1"/>
  <c r="AB796" i="3" l="1"/>
  <c r="AE796" i="3" l="1"/>
  <c r="AD796" i="3"/>
  <c r="AF796" i="3" s="1"/>
  <c r="AG796" i="3" s="1"/>
  <c r="AC796" i="3"/>
  <c r="AB795" i="3" l="1"/>
  <c r="AD795" i="3" l="1"/>
  <c r="AC795" i="3"/>
  <c r="AE795" i="3"/>
  <c r="AF795" i="3" l="1"/>
  <c r="AG795" i="3" s="1"/>
  <c r="AB794" i="3" l="1"/>
  <c r="AE794" i="3" l="1"/>
  <c r="AD794" i="3"/>
  <c r="AF794" i="3" s="1"/>
  <c r="AG794" i="3" s="1"/>
  <c r="AC794" i="3"/>
  <c r="AB793" i="3" l="1"/>
  <c r="AE793" i="3" l="1"/>
  <c r="AC793" i="3"/>
  <c r="AD793" i="3"/>
  <c r="AF793" i="3" s="1"/>
  <c r="AG793" i="3" s="1"/>
  <c r="AB792" i="3" l="1"/>
  <c r="AE792" i="3" l="1"/>
  <c r="AC792" i="3"/>
  <c r="AD792" i="3"/>
  <c r="AF792" i="3" s="1"/>
  <c r="AG792" i="3" s="1"/>
  <c r="AB791" i="3" l="1"/>
  <c r="AE791" i="3" l="1"/>
  <c r="AD791" i="3"/>
  <c r="AF791" i="3" s="1"/>
  <c r="AG791" i="3" s="1"/>
  <c r="AC791" i="3"/>
  <c r="AB790" i="3" l="1"/>
  <c r="AE790" i="3" l="1"/>
  <c r="AD790" i="3"/>
  <c r="AF790" i="3" s="1"/>
  <c r="AG790" i="3" s="1"/>
  <c r="AC790" i="3"/>
  <c r="AB789" i="3" l="1"/>
  <c r="AD789" i="3" l="1"/>
  <c r="AC789" i="3"/>
  <c r="AE789" i="3"/>
  <c r="AF789" i="3" l="1"/>
  <c r="AG789" i="3" s="1"/>
  <c r="AB788" i="3" l="1"/>
  <c r="AC788" i="3" l="1"/>
  <c r="AE788" i="3"/>
  <c r="AD788" i="3"/>
  <c r="AF788" i="3" s="1"/>
  <c r="AG788" i="3" s="1"/>
  <c r="AB787" i="3" l="1"/>
  <c r="AE787" i="3" l="1"/>
  <c r="AC787" i="3"/>
  <c r="AD787" i="3"/>
  <c r="AF787" i="3" s="1"/>
  <c r="AG787" i="3" s="1"/>
  <c r="AB786" i="3" l="1"/>
  <c r="AC786" i="3" l="1"/>
  <c r="AE786" i="3"/>
  <c r="AD786" i="3"/>
  <c r="AF786" i="3" s="1"/>
  <c r="AG786" i="3" s="1"/>
  <c r="AB785" i="3" l="1"/>
  <c r="AD785" i="3" l="1"/>
  <c r="AC785" i="3"/>
  <c r="AE785" i="3"/>
  <c r="AF785" i="3" l="1"/>
  <c r="AG785" i="3" s="1"/>
  <c r="AB784" i="3" l="1"/>
  <c r="AD784" i="3" l="1"/>
  <c r="AC784" i="3"/>
  <c r="AE784" i="3"/>
  <c r="AF784" i="3" l="1"/>
  <c r="AG784" i="3" s="1"/>
  <c r="AB783" i="3" l="1"/>
  <c r="AE783" i="3" l="1"/>
  <c r="AD783" i="3"/>
  <c r="AF783" i="3" s="1"/>
  <c r="AG783" i="3" s="1"/>
  <c r="AC783" i="3"/>
  <c r="AB782" i="3" l="1"/>
  <c r="AE782" i="3" l="1"/>
  <c r="AD782" i="3"/>
  <c r="AF782" i="3" s="1"/>
  <c r="AG782" i="3" s="1"/>
  <c r="AC782" i="3"/>
  <c r="AB781" i="3" l="1"/>
  <c r="AD781" i="3" l="1"/>
  <c r="AE781" i="3"/>
  <c r="AC781" i="3"/>
  <c r="AF781" i="3" l="1"/>
  <c r="AG781" i="3" s="1"/>
  <c r="AB780" i="3" l="1"/>
  <c r="AC780" i="3" l="1"/>
  <c r="AE780" i="3"/>
  <c r="AD780" i="3"/>
  <c r="AF780" i="3" s="1"/>
  <c r="AG780" i="3" s="1"/>
  <c r="AB779" i="3" l="1"/>
  <c r="AE779" i="3" l="1"/>
  <c r="AC779" i="3"/>
  <c r="AD779" i="3"/>
  <c r="AF779" i="3" s="1"/>
  <c r="AG779" i="3" s="1"/>
  <c r="AB778" i="3" l="1"/>
  <c r="AE778" i="3" l="1"/>
  <c r="AC778" i="3"/>
  <c r="AD778" i="3"/>
  <c r="AF778" i="3" s="1"/>
  <c r="AG778" i="3" s="1"/>
  <c r="AB777" i="3" l="1"/>
  <c r="AE777" i="3" l="1"/>
  <c r="AD777" i="3"/>
  <c r="AF777" i="3" s="1"/>
  <c r="AG777" i="3" s="1"/>
  <c r="AC777" i="3"/>
  <c r="AB776" i="3" l="1"/>
  <c r="AE776" i="3" l="1"/>
  <c r="AD776" i="3"/>
  <c r="AF776" i="3" s="1"/>
  <c r="AG776" i="3" s="1"/>
  <c r="AC776" i="3"/>
  <c r="AB775" i="3" l="1"/>
  <c r="AE775" i="3" l="1"/>
  <c r="AD775" i="3"/>
  <c r="AF775" i="3" s="1"/>
  <c r="AG775" i="3" s="1"/>
  <c r="AC775" i="3"/>
  <c r="AB774" i="3" l="1"/>
  <c r="AE774" i="3" l="1"/>
  <c r="AD774" i="3"/>
  <c r="AF774" i="3" s="1"/>
  <c r="AG774" i="3" s="1"/>
  <c r="AC774" i="3"/>
  <c r="AB773" i="3" l="1"/>
  <c r="AC773" i="3" l="1"/>
  <c r="AE773" i="3"/>
  <c r="AD773" i="3"/>
  <c r="AF773" i="3" s="1"/>
  <c r="AG773" i="3" s="1"/>
  <c r="AB772" i="3" l="1"/>
  <c r="AE772" i="3" l="1"/>
  <c r="AC772" i="3"/>
  <c r="AD772" i="3"/>
  <c r="AF772" i="3" s="1"/>
  <c r="AG772" i="3" s="1"/>
  <c r="AB771" i="3" l="1"/>
  <c r="AD771" i="3" l="1"/>
  <c r="AC771" i="3"/>
  <c r="AE771" i="3"/>
  <c r="AF771" i="3" l="1"/>
  <c r="AG771" i="3" s="1"/>
  <c r="AB770" i="3" l="1"/>
  <c r="AE770" i="3" l="1"/>
  <c r="AD770" i="3"/>
  <c r="AF770" i="3" s="1"/>
  <c r="AG770" i="3" s="1"/>
  <c r="AC770" i="3"/>
  <c r="AB769" i="3" l="1"/>
  <c r="AE769" i="3" l="1"/>
  <c r="AD769" i="3"/>
  <c r="AF769" i="3" s="1"/>
  <c r="AG769" i="3" s="1"/>
  <c r="AC769" i="3"/>
  <c r="AB768" i="3" l="1"/>
  <c r="AE768" i="3" l="1"/>
  <c r="AD768" i="3"/>
  <c r="AF768" i="3" s="1"/>
  <c r="AG768" i="3" s="1"/>
  <c r="AC768" i="3"/>
  <c r="AB767" i="3" l="1"/>
  <c r="AE767" i="3" l="1"/>
  <c r="AD767" i="3"/>
  <c r="AF767" i="3" s="1"/>
  <c r="AG767" i="3" s="1"/>
  <c r="AC767" i="3"/>
  <c r="AB766" i="3" l="1"/>
  <c r="AD766" i="3" l="1"/>
  <c r="AE766" i="3"/>
  <c r="AC766" i="3"/>
  <c r="AF766" i="3" l="1"/>
  <c r="AG766" i="3" s="1"/>
  <c r="AB765" i="3" l="1"/>
  <c r="AD765" i="3" l="1"/>
  <c r="AE765" i="3"/>
  <c r="AC765" i="3"/>
  <c r="AF765" i="3" l="1"/>
  <c r="AG765" i="3" s="1"/>
  <c r="AB764" i="3" l="1"/>
  <c r="AC764" i="3" l="1"/>
  <c r="AD764" i="3"/>
  <c r="AE764" i="3"/>
  <c r="AF764" i="3" l="1"/>
  <c r="AG764" i="3" s="1"/>
  <c r="AB763" i="3" l="1"/>
  <c r="AD763" i="3" l="1"/>
  <c r="AC763" i="3"/>
  <c r="AE763" i="3"/>
  <c r="AF763" i="3" l="1"/>
  <c r="AG763" i="3" s="1"/>
  <c r="AB762" i="3" l="1"/>
  <c r="AE762" i="3" l="1"/>
  <c r="AD762" i="3"/>
  <c r="AF762" i="3" s="1"/>
  <c r="AG762" i="3" s="1"/>
  <c r="AC762" i="3"/>
  <c r="AB761" i="3" l="1"/>
  <c r="AE761" i="3" l="1"/>
  <c r="AD761" i="3"/>
  <c r="AF761" i="3" s="1"/>
  <c r="AG761" i="3" s="1"/>
  <c r="AC761" i="3"/>
  <c r="AB760" i="3" l="1"/>
  <c r="AE760" i="3" l="1"/>
  <c r="AC760" i="3"/>
  <c r="AD760" i="3"/>
  <c r="AF760" i="3" s="1"/>
  <c r="AG760" i="3" s="1"/>
  <c r="AB759" i="3" l="1"/>
  <c r="AD759" i="3" l="1"/>
  <c r="AE759" i="3"/>
  <c r="AC759" i="3"/>
  <c r="AF759" i="3" l="1"/>
  <c r="AG759" i="3" s="1"/>
  <c r="AB758" i="3" l="1"/>
  <c r="AE758" i="3" l="1"/>
  <c r="AC758" i="3"/>
  <c r="AD758" i="3"/>
  <c r="AF758" i="3" s="1"/>
  <c r="AG758" i="3" s="1"/>
  <c r="AB757" i="3" l="1"/>
  <c r="AE757" i="3" l="1"/>
  <c r="AD757" i="3"/>
  <c r="AF757" i="3" s="1"/>
  <c r="AG757" i="3" s="1"/>
  <c r="AC757" i="3"/>
  <c r="AB756" i="3" l="1"/>
  <c r="AC756" i="3" l="1"/>
  <c r="AE756" i="3"/>
  <c r="AD756" i="3"/>
  <c r="AF756" i="3" s="1"/>
  <c r="AG756" i="3" s="1"/>
  <c r="AB755" i="3" l="1"/>
  <c r="AE755" i="3" l="1"/>
  <c r="AC755" i="3"/>
  <c r="AD755" i="3"/>
  <c r="AF755" i="3" s="1"/>
  <c r="AG755" i="3" s="1"/>
  <c r="AB754" i="3" l="1"/>
  <c r="AE754" i="3" l="1"/>
  <c r="AD754" i="3"/>
  <c r="AF754" i="3" s="1"/>
  <c r="AG754" i="3" s="1"/>
  <c r="AC754" i="3"/>
  <c r="AB753" i="3" l="1"/>
  <c r="AE753" i="3" l="1"/>
  <c r="AD753" i="3"/>
  <c r="AF753" i="3" s="1"/>
  <c r="AG753" i="3" s="1"/>
  <c r="AC753" i="3"/>
  <c r="AB752" i="3" l="1"/>
  <c r="AD752" i="3" l="1"/>
  <c r="AC752" i="3"/>
  <c r="AE752" i="3"/>
  <c r="AF752" i="3" l="1"/>
  <c r="AG752" i="3" s="1"/>
  <c r="AB751" i="3" l="1"/>
  <c r="AD751" i="3" l="1"/>
  <c r="AE751" i="3"/>
  <c r="AC751" i="3"/>
  <c r="AF751" i="3" l="1"/>
  <c r="AG751" i="3" s="1"/>
  <c r="AB750" i="3" l="1"/>
  <c r="AD750" i="3" l="1"/>
  <c r="AE750" i="3"/>
  <c r="AC750" i="3"/>
  <c r="AF750" i="3" l="1"/>
  <c r="AG750" i="3" s="1"/>
  <c r="AB749" i="3" l="1"/>
  <c r="AD749" i="3" l="1"/>
  <c r="AC749" i="3"/>
  <c r="AE749" i="3"/>
  <c r="AF749" i="3" l="1"/>
  <c r="AG749" i="3" s="1"/>
  <c r="AB748" i="3" l="1"/>
  <c r="AC748" i="3" l="1"/>
  <c r="AD748" i="3"/>
  <c r="AE748" i="3"/>
  <c r="AF748" i="3" l="1"/>
  <c r="AG748" i="3" s="1"/>
  <c r="AB747" i="3" l="1"/>
  <c r="AD747" i="3" l="1"/>
  <c r="AE747" i="3"/>
  <c r="AC747" i="3"/>
  <c r="AF747" i="3" l="1"/>
  <c r="AG747" i="3" s="1"/>
  <c r="AB746" i="3" l="1"/>
  <c r="AD746" i="3" l="1"/>
  <c r="AE746" i="3"/>
  <c r="AC746" i="3"/>
  <c r="AF746" i="3" l="1"/>
  <c r="AG746" i="3" s="1"/>
  <c r="AB745" i="3" l="1"/>
  <c r="AD745" i="3" l="1"/>
  <c r="AC745" i="3"/>
  <c r="AE745" i="3"/>
  <c r="AF745" i="3" l="1"/>
  <c r="AG745" i="3" s="1"/>
  <c r="AB744" i="3" l="1"/>
  <c r="AE744" i="3" l="1"/>
  <c r="AD744" i="3"/>
  <c r="AF744" i="3" s="1"/>
  <c r="AG744" i="3" s="1"/>
  <c r="AC744" i="3"/>
  <c r="AB743" i="3" l="1"/>
  <c r="AE743" i="3" l="1"/>
  <c r="AD743" i="3"/>
  <c r="AF743" i="3" s="1"/>
  <c r="AG743" i="3" s="1"/>
  <c r="AC743" i="3"/>
  <c r="AB742" i="3" l="1"/>
  <c r="AD742" i="3" l="1"/>
  <c r="AE742" i="3"/>
  <c r="AC742" i="3"/>
  <c r="AF742" i="3" l="1"/>
  <c r="AG742" i="3" s="1"/>
  <c r="AB741" i="3" l="1"/>
  <c r="AD741" i="3" l="1"/>
  <c r="AE741" i="3"/>
  <c r="AC741" i="3"/>
  <c r="AF741" i="3" l="1"/>
  <c r="AG741" i="3" s="1"/>
  <c r="AB740" i="3" l="1"/>
  <c r="AE740" i="3" l="1"/>
  <c r="AC740" i="3"/>
  <c r="AD740" i="3"/>
  <c r="AF740" i="3" s="1"/>
  <c r="AG740" i="3" s="1"/>
  <c r="AB739" i="3" l="1"/>
  <c r="AE739" i="3" l="1"/>
  <c r="AC739" i="3"/>
  <c r="AD739" i="3"/>
  <c r="AF739" i="3" s="1"/>
  <c r="AG739" i="3" s="1"/>
  <c r="AB738" i="3" l="1"/>
  <c r="AD738" i="3" l="1"/>
  <c r="AC738" i="3"/>
  <c r="AE738" i="3"/>
  <c r="AF738" i="3" l="1"/>
  <c r="AG738" i="3" s="1"/>
  <c r="AB737" i="3" l="1"/>
  <c r="AE737" i="3" l="1"/>
  <c r="AD737" i="3"/>
  <c r="AF737" i="3" s="1"/>
  <c r="AG737" i="3" s="1"/>
  <c r="AC737" i="3"/>
  <c r="AB736" i="3" l="1"/>
  <c r="AE736" i="3" l="1"/>
  <c r="AD736" i="3"/>
  <c r="AF736" i="3" s="1"/>
  <c r="AG736" i="3" s="1"/>
  <c r="AC736" i="3"/>
  <c r="AB735" i="3" l="1"/>
  <c r="AE735" i="3" l="1"/>
  <c r="AD735" i="3"/>
  <c r="AF735" i="3" s="1"/>
  <c r="AG735" i="3" s="1"/>
  <c r="AC735" i="3"/>
  <c r="AB734" i="3" l="1"/>
  <c r="AE734" i="3" l="1"/>
  <c r="AC734" i="3"/>
  <c r="AD734" i="3"/>
  <c r="AF734" i="3" s="1"/>
  <c r="AG734" i="3" s="1"/>
  <c r="AB733" i="3" l="1"/>
  <c r="AC733" i="3" l="1"/>
  <c r="AD733" i="3"/>
  <c r="AE733" i="3"/>
  <c r="AF733" i="3" l="1"/>
  <c r="AG733" i="3" s="1"/>
  <c r="AB732" i="3" l="1"/>
  <c r="AE732" i="3" l="1"/>
  <c r="AC732" i="3"/>
  <c r="AD732" i="3"/>
  <c r="AF732" i="3" s="1"/>
  <c r="AG732" i="3" s="1"/>
  <c r="AB731" i="3" l="1"/>
  <c r="AD731" i="3" l="1"/>
  <c r="AC731" i="3"/>
  <c r="AE731" i="3"/>
  <c r="AF731" i="3" l="1"/>
  <c r="AG731" i="3" s="1"/>
  <c r="AB730" i="3" l="1"/>
  <c r="AE730" i="3" l="1"/>
  <c r="AD730" i="3"/>
  <c r="AF730" i="3" s="1"/>
  <c r="AG730" i="3" s="1"/>
  <c r="AC730" i="3"/>
  <c r="AB729" i="3" l="1"/>
  <c r="AE729" i="3" l="1"/>
  <c r="AC729" i="3"/>
  <c r="AD729" i="3"/>
  <c r="AF729" i="3" s="1"/>
  <c r="AG729" i="3" s="1"/>
  <c r="AB728" i="3" l="1"/>
  <c r="AE728" i="3" l="1"/>
  <c r="AC728" i="3"/>
  <c r="AD728" i="3"/>
  <c r="AF728" i="3" s="1"/>
  <c r="AG728" i="3" s="1"/>
  <c r="AB727" i="3" l="1"/>
  <c r="AD727" i="3" l="1"/>
  <c r="AE727" i="3"/>
  <c r="AC727" i="3"/>
  <c r="AF727" i="3" l="1"/>
  <c r="AG727" i="3" s="1"/>
  <c r="AB726" i="3" l="1"/>
  <c r="AD726" i="3" l="1"/>
  <c r="AC726" i="3"/>
  <c r="AE726" i="3"/>
  <c r="AF726" i="3" l="1"/>
  <c r="AG726" i="3" s="1"/>
  <c r="AB725" i="3" l="1"/>
  <c r="AD725" i="3" l="1"/>
  <c r="AC725" i="3"/>
  <c r="AE725" i="3"/>
  <c r="AF725" i="3" l="1"/>
  <c r="AG725" i="3" s="1"/>
  <c r="AB724" i="3" l="1"/>
  <c r="AC724" i="3" l="1"/>
  <c r="AE724" i="3"/>
  <c r="AD724" i="3"/>
  <c r="AF724" i="3" s="1"/>
  <c r="AG724" i="3" s="1"/>
  <c r="AB723" i="3" l="1"/>
  <c r="AE723" i="3" l="1"/>
  <c r="AD723" i="3"/>
  <c r="AF723" i="3" s="1"/>
  <c r="AG723" i="3" s="1"/>
  <c r="AC723" i="3"/>
  <c r="AB722" i="3" l="1"/>
  <c r="AC722" i="3" l="1"/>
  <c r="AE722" i="3"/>
  <c r="AD722" i="3"/>
  <c r="AF722" i="3" s="1"/>
  <c r="AG722" i="3" s="1"/>
  <c r="AB721" i="3" l="1"/>
  <c r="AE721" i="3" l="1"/>
  <c r="AC721" i="3"/>
  <c r="AD721" i="3"/>
  <c r="AF721" i="3" s="1"/>
  <c r="AG721" i="3" s="1"/>
  <c r="AB720" i="3" l="1"/>
  <c r="AD720" i="3" l="1"/>
  <c r="AC720" i="3"/>
  <c r="AE720" i="3"/>
  <c r="AF720" i="3" l="1"/>
  <c r="AG720" i="3" s="1"/>
  <c r="AB719" i="3" l="1"/>
  <c r="AE719" i="3" l="1"/>
  <c r="AD719" i="3"/>
  <c r="AF719" i="3" s="1"/>
  <c r="AG719" i="3" s="1"/>
  <c r="AC719" i="3"/>
  <c r="AB718" i="3" l="1"/>
  <c r="AD718" i="3" l="1"/>
  <c r="AE718" i="3"/>
  <c r="AC718" i="3"/>
  <c r="AF718" i="3" l="1"/>
  <c r="AG718" i="3" s="1"/>
  <c r="AB717" i="3" l="1"/>
  <c r="AD717" i="3" l="1"/>
  <c r="AC717" i="3"/>
  <c r="AE717" i="3"/>
  <c r="AF717" i="3" l="1"/>
  <c r="AG717" i="3" s="1"/>
  <c r="AB716" i="3" l="1"/>
  <c r="AD716" i="3" l="1"/>
  <c r="AC716" i="3"/>
  <c r="AE716" i="3"/>
  <c r="AF716" i="3" l="1"/>
  <c r="AG716" i="3" s="1"/>
  <c r="AB715" i="3" l="1"/>
  <c r="AC715" i="3" l="1"/>
  <c r="AE715" i="3"/>
  <c r="AD715" i="3"/>
  <c r="AF715" i="3" s="1"/>
  <c r="AG715" i="3" s="1"/>
  <c r="AB714" i="3" l="1"/>
  <c r="AD714" i="3" l="1"/>
  <c r="AC714" i="3"/>
  <c r="AE714" i="3"/>
  <c r="AF714" i="3" l="1"/>
  <c r="AG714" i="3" s="1"/>
  <c r="AB713" i="3" l="1"/>
  <c r="AD713" i="3" l="1"/>
  <c r="AE713" i="3"/>
  <c r="AC713" i="3"/>
  <c r="AF713" i="3" l="1"/>
  <c r="AG713" i="3" s="1"/>
  <c r="AB712" i="3" l="1"/>
  <c r="AD712" i="3" l="1"/>
  <c r="AE712" i="3"/>
  <c r="AC712" i="3"/>
  <c r="AF712" i="3" l="1"/>
  <c r="AG712" i="3" s="1"/>
  <c r="AB711" i="3" l="1"/>
  <c r="AD711" i="3" l="1"/>
  <c r="AE711" i="3"/>
  <c r="AC711" i="3"/>
  <c r="AF711" i="3" l="1"/>
  <c r="AG711" i="3" s="1"/>
  <c r="AB710" i="3" l="1"/>
  <c r="AE710" i="3" l="1"/>
  <c r="AD710" i="3"/>
  <c r="AF710" i="3" s="1"/>
  <c r="AG710" i="3" s="1"/>
  <c r="AC710" i="3"/>
  <c r="AB709" i="3" l="1"/>
  <c r="AD709" i="3" l="1"/>
  <c r="AE709" i="3"/>
  <c r="AC709" i="3"/>
  <c r="AF709" i="3" l="1"/>
  <c r="AG709" i="3" s="1"/>
  <c r="AB708" i="3" l="1"/>
  <c r="AC708" i="3" l="1"/>
  <c r="AE708" i="3"/>
  <c r="AD708" i="3"/>
  <c r="AF708" i="3" s="1"/>
  <c r="AG708" i="3" s="1"/>
  <c r="AB707" i="3" l="1"/>
  <c r="AC707" i="3" l="1"/>
  <c r="AE707" i="3"/>
  <c r="AD707" i="3"/>
  <c r="AF707" i="3" s="1"/>
  <c r="AG707" i="3" s="1"/>
  <c r="AB706" i="3" l="1"/>
  <c r="AE706" i="3" l="1"/>
  <c r="AD706" i="3"/>
  <c r="AF706" i="3" s="1"/>
  <c r="AG706" i="3" s="1"/>
  <c r="AC706" i="3"/>
  <c r="AB705" i="3" l="1"/>
  <c r="AE705" i="3" l="1"/>
  <c r="AC705" i="3"/>
  <c r="AD705" i="3"/>
  <c r="AF705" i="3" s="1"/>
  <c r="AG705" i="3" s="1"/>
  <c r="AB704" i="3" l="1"/>
  <c r="AD704" i="3" l="1"/>
  <c r="AC704" i="3"/>
  <c r="AE704" i="3"/>
  <c r="AF704" i="3" l="1"/>
  <c r="AG704" i="3" l="1"/>
  <c r="AB703" i="3" l="1"/>
  <c r="AE703" i="3" l="1"/>
  <c r="AC703" i="3"/>
  <c r="AD703" i="3"/>
  <c r="AF703" i="3" s="1"/>
  <c r="AG703" i="3" s="1"/>
  <c r="AB702" i="3" l="1"/>
  <c r="AD702" i="3" l="1"/>
  <c r="AC702" i="3"/>
  <c r="AE702" i="3"/>
  <c r="AF702" i="3" l="1"/>
  <c r="AG702" i="3" s="1"/>
  <c r="AB701" i="3" l="1"/>
  <c r="AD701" i="3" l="1"/>
  <c r="AE701" i="3"/>
  <c r="AC701" i="3"/>
  <c r="AF701" i="3" l="1"/>
  <c r="AG701" i="3" s="1"/>
  <c r="AB700" i="3" l="1"/>
  <c r="AE700" i="3" l="1"/>
  <c r="AD700" i="3"/>
  <c r="AF700" i="3" s="1"/>
  <c r="AG700" i="3" s="1"/>
  <c r="AC700" i="3"/>
  <c r="AB699" i="3" l="1"/>
  <c r="AC699" i="3" l="1"/>
  <c r="AE699" i="3"/>
  <c r="AD699" i="3"/>
  <c r="AF699" i="3" s="1"/>
  <c r="AG699" i="3" s="1"/>
  <c r="AB698" i="3" l="1"/>
  <c r="AC698" i="3" l="1"/>
  <c r="AE698" i="3"/>
  <c r="AD698" i="3"/>
  <c r="AF698" i="3" s="1"/>
  <c r="AG698" i="3" s="1"/>
  <c r="AB697" i="3" l="1"/>
  <c r="AE697" i="3" l="1"/>
  <c r="AD697" i="3"/>
  <c r="AF697" i="3" s="1"/>
  <c r="AG697" i="3" s="1"/>
  <c r="AC697" i="3"/>
  <c r="AB696" i="3" l="1"/>
  <c r="AE696" i="3" l="1"/>
  <c r="AD696" i="3"/>
  <c r="AF696" i="3" s="1"/>
  <c r="AG696" i="3" s="1"/>
  <c r="AC696" i="3"/>
  <c r="AB695" i="3" l="1"/>
  <c r="AE695" i="3" l="1"/>
  <c r="AD695" i="3"/>
  <c r="AF695" i="3" s="1"/>
  <c r="AG695" i="3" s="1"/>
  <c r="AC695" i="3"/>
  <c r="AB694" i="3" l="1"/>
  <c r="AD694" i="3" l="1"/>
  <c r="AC694" i="3"/>
  <c r="AE694" i="3"/>
  <c r="AF694" i="3" l="1"/>
  <c r="AG694" i="3" s="1"/>
  <c r="AB693" i="3" l="1"/>
  <c r="AC693" i="3" l="1"/>
  <c r="AE693" i="3"/>
  <c r="AD693" i="3"/>
  <c r="AF693" i="3" s="1"/>
  <c r="AG693" i="3" s="1"/>
  <c r="AB692" i="3" l="1"/>
  <c r="AE692" i="3" l="1"/>
  <c r="AD692" i="3"/>
  <c r="AF692" i="3" s="1"/>
  <c r="AG692" i="3" s="1"/>
  <c r="AC692" i="3"/>
  <c r="AB691" i="3" l="1"/>
  <c r="AC691" i="3" l="1"/>
  <c r="AD691" i="3"/>
  <c r="AE691" i="3"/>
  <c r="AF691" i="3" l="1"/>
  <c r="AG691" i="3" s="1"/>
  <c r="AB690" i="3" l="1"/>
  <c r="AE690" i="3" l="1"/>
  <c r="AD690" i="3"/>
  <c r="AF690" i="3" s="1"/>
  <c r="AG690" i="3" s="1"/>
  <c r="AC690" i="3"/>
  <c r="AB689" i="3" l="1"/>
  <c r="AD689" i="3" l="1"/>
  <c r="AE689" i="3"/>
  <c r="AC689" i="3"/>
  <c r="AF689" i="3" l="1"/>
  <c r="AG689" i="3" s="1"/>
  <c r="AB688" i="3" l="1"/>
  <c r="AE688" i="3" l="1"/>
  <c r="AD688" i="3"/>
  <c r="AF688" i="3" s="1"/>
  <c r="AG688" i="3" s="1"/>
  <c r="AC688" i="3"/>
  <c r="AB687" i="3" l="1"/>
  <c r="AE687" i="3" l="1"/>
  <c r="AD687" i="3"/>
  <c r="AF687" i="3" s="1"/>
  <c r="AG687" i="3" s="1"/>
  <c r="AC687" i="3"/>
  <c r="AB686" i="3" l="1"/>
  <c r="AC686" i="3" l="1"/>
  <c r="AE686" i="3"/>
  <c r="AD686" i="3"/>
  <c r="AF686" i="3" s="1"/>
  <c r="AG686" i="3" s="1"/>
  <c r="AB685" i="3" l="1"/>
  <c r="AD685" i="3" l="1"/>
  <c r="AE685" i="3"/>
  <c r="AC685" i="3"/>
  <c r="AF685" i="3" l="1"/>
  <c r="AG685" i="3" s="1"/>
  <c r="AB684" i="3" l="1"/>
  <c r="AC684" i="3" l="1"/>
  <c r="AD684" i="3"/>
  <c r="AE684" i="3"/>
  <c r="AF684" i="3" l="1"/>
  <c r="AG684" i="3" s="1"/>
  <c r="AB683" i="3" l="1"/>
  <c r="AE683" i="3" l="1"/>
  <c r="AC683" i="3"/>
  <c r="AD683" i="3"/>
  <c r="AF683" i="3" s="1"/>
  <c r="AG683" i="3" s="1"/>
  <c r="AB682" i="3" l="1"/>
  <c r="AE682" i="3" l="1"/>
  <c r="AC682" i="3"/>
  <c r="AD682" i="3"/>
  <c r="AF682" i="3" s="1"/>
  <c r="AG682" i="3" s="1"/>
  <c r="AB681" i="3" l="1"/>
  <c r="AC681" i="3" l="1"/>
  <c r="AE681" i="3"/>
  <c r="AD681" i="3"/>
  <c r="AF681" i="3" s="1"/>
  <c r="AG681" i="3" s="1"/>
  <c r="AB680" i="3" l="1"/>
  <c r="AC680" i="3" l="1"/>
  <c r="AE680" i="3"/>
  <c r="AD680" i="3"/>
  <c r="AF680" i="3" s="1"/>
  <c r="AG680" i="3" s="1"/>
  <c r="AB679" i="3" l="1"/>
  <c r="AC679" i="3" l="1"/>
  <c r="AE679" i="3"/>
  <c r="AD679" i="3"/>
  <c r="AF679" i="3" s="1"/>
  <c r="AG679" i="3" s="1"/>
  <c r="AB678" i="3" l="1"/>
  <c r="AE678" i="3" l="1"/>
  <c r="AC678" i="3"/>
  <c r="AD678" i="3"/>
  <c r="AF678" i="3" s="1"/>
  <c r="AG678" i="3" s="1"/>
  <c r="AB677" i="3" l="1"/>
  <c r="AD677" i="3" l="1"/>
  <c r="AE677" i="3"/>
  <c r="AC677" i="3"/>
  <c r="AF677" i="3" l="1"/>
  <c r="AG677" i="3" s="1"/>
  <c r="AB676" i="3" l="1"/>
  <c r="AD676" i="3" l="1"/>
  <c r="AC676" i="3"/>
  <c r="AE676" i="3"/>
  <c r="AF676" i="3" l="1"/>
  <c r="AG676" i="3" s="1"/>
  <c r="AB675" i="3" l="1"/>
  <c r="AE675" i="3" l="1"/>
  <c r="AC675" i="3"/>
  <c r="AD675" i="3"/>
  <c r="AF675" i="3" s="1"/>
  <c r="AG675" i="3" s="1"/>
  <c r="AB674" i="3" l="1"/>
  <c r="AD674" i="3" l="1"/>
  <c r="AE674" i="3"/>
  <c r="AC674" i="3"/>
  <c r="AF674" i="3" l="1"/>
  <c r="AG674" i="3" s="1"/>
  <c r="AB673" i="3" l="1"/>
  <c r="AC673" i="3" l="1"/>
  <c r="AD673" i="3"/>
  <c r="AE673" i="3"/>
  <c r="AF673" i="3" l="1"/>
  <c r="AG673" i="3" s="1"/>
  <c r="AB672" i="3" l="1"/>
  <c r="AD672" i="3" l="1"/>
  <c r="AC672" i="3"/>
  <c r="AE672" i="3"/>
  <c r="AF672" i="3" l="1"/>
  <c r="AG672" i="3" s="1"/>
  <c r="AB671" i="3" l="1"/>
  <c r="AD671" i="3" l="1"/>
  <c r="AC671" i="3"/>
  <c r="AE671" i="3"/>
  <c r="AF671" i="3" l="1"/>
  <c r="AG671" i="3" s="1"/>
  <c r="AB670" i="3" l="1"/>
  <c r="AC670" i="3" l="1"/>
  <c r="AD670" i="3"/>
  <c r="AE670" i="3"/>
  <c r="AF670" i="3" l="1"/>
  <c r="AG670" i="3" s="1"/>
  <c r="AB669" i="3"/>
  <c r="AD669" i="3" l="1"/>
  <c r="AE669" i="3"/>
  <c r="AC669" i="3"/>
  <c r="AF669" i="3" l="1"/>
  <c r="AG669" i="3" s="1"/>
  <c r="AB668" i="3" l="1"/>
  <c r="AC668" i="3" l="1"/>
  <c r="AD668" i="3"/>
  <c r="AE668" i="3"/>
  <c r="AF668" i="3" l="1"/>
  <c r="AG668" i="3" s="1"/>
  <c r="AB667" i="3" l="1"/>
  <c r="AC667" i="3" l="1"/>
  <c r="AE667" i="3"/>
  <c r="AD667" i="3"/>
  <c r="AF667" i="3" s="1"/>
  <c r="AG667" i="3" s="1"/>
  <c r="AB666" i="3" l="1"/>
  <c r="AD666" i="3" l="1"/>
  <c r="AC666" i="3"/>
  <c r="AE666" i="3"/>
  <c r="AF666" i="3" l="1"/>
  <c r="AG666" i="3" s="1"/>
  <c r="AB665" i="3" l="1"/>
  <c r="AE665" i="3" l="1"/>
  <c r="AC665" i="3"/>
  <c r="AD665" i="3"/>
  <c r="AF665" i="3" s="1"/>
  <c r="AG665" i="3" s="1"/>
  <c r="AB664" i="3" l="1"/>
  <c r="AE664" i="3" l="1"/>
  <c r="AD664" i="3"/>
  <c r="AF664" i="3" s="1"/>
  <c r="AG664" i="3" s="1"/>
  <c r="AC664" i="3"/>
  <c r="AB663" i="3" l="1"/>
  <c r="AC663" i="3" l="1"/>
  <c r="AD663" i="3"/>
  <c r="AE663" i="3"/>
  <c r="AF663" i="3" l="1"/>
  <c r="AG663" i="3" s="1"/>
  <c r="AB662" i="3" l="1"/>
  <c r="AC662" i="3" l="1"/>
  <c r="AE662" i="3"/>
  <c r="AD662" i="3"/>
  <c r="AF662" i="3" s="1"/>
  <c r="AG662" i="3" s="1"/>
  <c r="AB661" i="3" l="1"/>
  <c r="AE661" i="3" l="1"/>
  <c r="AD661" i="3"/>
  <c r="AF661" i="3" s="1"/>
  <c r="AG661" i="3" s="1"/>
  <c r="AC661" i="3"/>
  <c r="AB660" i="3" l="1"/>
  <c r="AD660" i="3" l="1"/>
  <c r="AC660" i="3"/>
  <c r="AE660" i="3"/>
  <c r="AF660" i="3" l="1"/>
  <c r="AG660" i="3" s="1"/>
  <c r="AB659" i="3" l="1"/>
  <c r="AE659" i="3" l="1"/>
  <c r="AC659" i="3"/>
  <c r="AD659" i="3"/>
  <c r="AF659" i="3" s="1"/>
  <c r="AG659" i="3" s="1"/>
  <c r="AB658" i="3" l="1"/>
  <c r="AD658" i="3" l="1"/>
  <c r="AC658" i="3"/>
  <c r="AE658" i="3"/>
  <c r="AF658" i="3" l="1"/>
  <c r="AG658" i="3" s="1"/>
  <c r="AB657" i="3" l="1"/>
  <c r="AE657" i="3" l="1"/>
  <c r="AC657" i="3"/>
  <c r="AD657" i="3"/>
  <c r="AF657" i="3" s="1"/>
  <c r="AG657" i="3" s="1"/>
  <c r="AB656" i="3" l="1"/>
  <c r="AE656" i="3" l="1"/>
  <c r="AC656" i="3"/>
  <c r="AD656" i="3"/>
  <c r="AF656" i="3" s="1"/>
  <c r="AG656" i="3" s="1"/>
  <c r="AB655" i="3" l="1"/>
  <c r="AC655" i="3" l="1"/>
  <c r="AD655" i="3"/>
  <c r="AE655" i="3"/>
  <c r="AF655" i="3" l="1"/>
  <c r="AG655" i="3" s="1"/>
  <c r="AB654" i="3" l="1"/>
  <c r="AC654" i="3" l="1"/>
  <c r="AE654" i="3"/>
  <c r="AD654" i="3"/>
  <c r="AF654" i="3" s="1"/>
  <c r="AG654" i="3" s="1"/>
  <c r="AB653" i="3" l="1"/>
  <c r="AE653" i="3" l="1"/>
  <c r="AD653" i="3"/>
  <c r="AF653" i="3" s="1"/>
  <c r="AG653" i="3" s="1"/>
  <c r="AC653" i="3"/>
  <c r="AB652" i="3" l="1"/>
  <c r="AD652" i="3" l="1"/>
  <c r="AE652" i="3"/>
  <c r="AC652" i="3"/>
  <c r="AF652" i="3" l="1"/>
  <c r="AG652" i="3" s="1"/>
  <c r="AB651" i="3" l="1"/>
  <c r="AE651" i="3" l="1"/>
  <c r="AD651" i="3"/>
  <c r="AF651" i="3" s="1"/>
  <c r="AG651" i="3" s="1"/>
  <c r="AC651" i="3"/>
  <c r="AB650" i="3" l="1"/>
  <c r="AD650" i="3" l="1"/>
  <c r="AC650" i="3"/>
  <c r="AE650" i="3"/>
  <c r="AF650" i="3" l="1"/>
  <c r="AG650" i="3" s="1"/>
  <c r="AB649" i="3" l="1"/>
  <c r="AE649" i="3" l="1"/>
  <c r="AC649" i="3"/>
  <c r="AD649" i="3"/>
  <c r="AF649" i="3" s="1"/>
  <c r="AG649" i="3" s="1"/>
  <c r="AB648" i="3" l="1"/>
  <c r="AE648" i="3" l="1"/>
  <c r="AD648" i="3"/>
  <c r="AF648" i="3" s="1"/>
  <c r="AG648" i="3" s="1"/>
  <c r="AC648" i="3"/>
  <c r="AB647" i="3" l="1"/>
  <c r="AD647" i="3" l="1"/>
  <c r="AE647" i="3"/>
  <c r="AC647" i="3"/>
  <c r="AF647" i="3" l="1"/>
  <c r="AG647" i="3" s="1"/>
  <c r="AB646" i="3" l="1"/>
  <c r="AC646" i="3" l="1"/>
  <c r="AE646" i="3"/>
  <c r="AD646" i="3"/>
  <c r="AF646" i="3" s="1"/>
  <c r="AG646" i="3" s="1"/>
  <c r="AB645" i="3" l="1"/>
  <c r="AE645" i="3" l="1"/>
  <c r="AD645" i="3"/>
  <c r="AF645" i="3" s="1"/>
  <c r="AC645" i="3"/>
  <c r="AG645" i="3" l="1"/>
  <c r="AB644" i="3" l="1"/>
  <c r="AD644" i="3" l="1"/>
  <c r="AE644" i="3"/>
  <c r="AC644" i="3"/>
  <c r="AF644" i="3" l="1"/>
  <c r="AG644" i="3" s="1"/>
  <c r="AB643" i="3" l="1"/>
  <c r="AE643" i="3" l="1"/>
  <c r="AC643" i="3"/>
  <c r="AD643" i="3"/>
  <c r="AF643" i="3" s="1"/>
  <c r="AG643" i="3" s="1"/>
  <c r="AB642" i="3" l="1"/>
  <c r="AD642" i="3" l="1"/>
  <c r="AE642" i="3"/>
  <c r="AC642" i="3"/>
  <c r="AF642" i="3" l="1"/>
  <c r="AG642" i="3" s="1"/>
  <c r="AB641" i="3" l="1"/>
  <c r="AE641" i="3" l="1"/>
  <c r="AD641" i="3"/>
  <c r="AF641" i="3" s="1"/>
  <c r="AG641" i="3" s="1"/>
  <c r="AC641" i="3"/>
  <c r="AB640" i="3" l="1"/>
  <c r="AE640" i="3" l="1"/>
  <c r="AC640" i="3"/>
  <c r="AD640" i="3"/>
  <c r="AF640" i="3" s="1"/>
  <c r="AG640" i="3" s="1"/>
  <c r="AB639" i="3" l="1"/>
  <c r="AD639" i="3" l="1"/>
  <c r="AC639" i="3"/>
  <c r="AE639" i="3"/>
  <c r="AF639" i="3" l="1"/>
  <c r="AG639" i="3" s="1"/>
  <c r="AB638" i="3" l="1"/>
  <c r="AC638" i="3" l="1"/>
  <c r="AD638" i="3"/>
  <c r="AE638" i="3"/>
  <c r="AF638" i="3" l="1"/>
  <c r="AG638" i="3" s="1"/>
  <c r="AB637" i="3" l="1"/>
  <c r="AD637" i="3" l="1"/>
  <c r="AE637" i="3"/>
  <c r="AC637" i="3"/>
  <c r="AF637" i="3" l="1"/>
  <c r="AG637" i="3" s="1"/>
  <c r="AB636" i="3" l="1"/>
  <c r="AE636" i="3" l="1"/>
  <c r="AD636" i="3"/>
  <c r="AF636" i="3" s="1"/>
  <c r="AG636" i="3" s="1"/>
  <c r="AC636" i="3"/>
  <c r="AB635" i="3" l="1"/>
  <c r="AE635" i="3" l="1"/>
  <c r="AD635" i="3"/>
  <c r="AF635" i="3" s="1"/>
  <c r="AG635" i="3" s="1"/>
  <c r="AC635" i="3"/>
  <c r="AB634" i="3" l="1"/>
  <c r="AE634" i="3" l="1"/>
  <c r="AD634" i="3"/>
  <c r="AF634" i="3" s="1"/>
  <c r="AG634" i="3" s="1"/>
  <c r="AC634" i="3"/>
  <c r="AB633" i="3" l="1"/>
  <c r="AE633" i="3" l="1"/>
  <c r="AC633" i="3"/>
  <c r="AD633" i="3"/>
  <c r="AF633" i="3" s="1"/>
  <c r="AG633" i="3" s="1"/>
  <c r="AB632" i="3" l="1"/>
  <c r="AE632" i="3" l="1"/>
  <c r="AD632" i="3"/>
  <c r="AF632" i="3" s="1"/>
  <c r="AG632" i="3" s="1"/>
  <c r="AC632" i="3"/>
  <c r="AB631" i="3" l="1"/>
  <c r="AD631" i="3" l="1"/>
  <c r="AC631" i="3"/>
  <c r="AE631" i="3"/>
  <c r="AF631" i="3" l="1"/>
  <c r="AG631" i="3" s="1"/>
  <c r="AB630" i="3" l="1"/>
  <c r="AC630" i="3" l="1"/>
  <c r="AD630" i="3"/>
  <c r="AE630" i="3"/>
  <c r="AF630" i="3" l="1"/>
  <c r="AG630" i="3" s="1"/>
  <c r="AB629" i="3" l="1"/>
  <c r="AD629" i="3" l="1"/>
  <c r="AC629" i="3"/>
  <c r="AE629" i="3"/>
  <c r="AF629" i="3" l="1"/>
  <c r="AG629" i="3" s="1"/>
  <c r="AB628" i="3" l="1"/>
  <c r="AD628" i="3" l="1"/>
  <c r="AE628" i="3"/>
  <c r="AC628" i="3"/>
  <c r="AF628" i="3" l="1"/>
  <c r="AG628" i="3" s="1"/>
  <c r="AB627" i="3" l="1"/>
  <c r="AE627" i="3" l="1"/>
  <c r="AC627" i="3"/>
  <c r="AD627" i="3"/>
  <c r="AF627" i="3" s="1"/>
  <c r="AG627" i="3" s="1"/>
  <c r="AB626" i="3" l="1"/>
  <c r="AD626" i="3" l="1"/>
  <c r="AC626" i="3"/>
  <c r="AE626" i="3"/>
  <c r="AF626" i="3" l="1"/>
  <c r="AG626" i="3" s="1"/>
  <c r="AB625" i="3" l="1"/>
  <c r="AE625" i="3" l="1"/>
  <c r="AD625" i="3"/>
  <c r="AF625" i="3" s="1"/>
  <c r="AG625" i="3" s="1"/>
  <c r="AC625" i="3"/>
  <c r="AB624" i="3" l="1"/>
  <c r="AE624" i="3" l="1"/>
  <c r="AC624" i="3"/>
  <c r="AD624" i="3"/>
  <c r="AF624" i="3" s="1"/>
  <c r="AG624" i="3" s="1"/>
  <c r="AB623" i="3" l="1"/>
  <c r="AD623" i="3" l="1"/>
  <c r="AC623" i="3"/>
  <c r="AE623" i="3"/>
  <c r="AF623" i="3" l="1"/>
  <c r="AG623" i="3" s="1"/>
  <c r="AB622" i="3" l="1"/>
  <c r="AC622" i="3" l="1"/>
  <c r="AE622" i="3"/>
  <c r="AD622" i="3"/>
  <c r="AF622" i="3" s="1"/>
  <c r="AG622" i="3" s="1"/>
  <c r="AB621" i="3" l="1"/>
  <c r="AE621" i="3" l="1"/>
  <c r="AD621" i="3"/>
  <c r="AF621" i="3" s="1"/>
  <c r="AG621" i="3" s="1"/>
  <c r="AC621" i="3"/>
  <c r="AB620" i="3" l="1"/>
  <c r="AD620" i="3" l="1"/>
  <c r="AC620" i="3"/>
  <c r="AE620" i="3"/>
  <c r="AF620" i="3" l="1"/>
  <c r="AG620" i="3" s="1"/>
  <c r="AB619" i="3" l="1"/>
  <c r="AE619" i="3" l="1"/>
  <c r="AC619" i="3"/>
  <c r="AD619" i="3"/>
  <c r="AF619" i="3" s="1"/>
  <c r="AG619" i="3" s="1"/>
  <c r="AB618" i="3" l="1"/>
  <c r="AD618" i="3" l="1"/>
  <c r="AC618" i="3"/>
  <c r="AE618" i="3"/>
  <c r="AF618" i="3" l="1"/>
  <c r="AG618" i="3" s="1"/>
  <c r="AB617" i="3" l="1"/>
  <c r="AE617" i="3" l="1"/>
  <c r="AD617" i="3"/>
  <c r="AF617" i="3" s="1"/>
  <c r="AG617" i="3" s="1"/>
  <c r="AC617" i="3"/>
  <c r="AB616" i="3" l="1"/>
  <c r="AE616" i="3" l="1"/>
  <c r="AD616" i="3"/>
  <c r="AF616" i="3" s="1"/>
  <c r="AG616" i="3" s="1"/>
  <c r="AC616" i="3"/>
  <c r="AB615" i="3" l="1"/>
  <c r="AD615" i="3" l="1"/>
  <c r="AC615" i="3"/>
  <c r="AE615" i="3"/>
  <c r="AF615" i="3" l="1"/>
  <c r="AG615" i="3" s="1"/>
  <c r="AB614" i="3" l="1"/>
  <c r="AE614" i="3" l="1"/>
  <c r="AC614" i="3"/>
  <c r="AD614" i="3"/>
  <c r="AF614" i="3" s="1"/>
  <c r="AG614" i="3" s="1"/>
  <c r="AB613" i="3" l="1"/>
  <c r="AE613" i="3" l="1"/>
  <c r="AC613" i="3"/>
  <c r="AD613" i="3"/>
  <c r="AF613" i="3" s="1"/>
  <c r="AG613" i="3" s="1"/>
  <c r="AB612" i="3" l="1"/>
  <c r="AD612" i="3" l="1"/>
  <c r="AE612" i="3"/>
  <c r="AC612" i="3"/>
  <c r="AF612" i="3" l="1"/>
  <c r="AG612" i="3" s="1"/>
  <c r="AB611" i="3" l="1"/>
  <c r="AE611" i="3" l="1"/>
  <c r="AC611" i="3"/>
  <c r="AD611" i="3"/>
  <c r="AF611" i="3" s="1"/>
  <c r="AG611" i="3" s="1"/>
  <c r="AB610" i="3" l="1"/>
  <c r="AD610" i="3" l="1"/>
  <c r="AC610" i="3"/>
  <c r="AE610" i="3"/>
  <c r="AF610" i="3" l="1"/>
  <c r="AG610" i="3" s="1"/>
  <c r="AB609" i="3" l="1"/>
  <c r="AE609" i="3" l="1"/>
  <c r="AC609" i="3"/>
  <c r="AD609" i="3"/>
  <c r="AF609" i="3" s="1"/>
  <c r="AG609" i="3" s="1"/>
  <c r="AB608" i="3" l="1"/>
  <c r="AD608" i="3" l="1"/>
  <c r="AE608" i="3"/>
  <c r="AC608" i="3"/>
  <c r="AF608" i="3" l="1"/>
  <c r="AG608" i="3" s="1"/>
  <c r="AB607" i="3" l="1"/>
  <c r="AC607" i="3" l="1"/>
  <c r="AD607" i="3"/>
  <c r="AE607" i="3"/>
  <c r="AF607" i="3" l="1"/>
  <c r="AG607" i="3" s="1"/>
  <c r="AB606" i="3" l="1"/>
  <c r="AC606" i="3" l="1"/>
  <c r="AD606" i="3"/>
  <c r="AE606" i="3"/>
  <c r="AF606" i="3" l="1"/>
  <c r="AG606" i="3" s="1"/>
  <c r="AB605" i="3" l="1"/>
  <c r="AE605" i="3" l="1"/>
  <c r="AC605" i="3"/>
  <c r="AD605" i="3"/>
  <c r="AF605" i="3" s="1"/>
  <c r="AG605" i="3" s="1"/>
  <c r="AB604" i="3" l="1"/>
  <c r="AE604" i="3" l="1"/>
  <c r="AD604" i="3"/>
  <c r="AF604" i="3" s="1"/>
  <c r="AG604" i="3" s="1"/>
  <c r="AC604" i="3"/>
  <c r="AB603" i="3" l="1"/>
  <c r="AE603" i="3" l="1"/>
  <c r="AC603" i="3"/>
  <c r="AD603" i="3"/>
  <c r="AF603" i="3" s="1"/>
  <c r="AG603" i="3" s="1"/>
  <c r="AB602" i="3" l="1"/>
  <c r="AD602" i="3" l="1"/>
  <c r="AC602" i="3"/>
  <c r="AE602" i="3"/>
  <c r="AF602" i="3" l="1"/>
  <c r="AG602" i="3" s="1"/>
  <c r="AB601" i="3" l="1"/>
  <c r="AE601" i="3" l="1"/>
  <c r="AC601" i="3"/>
  <c r="AD601" i="3"/>
  <c r="AF601" i="3" s="1"/>
  <c r="AG601" i="3" s="1"/>
  <c r="AB600" i="3" l="1"/>
  <c r="AE600" i="3" l="1"/>
  <c r="AD600" i="3"/>
  <c r="AF600" i="3" s="1"/>
  <c r="AG600" i="3" s="1"/>
  <c r="AC600" i="3"/>
  <c r="AB599" i="3" l="1"/>
  <c r="AD599" i="3" l="1"/>
  <c r="AC599" i="3"/>
  <c r="AE599" i="3"/>
  <c r="AF599" i="3" l="1"/>
  <c r="AG599" i="3" s="1"/>
  <c r="AB598" i="3" l="1"/>
  <c r="AE598" i="3" l="1"/>
  <c r="AC598" i="3"/>
  <c r="AD598" i="3"/>
  <c r="AF598" i="3" s="1"/>
  <c r="AG598" i="3" s="1"/>
  <c r="AB597" i="3" l="1"/>
  <c r="AD597" i="3" l="1"/>
  <c r="AE597" i="3"/>
  <c r="AC597" i="3"/>
  <c r="AF597" i="3" l="1"/>
  <c r="AG597" i="3" s="1"/>
  <c r="AB596" i="3" l="1"/>
  <c r="AC596" i="3" l="1"/>
  <c r="AD596" i="3"/>
  <c r="AE596" i="3"/>
  <c r="AF596" i="3" l="1"/>
  <c r="AG596" i="3" s="1"/>
  <c r="AB595" i="3" l="1"/>
  <c r="AC595" i="3" l="1"/>
  <c r="AE595" i="3"/>
  <c r="AD595" i="3"/>
  <c r="AF595" i="3" s="1"/>
  <c r="AG595" i="3" s="1"/>
  <c r="AB594" i="3" l="1"/>
  <c r="AE594" i="3" l="1"/>
  <c r="AD594" i="3"/>
  <c r="AF594" i="3" s="1"/>
  <c r="AG594" i="3" s="1"/>
  <c r="AC594" i="3"/>
  <c r="AB593" i="3" l="1"/>
  <c r="AE593" i="3" l="1"/>
  <c r="AD593" i="3"/>
  <c r="AF593" i="3" s="1"/>
  <c r="AG593" i="3" s="1"/>
  <c r="AC593" i="3"/>
  <c r="AB592" i="3" l="1"/>
  <c r="AE592" i="3" l="1"/>
  <c r="AC592" i="3"/>
  <c r="AD592" i="3"/>
  <c r="AF592" i="3" s="1"/>
  <c r="AG592" i="3" s="1"/>
  <c r="AB591" i="3" l="1"/>
  <c r="AD591" i="3" l="1"/>
  <c r="AC591" i="3"/>
  <c r="AE591" i="3"/>
  <c r="AF591" i="3" l="1"/>
  <c r="AG591" i="3" s="1"/>
  <c r="AB590" i="3" l="1"/>
  <c r="AC590" i="3" l="1"/>
  <c r="AE590" i="3"/>
  <c r="AD590" i="3"/>
  <c r="AF590" i="3" s="1"/>
  <c r="AG590" i="3" s="1"/>
  <c r="AB589" i="3" l="1"/>
  <c r="AE589" i="3" l="1"/>
  <c r="AD589" i="3"/>
  <c r="AF589" i="3" s="1"/>
  <c r="AG589" i="3" s="1"/>
  <c r="AC589" i="3"/>
  <c r="AB588" i="3" l="1"/>
  <c r="AE588" i="3" l="1"/>
  <c r="AD588" i="3"/>
  <c r="AF588" i="3" s="1"/>
  <c r="AG588" i="3" s="1"/>
  <c r="AC588" i="3"/>
  <c r="AB587" i="3" l="1"/>
  <c r="AC587" i="3" l="1"/>
  <c r="AE587" i="3"/>
  <c r="AD587" i="3"/>
  <c r="AF587" i="3" s="1"/>
  <c r="AG587" i="3" s="1"/>
  <c r="AB586" i="3" l="1"/>
  <c r="AD586" i="3" l="1"/>
  <c r="AC586" i="3"/>
  <c r="AE586" i="3"/>
  <c r="AF586" i="3" l="1"/>
  <c r="AG586" i="3" s="1"/>
  <c r="AB585" i="3" l="1"/>
  <c r="AC585" i="3" l="1"/>
  <c r="AD585" i="3"/>
  <c r="AE585" i="3"/>
  <c r="AF585" i="3" l="1"/>
  <c r="AG585" i="3" s="1"/>
  <c r="AB584" i="3" l="1"/>
  <c r="AE584" i="3" l="1"/>
  <c r="AD584" i="3"/>
  <c r="AF584" i="3" s="1"/>
  <c r="AG584" i="3" s="1"/>
  <c r="AC584" i="3"/>
  <c r="AB583" i="3" l="1"/>
  <c r="AD583" i="3" l="1"/>
  <c r="AC583" i="3"/>
  <c r="AE583" i="3"/>
  <c r="AF583" i="3" l="1"/>
  <c r="AG583" i="3" s="1"/>
  <c r="AB582" i="3" l="1"/>
  <c r="AC582" i="3" l="1"/>
  <c r="AE582" i="3"/>
  <c r="AD582" i="3"/>
  <c r="AF582" i="3" s="1"/>
  <c r="AG582" i="3" s="1"/>
  <c r="AB581" i="3" l="1"/>
  <c r="AE581" i="3" l="1"/>
  <c r="AD581" i="3"/>
  <c r="AF581" i="3" s="1"/>
  <c r="AG581" i="3" s="1"/>
  <c r="AC581" i="3"/>
  <c r="AB580" i="3" l="1"/>
  <c r="AE580" i="3" l="1"/>
  <c r="AC580" i="3"/>
  <c r="AD580" i="3"/>
  <c r="AF580" i="3" s="1"/>
  <c r="AG580" i="3" s="1"/>
  <c r="AB579" i="3" l="1"/>
  <c r="AC579" i="3" l="1"/>
  <c r="AD579" i="3"/>
  <c r="AE579" i="3"/>
  <c r="AF579" i="3" l="1"/>
  <c r="AG579" i="3" s="1"/>
  <c r="AB578" i="3" l="1"/>
  <c r="AD578" i="3" l="1"/>
  <c r="AE578" i="3"/>
  <c r="AC578" i="3"/>
  <c r="AF578" i="3" l="1"/>
  <c r="AG578" i="3" s="1"/>
  <c r="AB577" i="3" l="1"/>
  <c r="AC577" i="3" l="1"/>
  <c r="AE577" i="3"/>
  <c r="AD577" i="3"/>
  <c r="AF577" i="3" s="1"/>
  <c r="AG577" i="3" s="1"/>
  <c r="AB576" i="3" l="1"/>
  <c r="AE576" i="3" l="1"/>
  <c r="AD576" i="3"/>
  <c r="AC576" i="3"/>
  <c r="AF576" i="3" l="1"/>
  <c r="AG576" i="3" s="1"/>
  <c r="AB575" i="3" l="1"/>
  <c r="AE575" i="3" l="1"/>
  <c r="AD575" i="3"/>
  <c r="AF575" i="3" s="1"/>
  <c r="AG575" i="3" s="1"/>
  <c r="AC575" i="3"/>
  <c r="AB574" i="3" l="1"/>
  <c r="AC574" i="3" l="1"/>
  <c r="AE574" i="3"/>
  <c r="AD574" i="3"/>
  <c r="AF574" i="3" s="1"/>
  <c r="AG574" i="3" s="1"/>
  <c r="AB573" i="3" l="1"/>
  <c r="AD573" i="3" l="1"/>
  <c r="AC573" i="3"/>
  <c r="AE573" i="3"/>
  <c r="AF573" i="3" l="1"/>
  <c r="AG573" i="3" s="1"/>
  <c r="AB572" i="3" l="1"/>
  <c r="AC572" i="3" l="1"/>
  <c r="AD572" i="3"/>
  <c r="AE572" i="3"/>
  <c r="AF572" i="3" l="1"/>
  <c r="AG572" i="3" s="1"/>
  <c r="AB571" i="3" l="1"/>
  <c r="AE571" i="3" l="1"/>
  <c r="AC571" i="3"/>
  <c r="AD571" i="3"/>
  <c r="AF571" i="3" s="1"/>
  <c r="AG571" i="3" s="1"/>
  <c r="AB570" i="3" l="1"/>
  <c r="AC570" i="3" l="1"/>
  <c r="AE570" i="3"/>
  <c r="AD570" i="3"/>
  <c r="AF570" i="3" s="1"/>
  <c r="AG570" i="3" s="1"/>
  <c r="AB569" i="3" l="1"/>
  <c r="AD569" i="3" l="1"/>
  <c r="AC569" i="3"/>
  <c r="AE569" i="3"/>
  <c r="AF569" i="3" l="1"/>
  <c r="AG569" i="3" s="1"/>
  <c r="AB568" i="3" l="1"/>
  <c r="AE568" i="3" l="1"/>
  <c r="AD568" i="3"/>
  <c r="AF568" i="3" s="1"/>
  <c r="AG568" i="3" s="1"/>
  <c r="AC568" i="3"/>
  <c r="AB567" i="3" l="1"/>
  <c r="AC567" i="3" l="1"/>
  <c r="AD567" i="3"/>
  <c r="AE567" i="3"/>
  <c r="AF567" i="3" l="1"/>
  <c r="AG567" i="3" s="1"/>
  <c r="AB566" i="3" l="1"/>
  <c r="AC566" i="3" l="1"/>
  <c r="AD566" i="3"/>
  <c r="AE566" i="3"/>
  <c r="AF566" i="3" l="1"/>
  <c r="AG566" i="3" s="1"/>
  <c r="AB565" i="3" l="1"/>
  <c r="AE565" i="3" l="1"/>
  <c r="AD565" i="3"/>
  <c r="AF565" i="3" s="1"/>
  <c r="AG565" i="3" s="1"/>
  <c r="AC565" i="3"/>
  <c r="AB564" i="3" l="1"/>
  <c r="AE564" i="3" l="1"/>
  <c r="AD564" i="3"/>
  <c r="AF564" i="3" s="1"/>
  <c r="AG564" i="3" s="1"/>
  <c r="AC564" i="3"/>
  <c r="AB563" i="3" l="1"/>
  <c r="AC563" i="3" l="1"/>
  <c r="AD563" i="3"/>
  <c r="AE563" i="3"/>
  <c r="AF563" i="3" l="1"/>
  <c r="AG563" i="3" s="1"/>
  <c r="AB562" i="3" l="1"/>
  <c r="AC562" i="3" l="1"/>
  <c r="AE562" i="3"/>
  <c r="AD562" i="3"/>
  <c r="AF562" i="3" s="1"/>
  <c r="AG562" i="3" s="1"/>
  <c r="AB561" i="3" l="1"/>
  <c r="AC561" i="3" l="1"/>
  <c r="AE561" i="3"/>
  <c r="AD561" i="3"/>
  <c r="AF561" i="3" s="1"/>
  <c r="AG561" i="3" s="1"/>
  <c r="AB560" i="3" l="1"/>
  <c r="AE560" i="3" l="1"/>
  <c r="AD560" i="3"/>
  <c r="AC560" i="3"/>
  <c r="AF560" i="3" l="1"/>
  <c r="AG560" i="3" s="1"/>
  <c r="AB559" i="3" l="1"/>
  <c r="AE559" i="3" l="1"/>
  <c r="AC559" i="3"/>
  <c r="AD559" i="3"/>
  <c r="AF559" i="3" s="1"/>
  <c r="AG559" i="3" s="1"/>
  <c r="AB558" i="3" l="1"/>
  <c r="AD558" i="3" l="1"/>
  <c r="AC558" i="3"/>
  <c r="AE558" i="3"/>
  <c r="AF558" i="3" l="1"/>
  <c r="AG558" i="3" s="1"/>
  <c r="AB557" i="3" l="1"/>
  <c r="AE557" i="3" l="1"/>
  <c r="AD557" i="3"/>
  <c r="AF557" i="3" s="1"/>
  <c r="AC557" i="3"/>
  <c r="AG557" i="3" l="1"/>
  <c r="AB556" i="3" l="1"/>
  <c r="AD556" i="3" l="1"/>
  <c r="AE556" i="3"/>
  <c r="AC556" i="3"/>
  <c r="AF556" i="3" l="1"/>
  <c r="AG556" i="3" s="1"/>
  <c r="AB555" i="3" l="1"/>
  <c r="AE555" i="3" l="1"/>
  <c r="AD555" i="3"/>
  <c r="AF555" i="3" s="1"/>
  <c r="AG555" i="3" s="1"/>
  <c r="AC555" i="3"/>
  <c r="AB554" i="3" l="1"/>
  <c r="AC554" i="3" l="1"/>
  <c r="AE554" i="3"/>
  <c r="AD554" i="3"/>
  <c r="AF554" i="3" s="1"/>
  <c r="AG554" i="3" s="1"/>
  <c r="AB553" i="3" l="1"/>
  <c r="AE553" i="3" l="1"/>
  <c r="AC553" i="3"/>
  <c r="AD553" i="3"/>
  <c r="AF553" i="3" s="1"/>
  <c r="AG553" i="3" s="1"/>
  <c r="AB552" i="3" l="1"/>
  <c r="AD552" i="3" l="1"/>
  <c r="AE552" i="3"/>
  <c r="AC552" i="3"/>
  <c r="AF552" i="3" l="1"/>
  <c r="AG552" i="3" s="1"/>
  <c r="AB551" i="3" l="1"/>
  <c r="AE551" i="3" l="1"/>
  <c r="AC551" i="3"/>
  <c r="AD551" i="3"/>
  <c r="AF551" i="3" s="1"/>
  <c r="AG551" i="3" s="1"/>
  <c r="AB550" i="3" l="1"/>
  <c r="AE550" i="3" l="1"/>
  <c r="AD550" i="3"/>
  <c r="AF550" i="3" s="1"/>
  <c r="AG550" i="3" s="1"/>
  <c r="AC550" i="3"/>
  <c r="AB549" i="3" l="1"/>
  <c r="AD549" i="3" l="1"/>
  <c r="AC549" i="3"/>
  <c r="AE549" i="3"/>
  <c r="AF549" i="3" l="1"/>
  <c r="AG549" i="3" s="1"/>
  <c r="AB548" i="3" l="1"/>
  <c r="AE548" i="3" l="1"/>
  <c r="AC548" i="3"/>
  <c r="AD548" i="3"/>
  <c r="AF548" i="3" s="1"/>
  <c r="AG548" i="3" s="1"/>
  <c r="AB547" i="3" l="1"/>
  <c r="AD547" i="3" l="1"/>
  <c r="AC547" i="3"/>
  <c r="AE547" i="3"/>
  <c r="AF547" i="3" l="1"/>
  <c r="AG547" i="3" s="1"/>
  <c r="AB546" i="3" l="1"/>
  <c r="AD546" i="3" l="1"/>
  <c r="AC546" i="3"/>
  <c r="AE546" i="3"/>
  <c r="AF546" i="3" l="1"/>
  <c r="AG546" i="3" s="1"/>
  <c r="AB545" i="3" l="1"/>
  <c r="AE545" i="3" l="1"/>
  <c r="AD545" i="3"/>
  <c r="AF545" i="3" s="1"/>
  <c r="AG545" i="3" s="1"/>
  <c r="AC545" i="3"/>
  <c r="AB544" i="3" l="1"/>
  <c r="AD544" i="3" l="1"/>
  <c r="AE544" i="3"/>
  <c r="AC544" i="3"/>
  <c r="AF544" i="3" l="1"/>
  <c r="AG544" i="3" s="1"/>
  <c r="AB543" i="3" l="1"/>
  <c r="AE543" i="3" l="1"/>
  <c r="AC543" i="3"/>
  <c r="AD543" i="3"/>
  <c r="AF543" i="3" s="1"/>
  <c r="AG543" i="3" s="1"/>
  <c r="AB542" i="3" l="1"/>
  <c r="AE542" i="3" l="1"/>
  <c r="AC542" i="3"/>
  <c r="AD542" i="3"/>
  <c r="AF542" i="3" s="1"/>
  <c r="AG542" i="3" s="1"/>
  <c r="AB541" i="3" l="1"/>
  <c r="AD541" i="3" l="1"/>
  <c r="AE541" i="3"/>
  <c r="AC541" i="3"/>
  <c r="AF541" i="3" l="1"/>
  <c r="AG541" i="3" s="1"/>
  <c r="AB540" i="3" l="1"/>
  <c r="AE540" i="3" l="1"/>
  <c r="AC540" i="3"/>
  <c r="AD540" i="3"/>
  <c r="AF540" i="3" s="1"/>
  <c r="AG540" i="3" s="1"/>
  <c r="AB539" i="3" l="1"/>
  <c r="AD539" i="3" l="1"/>
  <c r="AE539" i="3"/>
  <c r="AC539" i="3"/>
  <c r="AF539" i="3" l="1"/>
  <c r="AG539" i="3" s="1"/>
  <c r="AB538" i="3" l="1"/>
  <c r="AC538" i="3" l="1"/>
  <c r="AE538" i="3"/>
  <c r="AD538" i="3"/>
  <c r="AF538" i="3" s="1"/>
  <c r="AG538" i="3" s="1"/>
  <c r="AB537" i="3" l="1"/>
  <c r="AE537" i="3" l="1"/>
  <c r="AD537" i="3"/>
  <c r="AF537" i="3" s="1"/>
  <c r="AG537" i="3" s="1"/>
  <c r="AC537" i="3"/>
  <c r="AB536" i="3" l="1"/>
  <c r="AD536" i="3" l="1"/>
  <c r="AE536" i="3"/>
  <c r="AC536" i="3"/>
  <c r="AF536" i="3" l="1"/>
  <c r="AG536" i="3" s="1"/>
  <c r="AB535" i="3" l="1"/>
  <c r="AE535" i="3" l="1"/>
  <c r="AC535" i="3"/>
  <c r="AD535" i="3"/>
  <c r="AF535" i="3" s="1"/>
  <c r="AG535" i="3" s="1"/>
  <c r="AB534" i="3" l="1"/>
  <c r="AE534" i="3" l="1"/>
  <c r="AD534" i="3"/>
  <c r="AF534" i="3" s="1"/>
  <c r="AG534" i="3" s="1"/>
  <c r="AC534" i="3"/>
  <c r="AB533" i="3" l="1"/>
  <c r="AE533" i="3" l="1"/>
  <c r="AD533" i="3"/>
  <c r="AF533" i="3" s="1"/>
  <c r="AG533" i="3" s="1"/>
  <c r="AC533" i="3"/>
  <c r="AB532" i="3" l="1"/>
  <c r="AD532" i="3" l="1"/>
  <c r="AC532" i="3"/>
  <c r="AE532" i="3"/>
  <c r="AF532" i="3" l="1"/>
  <c r="AG532" i="3" s="1"/>
  <c r="AB531" i="3" l="1"/>
  <c r="AC531" i="3" l="1"/>
  <c r="AD531" i="3"/>
  <c r="AE531" i="3"/>
  <c r="AF531" i="3" l="1"/>
  <c r="AG531" i="3" s="1"/>
  <c r="AB530" i="3" l="1"/>
  <c r="AE530" i="3" l="1"/>
  <c r="AC530" i="3"/>
  <c r="AD530" i="3"/>
  <c r="AF530" i="3" s="1"/>
  <c r="AG530" i="3" s="1"/>
  <c r="AB529" i="3" l="1"/>
  <c r="AC529" i="3" l="1"/>
  <c r="AE529" i="3"/>
  <c r="AD529" i="3"/>
  <c r="AF529" i="3" s="1"/>
  <c r="AG529" i="3" s="1"/>
  <c r="AB528" i="3" l="1"/>
  <c r="AD528" i="3" l="1"/>
  <c r="AE528" i="3"/>
  <c r="AC528" i="3"/>
  <c r="AF528" i="3" l="1"/>
  <c r="AG528" i="3" s="1"/>
  <c r="AB527" i="3" l="1"/>
  <c r="AC527" i="3" l="1"/>
  <c r="AD527" i="3"/>
  <c r="AE527" i="3"/>
  <c r="AF527" i="3" l="1"/>
  <c r="AG527" i="3" s="1"/>
  <c r="AB526" i="3" l="1"/>
  <c r="AC526" i="3" l="1"/>
  <c r="AE526" i="3"/>
  <c r="AD526" i="3"/>
  <c r="AF526" i="3" s="1"/>
  <c r="AG526" i="3" s="1"/>
  <c r="AB525" i="3" l="1"/>
  <c r="AE525" i="3" l="1"/>
  <c r="AD525" i="3"/>
  <c r="AF525" i="3" s="1"/>
  <c r="AG525" i="3" s="1"/>
  <c r="AC525" i="3"/>
  <c r="AB524" i="3" l="1"/>
  <c r="AE524" i="3" l="1"/>
  <c r="AC524" i="3"/>
  <c r="AD524" i="3"/>
  <c r="AF524" i="3" s="1"/>
  <c r="AG524" i="3" s="1"/>
  <c r="AB523" i="3" l="1"/>
  <c r="AD523" i="3" l="1"/>
  <c r="AC523" i="3"/>
  <c r="AE523" i="3"/>
  <c r="AF523" i="3" l="1"/>
  <c r="AG523" i="3" s="1"/>
  <c r="AB522" i="3" l="1"/>
  <c r="AC522" i="3" l="1"/>
  <c r="AE522" i="3"/>
  <c r="AD522" i="3"/>
  <c r="AF522" i="3" s="1"/>
  <c r="AG522" i="3" s="1"/>
  <c r="AB521" i="3" l="1"/>
  <c r="AE521" i="3" l="1"/>
  <c r="AC521" i="3"/>
  <c r="AD521" i="3"/>
  <c r="AF521" i="3" s="1"/>
  <c r="AG521" i="3" s="1"/>
  <c r="AB520" i="3" l="1"/>
  <c r="AD520" i="3" l="1"/>
  <c r="AE520" i="3"/>
  <c r="AC520" i="3"/>
  <c r="AF520" i="3" l="1"/>
  <c r="AG520" i="3" s="1"/>
  <c r="AB519" i="3" l="1"/>
  <c r="AE519" i="3" l="1"/>
  <c r="AD519" i="3"/>
  <c r="AF519" i="3" s="1"/>
  <c r="AG519" i="3" s="1"/>
  <c r="AC519" i="3"/>
  <c r="AB518" i="3" l="1"/>
  <c r="AE518" i="3" l="1"/>
  <c r="AD518" i="3"/>
  <c r="AF518" i="3" s="1"/>
  <c r="AG518" i="3" s="1"/>
  <c r="AC518" i="3"/>
  <c r="AB517" i="3" l="1"/>
  <c r="AE517" i="3" l="1"/>
  <c r="AD517" i="3"/>
  <c r="AF517" i="3" s="1"/>
  <c r="AG517" i="3" s="1"/>
  <c r="AC517" i="3"/>
  <c r="AB516" i="3" l="1"/>
  <c r="AE516" i="3" l="1"/>
  <c r="AD516" i="3"/>
  <c r="AF516" i="3" s="1"/>
  <c r="AG516" i="3" s="1"/>
  <c r="AC516" i="3"/>
  <c r="AB515" i="3" l="1"/>
  <c r="AC515" i="3" l="1"/>
  <c r="AE515" i="3"/>
  <c r="AD515" i="3"/>
  <c r="AF515" i="3" s="1"/>
  <c r="AG515" i="3" s="1"/>
  <c r="AB514" i="3" l="1"/>
  <c r="AD514" i="3" l="1"/>
  <c r="AC514" i="3"/>
  <c r="AE514" i="3"/>
  <c r="AF514" i="3" l="1"/>
  <c r="AG514" i="3" s="1"/>
  <c r="AB513" i="3" l="1"/>
  <c r="AE513" i="3" l="1"/>
  <c r="AD513" i="3"/>
  <c r="AF513" i="3" s="1"/>
  <c r="AG513" i="3" s="1"/>
  <c r="AC513" i="3"/>
  <c r="AB512" i="3" l="1"/>
  <c r="AC512" i="3" l="1"/>
  <c r="AD512" i="3"/>
  <c r="AE512" i="3"/>
  <c r="AF512" i="3" l="1"/>
  <c r="AG512" i="3" s="1"/>
  <c r="AB511" i="3" l="1"/>
  <c r="AC511" i="3" l="1"/>
  <c r="AE511" i="3"/>
  <c r="AD511" i="3"/>
  <c r="AF511" i="3" s="1"/>
  <c r="AG511" i="3" s="1"/>
  <c r="AB510" i="3" l="1"/>
  <c r="AD510" i="3" l="1"/>
  <c r="AC510" i="3"/>
  <c r="AE510" i="3"/>
  <c r="AF510" i="3" l="1"/>
  <c r="AG510" i="3" s="1"/>
  <c r="AB509" i="3" l="1"/>
  <c r="AE509" i="3" l="1"/>
  <c r="AD509" i="3"/>
  <c r="AF509" i="3" s="1"/>
  <c r="AG509" i="3" s="1"/>
  <c r="AC509" i="3"/>
  <c r="AB508" i="3" l="1"/>
  <c r="AE508" i="3" l="1"/>
  <c r="AD508" i="3"/>
  <c r="AF508" i="3" s="1"/>
  <c r="AG508" i="3" s="1"/>
  <c r="AC508" i="3"/>
  <c r="AB507" i="3" l="1"/>
  <c r="AD507" i="3" l="1"/>
  <c r="AE507" i="3"/>
  <c r="AC507" i="3"/>
  <c r="AF507" i="3" l="1"/>
  <c r="AG507" i="3" s="1"/>
  <c r="AB506" i="3"/>
  <c r="AD506" i="3" l="1"/>
  <c r="AC506" i="3"/>
  <c r="AE506" i="3"/>
  <c r="AF506" i="3" l="1"/>
  <c r="AG506" i="3" s="1"/>
  <c r="AB505" i="3" l="1"/>
  <c r="AE505" i="3" l="1"/>
  <c r="AD505" i="3"/>
  <c r="AF505" i="3" s="1"/>
  <c r="AG505" i="3" s="1"/>
  <c r="AC505" i="3"/>
  <c r="AB504" i="3" l="1"/>
  <c r="AD504" i="3" l="1"/>
  <c r="AE504" i="3"/>
  <c r="AC504" i="3"/>
  <c r="AF504" i="3" l="1"/>
  <c r="AG504" i="3" s="1"/>
  <c r="AB503" i="3" l="1"/>
  <c r="AC503" i="3" l="1"/>
  <c r="AE503" i="3"/>
  <c r="AD503" i="3"/>
  <c r="AF503" i="3" s="1"/>
  <c r="AG503" i="3" s="1"/>
  <c r="AB502" i="3" l="1"/>
  <c r="AE502" i="3" l="1"/>
  <c r="AC502" i="3"/>
  <c r="AD502" i="3"/>
  <c r="AF502" i="3" s="1"/>
  <c r="AG502" i="3" s="1"/>
  <c r="AB501" i="3" l="1"/>
  <c r="AE501" i="3" l="1"/>
  <c r="AD501" i="3"/>
  <c r="AF501" i="3" s="1"/>
  <c r="AG501" i="3" s="1"/>
  <c r="AC501" i="3"/>
  <c r="AB500" i="3" l="1"/>
  <c r="AD500" i="3" l="1"/>
  <c r="AE500" i="3"/>
  <c r="AC500" i="3"/>
  <c r="AF500" i="3" l="1"/>
  <c r="AG500" i="3" s="1"/>
  <c r="AB499" i="3" l="1"/>
  <c r="AC499" i="3" l="1"/>
  <c r="AE499" i="3"/>
  <c r="AD499" i="3"/>
  <c r="AF499" i="3" s="1"/>
  <c r="AG499" i="3" s="1"/>
  <c r="AB498" i="3" l="1"/>
  <c r="AC498" i="3" l="1"/>
  <c r="AD498" i="3"/>
  <c r="AE498" i="3"/>
  <c r="AF498" i="3" l="1"/>
  <c r="AG498" i="3" s="1"/>
  <c r="AB497" i="3" l="1"/>
  <c r="AE497" i="3" l="1"/>
  <c r="AD497" i="3"/>
  <c r="AF497" i="3" s="1"/>
  <c r="AG497" i="3" s="1"/>
  <c r="AC497" i="3"/>
  <c r="AB496" i="3" l="1"/>
  <c r="AE496" i="3" l="1"/>
  <c r="AD496" i="3"/>
  <c r="AF496" i="3" s="1"/>
  <c r="AG496" i="3" s="1"/>
  <c r="AC496" i="3"/>
  <c r="AB495" i="3" l="1"/>
  <c r="AE495" i="3" l="1"/>
  <c r="AC495" i="3"/>
  <c r="AD495" i="3"/>
  <c r="AF495" i="3" s="1"/>
  <c r="AG495" i="3" s="1"/>
  <c r="AB494" i="3" l="1"/>
  <c r="AE494" i="3" l="1"/>
  <c r="AD494" i="3"/>
  <c r="AF494" i="3" s="1"/>
  <c r="AG494" i="3" s="1"/>
  <c r="AC494" i="3"/>
  <c r="AB493" i="3" l="1"/>
  <c r="AE493" i="3" l="1"/>
  <c r="AD493" i="3"/>
  <c r="AF493" i="3" s="1"/>
  <c r="AG493" i="3" s="1"/>
  <c r="AC493" i="3"/>
  <c r="AB492" i="3" l="1"/>
  <c r="AE492" i="3" l="1"/>
  <c r="AD492" i="3"/>
  <c r="AF492" i="3" s="1"/>
  <c r="AG492" i="3" s="1"/>
  <c r="AC492" i="3"/>
  <c r="AB491" i="3" l="1"/>
  <c r="AD491" i="3" l="1"/>
  <c r="AE491" i="3"/>
  <c r="AC491" i="3"/>
  <c r="AF491" i="3" l="1"/>
  <c r="AG491" i="3" s="1"/>
  <c r="AB490" i="3" l="1"/>
  <c r="AC490" i="3" l="1"/>
  <c r="AD490" i="3"/>
  <c r="AE490" i="3"/>
  <c r="AF490" i="3" l="1"/>
  <c r="AG490" i="3" s="1"/>
  <c r="AB489" i="3" l="1"/>
  <c r="AC489" i="3" l="1"/>
  <c r="AD489" i="3"/>
  <c r="AE489" i="3"/>
  <c r="AF489" i="3" l="1"/>
  <c r="AG489" i="3" s="1"/>
  <c r="AB488" i="3" l="1"/>
  <c r="AE488" i="3" l="1"/>
  <c r="AD488" i="3"/>
  <c r="AF488" i="3" s="1"/>
  <c r="AC488" i="3"/>
  <c r="AG488" i="3" l="1"/>
  <c r="AB487" i="3" l="1"/>
  <c r="AE487" i="3" l="1"/>
  <c r="AC487" i="3"/>
  <c r="AD487" i="3"/>
  <c r="AF487" i="3" s="1"/>
  <c r="AG487" i="3" s="1"/>
  <c r="AB486" i="3" l="1"/>
  <c r="AD486" i="3" l="1"/>
  <c r="AE486" i="3"/>
  <c r="AC486" i="3"/>
  <c r="AF486" i="3" l="1"/>
  <c r="AG486" i="3" s="1"/>
  <c r="AB485" i="3" l="1"/>
  <c r="AD485" i="3" l="1"/>
  <c r="AE485" i="3"/>
  <c r="AC485" i="3"/>
  <c r="AF485" i="3" l="1"/>
  <c r="AG485" i="3" s="1"/>
  <c r="AB484" i="3" l="1"/>
  <c r="AC484" i="3" l="1"/>
  <c r="AE484" i="3"/>
  <c r="AD484" i="3"/>
  <c r="AF484" i="3" s="1"/>
  <c r="AG484" i="3" s="1"/>
  <c r="AB483" i="3" l="1"/>
  <c r="AD483" i="3" l="1"/>
  <c r="AC483" i="3"/>
  <c r="AE483" i="3"/>
  <c r="AF483" i="3" l="1"/>
  <c r="AG483" i="3" s="1"/>
  <c r="AB482" i="3"/>
  <c r="AE482" i="3" l="1"/>
  <c r="AC482" i="3"/>
  <c r="AD482" i="3"/>
  <c r="AF482" i="3" s="1"/>
  <c r="AG482" i="3" s="1"/>
  <c r="AB481" i="3" l="1"/>
  <c r="AE481" i="3" l="1"/>
  <c r="AD481" i="3"/>
  <c r="AF481" i="3" s="1"/>
  <c r="AG481" i="3" s="1"/>
  <c r="AC481" i="3"/>
  <c r="AB480" i="3" l="1"/>
  <c r="AE480" i="3" l="1"/>
  <c r="AD480" i="3"/>
  <c r="AF480" i="3" s="1"/>
  <c r="AG480" i="3" s="1"/>
  <c r="AC480" i="3"/>
  <c r="AB479" i="3" l="1"/>
  <c r="AE479" i="3" l="1"/>
  <c r="AD479" i="3"/>
  <c r="AF479" i="3" s="1"/>
  <c r="AG479" i="3" s="1"/>
  <c r="AC479" i="3"/>
  <c r="AB478" i="3" l="1"/>
  <c r="AC478" i="3" l="1"/>
  <c r="AE478" i="3"/>
  <c r="AD478" i="3"/>
  <c r="AF478" i="3" s="1"/>
  <c r="AG478" i="3" s="1"/>
  <c r="AB477" i="3" l="1"/>
  <c r="AD477" i="3" l="1"/>
  <c r="AC477" i="3"/>
  <c r="AE477" i="3"/>
  <c r="AF477" i="3" l="1"/>
  <c r="AG477" i="3" s="1"/>
  <c r="AB476" i="3"/>
  <c r="AD476" i="3" l="1"/>
  <c r="AC476" i="3"/>
  <c r="AE476" i="3"/>
  <c r="AF476" i="3" l="1"/>
  <c r="AG476" i="3" s="1"/>
  <c r="AB475" i="3" l="1"/>
  <c r="AC475" i="3" l="1"/>
  <c r="AE475" i="3"/>
  <c r="AD475" i="3"/>
  <c r="AF475" i="3" s="1"/>
  <c r="AG475" i="3" s="1"/>
  <c r="AB474" i="3" l="1"/>
  <c r="AC474" i="3" l="1"/>
  <c r="AD474" i="3"/>
  <c r="AE474" i="3"/>
  <c r="AF474" i="3" l="1"/>
  <c r="AG474" i="3" s="1"/>
  <c r="AB473" i="3" l="1"/>
  <c r="AD473" i="3" l="1"/>
  <c r="AC473" i="3"/>
  <c r="AE473" i="3"/>
  <c r="AF473" i="3" l="1"/>
  <c r="AG473" i="3" s="1"/>
  <c r="AB472" i="3" l="1"/>
  <c r="AD472" i="3" l="1"/>
  <c r="AC472" i="3"/>
  <c r="AE472" i="3"/>
  <c r="AF472" i="3" l="1"/>
  <c r="AG472" i="3" s="1"/>
  <c r="AB471" i="3" l="1"/>
  <c r="AD471" i="3" l="1"/>
  <c r="AE471" i="3"/>
  <c r="AC471" i="3"/>
  <c r="AF471" i="3" l="1"/>
  <c r="AG471" i="3" s="1"/>
  <c r="AB470" i="3"/>
  <c r="AD470" i="3" l="1"/>
  <c r="AC470" i="3"/>
  <c r="AE470" i="3"/>
  <c r="AF470" i="3" l="1"/>
  <c r="AG470" i="3" s="1"/>
  <c r="AB469" i="3" l="1"/>
  <c r="AD469" i="3" l="1"/>
  <c r="AC469" i="3"/>
  <c r="AE469" i="3"/>
  <c r="AF469" i="3" l="1"/>
  <c r="AG469" i="3" s="1"/>
  <c r="AB468" i="3" l="1"/>
  <c r="AE468" i="3" l="1"/>
  <c r="AC468" i="3"/>
  <c r="AD468" i="3"/>
  <c r="AF468" i="3" s="1"/>
  <c r="AG468" i="3" s="1"/>
  <c r="AB467" i="3" l="1"/>
  <c r="AD467" i="3" l="1"/>
  <c r="AC467" i="3"/>
  <c r="AE467" i="3"/>
  <c r="AF467" i="3" l="1"/>
  <c r="AG467" i="3" s="1"/>
  <c r="AB466" i="3" l="1"/>
  <c r="AE466" i="3" l="1"/>
  <c r="AC466" i="3"/>
  <c r="AD466" i="3"/>
  <c r="AF466" i="3" s="1"/>
  <c r="AG466" i="3" s="1"/>
  <c r="AB465" i="3" l="1"/>
  <c r="AE465" i="3" l="1"/>
  <c r="AD465" i="3"/>
  <c r="AF465" i="3" s="1"/>
  <c r="AG465" i="3" s="1"/>
  <c r="AC465" i="3"/>
  <c r="AB464" i="3" l="1"/>
  <c r="AC464" i="3" l="1"/>
  <c r="AD464" i="3"/>
  <c r="AE464" i="3"/>
  <c r="AF464" i="3" l="1"/>
  <c r="AG464" i="3" s="1"/>
  <c r="AB463" i="3"/>
  <c r="AE463" i="3" l="1"/>
  <c r="AC463" i="3"/>
  <c r="AD463" i="3"/>
  <c r="AF463" i="3" s="1"/>
  <c r="AG463" i="3" s="1"/>
  <c r="AB462" i="3" l="1"/>
  <c r="AE462" i="3" l="1"/>
  <c r="AD462" i="3"/>
  <c r="AF462" i="3" s="1"/>
  <c r="AG462" i="3" s="1"/>
  <c r="AC462" i="3"/>
  <c r="AB461" i="3" l="1"/>
  <c r="AE461" i="3" l="1"/>
  <c r="AD461" i="3"/>
  <c r="AF461" i="3" s="1"/>
  <c r="AG461" i="3" s="1"/>
  <c r="AC461" i="3"/>
  <c r="AB460" i="3" l="1"/>
  <c r="AE460" i="3" l="1"/>
  <c r="AD460" i="3"/>
  <c r="AF460" i="3" s="1"/>
  <c r="AG460" i="3" s="1"/>
  <c r="AC460" i="3"/>
  <c r="AB459" i="3" l="1"/>
  <c r="AD459" i="3" l="1"/>
  <c r="AC459" i="3"/>
  <c r="AE459" i="3"/>
  <c r="AF459" i="3" l="1"/>
  <c r="AG459" i="3" s="1"/>
  <c r="AB458" i="3" l="1"/>
  <c r="AC458" i="3" l="1"/>
  <c r="AE458" i="3"/>
  <c r="AD458" i="3"/>
  <c r="AF458" i="3" s="1"/>
  <c r="AG458" i="3" s="1"/>
  <c r="AB457" i="3" l="1"/>
  <c r="AE457" i="3" l="1"/>
  <c r="AC457" i="3"/>
  <c r="AD457" i="3"/>
  <c r="AF457" i="3" s="1"/>
  <c r="AG457" i="3" s="1"/>
  <c r="AB456" i="3" l="1"/>
  <c r="AD456" i="3" l="1"/>
  <c r="AE456" i="3"/>
  <c r="AC456" i="3"/>
  <c r="AF456" i="3" l="1"/>
  <c r="AG456" i="3" s="1"/>
  <c r="AB455" i="3" l="1"/>
  <c r="AE455" i="3" l="1"/>
  <c r="AD455" i="3"/>
  <c r="AF455" i="3" s="1"/>
  <c r="AG455" i="3" s="1"/>
  <c r="AC455" i="3"/>
  <c r="AB454" i="3" l="1"/>
  <c r="AE454" i="3" l="1"/>
  <c r="AD454" i="3"/>
  <c r="AF454" i="3" s="1"/>
  <c r="AG454" i="3" s="1"/>
  <c r="AC454" i="3"/>
  <c r="AB453" i="3" l="1"/>
  <c r="AE453" i="3" l="1"/>
  <c r="AD453" i="3"/>
  <c r="AF453" i="3" s="1"/>
  <c r="AG453" i="3" s="1"/>
  <c r="AC453" i="3"/>
  <c r="AB452" i="3" l="1"/>
  <c r="AE452" i="3" l="1"/>
  <c r="AD452" i="3"/>
  <c r="AF452" i="3" s="1"/>
  <c r="AG452" i="3" s="1"/>
  <c r="AC452" i="3"/>
  <c r="AB451" i="3" l="1"/>
  <c r="AD451" i="3" l="1"/>
  <c r="AC451" i="3"/>
  <c r="AE451" i="3"/>
  <c r="AF451" i="3" l="1"/>
  <c r="AG451" i="3" s="1"/>
  <c r="AB450" i="3" l="1"/>
  <c r="AC450" i="3" l="1"/>
  <c r="AD450" i="3"/>
  <c r="AE450" i="3"/>
  <c r="AF450" i="3" l="1"/>
  <c r="AG450" i="3" s="1"/>
  <c r="AB449" i="3" l="1"/>
  <c r="AE449" i="3" l="1"/>
  <c r="AC449" i="3"/>
  <c r="AD449" i="3"/>
  <c r="AF449" i="3" s="1"/>
  <c r="AG449" i="3" s="1"/>
  <c r="AB448" i="3" l="1"/>
  <c r="AD448" i="3" l="1"/>
  <c r="AC448" i="3"/>
  <c r="AE448" i="3"/>
  <c r="AF448" i="3" l="1"/>
  <c r="AG448" i="3" s="1"/>
  <c r="AB447" i="3" l="1"/>
  <c r="AC447" i="3" l="1"/>
  <c r="AE447" i="3"/>
  <c r="AD447" i="3"/>
  <c r="AF447" i="3" s="1"/>
  <c r="AG447" i="3" s="1"/>
  <c r="AB446" i="3" l="1"/>
  <c r="AD446" i="3" l="1"/>
  <c r="AC446" i="3"/>
  <c r="AE446" i="3"/>
  <c r="AF446" i="3" l="1"/>
  <c r="AG446" i="3" s="1"/>
  <c r="AB445" i="3" l="1"/>
  <c r="AD445" i="3" l="1"/>
  <c r="AE445" i="3"/>
  <c r="AC445" i="3"/>
  <c r="AF445" i="3" l="1"/>
  <c r="AG445" i="3" s="1"/>
  <c r="AB444" i="3" l="1"/>
  <c r="AD444" i="3" l="1"/>
  <c r="AE444" i="3"/>
  <c r="AC444" i="3"/>
  <c r="AF444" i="3" l="1"/>
  <c r="AG444" i="3" s="1"/>
  <c r="AB443" i="3" l="1"/>
  <c r="AC443" i="3" l="1"/>
  <c r="AD443" i="3"/>
  <c r="AE443" i="3"/>
  <c r="AF443" i="3" l="1"/>
  <c r="AG443" i="3" s="1"/>
  <c r="AB442" i="3" l="1"/>
  <c r="AC442" i="3" l="1"/>
  <c r="AD442" i="3"/>
  <c r="AE442" i="3"/>
  <c r="AF442" i="3" l="1"/>
  <c r="AG442" i="3" s="1"/>
  <c r="AB441" i="3" l="1"/>
  <c r="AE441" i="3" l="1"/>
  <c r="AC441" i="3"/>
  <c r="AD441" i="3"/>
  <c r="AF441" i="3" s="1"/>
  <c r="AG441" i="3" s="1"/>
  <c r="AB440" i="3" l="1"/>
  <c r="AD440" i="3" l="1"/>
  <c r="AE440" i="3"/>
  <c r="AC440" i="3"/>
  <c r="AF440" i="3" l="1"/>
  <c r="AG440" i="3" s="1"/>
  <c r="AB439" i="3" l="1"/>
  <c r="AE439" i="3" l="1"/>
  <c r="AC439" i="3"/>
  <c r="AD439" i="3"/>
  <c r="AF439" i="3" s="1"/>
  <c r="AG439" i="3" s="1"/>
  <c r="AB438" i="3" l="1"/>
  <c r="AE438" i="3" l="1"/>
  <c r="AD438" i="3"/>
  <c r="AF438" i="3" s="1"/>
  <c r="AG438" i="3" s="1"/>
  <c r="AC438" i="3"/>
  <c r="AB437" i="3" l="1"/>
  <c r="AC437" i="3" l="1"/>
  <c r="AE437" i="3"/>
  <c r="AD437" i="3"/>
  <c r="AF437" i="3" s="1"/>
  <c r="AG437" i="3" s="1"/>
  <c r="AB436" i="3" l="1"/>
  <c r="AE436" i="3" l="1"/>
  <c r="AD436" i="3"/>
  <c r="AF436" i="3" s="1"/>
  <c r="AG436" i="3" s="1"/>
  <c r="AC436" i="3"/>
  <c r="AB435" i="3" l="1"/>
  <c r="AD435" i="3" l="1"/>
  <c r="AE435" i="3"/>
  <c r="AC435" i="3"/>
  <c r="AF435" i="3" l="1"/>
  <c r="AG435" i="3" s="1"/>
  <c r="AB434" i="3" l="1"/>
  <c r="AC434" i="3" l="1"/>
  <c r="AE434" i="3"/>
  <c r="AD434" i="3"/>
  <c r="AF434" i="3" s="1"/>
  <c r="AG434" i="3" s="1"/>
  <c r="AB433" i="3" l="1"/>
  <c r="AD433" i="3" l="1"/>
  <c r="AC433" i="3"/>
  <c r="AE433" i="3"/>
  <c r="AF433" i="3" l="1"/>
  <c r="AG433" i="3" s="1"/>
  <c r="AB432" i="3" l="1"/>
  <c r="AD432" i="3" l="1"/>
  <c r="AC432" i="3"/>
  <c r="AE432" i="3"/>
  <c r="AF432" i="3" l="1"/>
  <c r="AG432" i="3" s="1"/>
  <c r="AB431" i="3" l="1"/>
  <c r="AD431" i="3" l="1"/>
  <c r="AE431" i="3"/>
  <c r="AC431" i="3"/>
  <c r="AF431" i="3" l="1"/>
  <c r="AG431" i="3" s="1"/>
  <c r="AB430" i="3" l="1"/>
  <c r="AD430" i="3" l="1"/>
  <c r="AC430" i="3"/>
  <c r="AE430" i="3"/>
  <c r="AF430" i="3" l="1"/>
  <c r="AG430" i="3" s="1"/>
  <c r="AB429" i="3" l="1"/>
  <c r="AC429" i="3" l="1"/>
  <c r="AD429" i="3"/>
  <c r="AE429" i="3"/>
  <c r="AF429" i="3" l="1"/>
  <c r="AG429" i="3" s="1"/>
  <c r="AB428" i="3" l="1"/>
  <c r="AD428" i="3" l="1"/>
  <c r="AC428" i="3"/>
  <c r="AE428" i="3"/>
  <c r="AF428" i="3" l="1"/>
  <c r="AG428" i="3" s="1"/>
  <c r="AB427" i="3" l="1"/>
  <c r="AD427" i="3" l="1"/>
  <c r="AC427" i="3"/>
  <c r="AE427" i="3"/>
  <c r="AF427" i="3" l="1"/>
  <c r="AG427" i="3" s="1"/>
  <c r="AB426" i="3" l="1"/>
  <c r="AC426" i="3" l="1"/>
  <c r="AE426" i="3"/>
  <c r="AD426" i="3"/>
  <c r="AF426" i="3" s="1"/>
  <c r="AG426" i="3" s="1"/>
  <c r="AB425" i="3" l="1"/>
  <c r="AE425" i="3" l="1"/>
  <c r="AC425" i="3"/>
  <c r="AD425" i="3"/>
  <c r="AF425" i="3" s="1"/>
  <c r="AG425" i="3" s="1"/>
  <c r="AB424" i="3" l="1"/>
  <c r="AD424" i="3" l="1"/>
  <c r="AE424" i="3"/>
  <c r="AC424" i="3"/>
  <c r="AF424" i="3" l="1"/>
  <c r="AG424" i="3" s="1"/>
  <c r="AB423" i="3" l="1"/>
  <c r="AC423" i="3" l="1"/>
  <c r="AD423" i="3"/>
  <c r="AE423" i="3"/>
  <c r="AF423" i="3" l="1"/>
  <c r="AG423" i="3" s="1"/>
  <c r="AB422" i="3" l="1"/>
  <c r="AD422" i="3" l="1"/>
  <c r="AC422" i="3"/>
  <c r="AE422" i="3"/>
  <c r="AF422" i="3" l="1"/>
  <c r="AG422" i="3" s="1"/>
  <c r="AB421" i="3" l="1"/>
  <c r="AC421" i="3" l="1"/>
  <c r="AD421" i="3"/>
  <c r="AE421" i="3"/>
  <c r="AF421" i="3" l="1"/>
  <c r="AG421" i="3" s="1"/>
  <c r="AB420" i="3" l="1"/>
  <c r="AE420" i="3" l="1"/>
  <c r="AC420" i="3"/>
  <c r="AD420" i="3"/>
  <c r="AF420" i="3" s="1"/>
  <c r="AG420" i="3" s="1"/>
  <c r="AB419" i="3" l="1"/>
  <c r="AD419" i="3" l="1"/>
  <c r="AC419" i="3"/>
  <c r="AE419" i="3"/>
  <c r="AF419" i="3" l="1"/>
  <c r="AG419" i="3" s="1"/>
  <c r="AB418" i="3" l="1"/>
  <c r="AE418" i="3" l="1"/>
  <c r="AC418" i="3"/>
  <c r="AD418" i="3"/>
  <c r="AF418" i="3" s="1"/>
  <c r="AG418" i="3" s="1"/>
  <c r="AB417" i="3" l="1"/>
  <c r="AD417" i="3" l="1"/>
  <c r="AC417" i="3"/>
  <c r="AE417" i="3"/>
  <c r="AF417" i="3" l="1"/>
  <c r="AG417" i="3" s="1"/>
  <c r="AB416" i="3" l="1"/>
  <c r="AD416" i="3" l="1"/>
  <c r="AC416" i="3"/>
  <c r="AE416" i="3"/>
  <c r="AF416" i="3" l="1"/>
  <c r="AG416" i="3" s="1"/>
  <c r="AB415" i="3" l="1"/>
  <c r="AC415" i="3" l="1"/>
  <c r="AE415" i="3"/>
  <c r="AD415" i="3"/>
  <c r="AF415" i="3" s="1"/>
  <c r="AG415" i="3" s="1"/>
  <c r="AB414" i="3" l="1"/>
  <c r="AD414" i="3" l="1"/>
  <c r="AC414" i="3"/>
  <c r="AE414" i="3"/>
  <c r="AF414" i="3" l="1"/>
  <c r="AG414" i="3" s="1"/>
  <c r="AB413" i="3" l="1"/>
  <c r="AE413" i="3" l="1"/>
  <c r="AC413" i="3"/>
  <c r="AD413" i="3"/>
  <c r="AF413" i="3" s="1"/>
  <c r="AG413" i="3" s="1"/>
  <c r="AB412" i="3" l="1"/>
  <c r="AE412" i="3" l="1"/>
  <c r="AC412" i="3"/>
  <c r="AD412" i="3"/>
  <c r="AF412" i="3" s="1"/>
  <c r="AG412" i="3" s="1"/>
  <c r="AB411" i="3" l="1"/>
  <c r="AD411" i="3" l="1"/>
  <c r="AC411" i="3"/>
  <c r="AE411" i="3"/>
  <c r="AF411" i="3" l="1"/>
  <c r="AG411" i="3" s="1"/>
  <c r="AB410" i="3" l="1"/>
  <c r="AC410" i="3" l="1"/>
  <c r="AE410" i="3"/>
  <c r="AD410" i="3"/>
  <c r="AF410" i="3" s="1"/>
  <c r="AG410" i="3" l="1"/>
  <c r="AB409" i="3" l="1"/>
  <c r="AE409" i="3" l="1"/>
  <c r="AC409" i="3"/>
  <c r="AD409" i="3"/>
  <c r="AF409" i="3" s="1"/>
  <c r="AG409" i="3" s="1"/>
  <c r="AB408" i="3" l="1"/>
  <c r="AD408" i="3" l="1"/>
  <c r="AC408" i="3"/>
  <c r="AE408" i="3"/>
  <c r="AF408" i="3" l="1"/>
  <c r="AG408" i="3" s="1"/>
  <c r="AB407" i="3" l="1"/>
  <c r="AE407" i="3" l="1"/>
  <c r="AD407" i="3"/>
  <c r="AF407" i="3" s="1"/>
  <c r="AG407" i="3" s="1"/>
  <c r="AC407" i="3"/>
  <c r="AB406" i="3" l="1"/>
  <c r="AD406" i="3" l="1"/>
  <c r="AE406" i="3"/>
  <c r="AC406" i="3"/>
  <c r="AF406" i="3" l="1"/>
  <c r="AG406" i="3" s="1"/>
  <c r="AB405" i="3" l="1"/>
  <c r="AE405" i="3" l="1"/>
  <c r="AD405" i="3"/>
  <c r="AF405" i="3" s="1"/>
  <c r="AG405" i="3" s="1"/>
  <c r="AC405" i="3"/>
  <c r="AB404" i="3" l="1"/>
  <c r="AE404" i="3" l="1"/>
  <c r="AD404" i="3"/>
  <c r="AF404" i="3" s="1"/>
  <c r="AG404" i="3" s="1"/>
  <c r="AC404" i="3"/>
  <c r="AB403" i="3" l="1"/>
  <c r="AD403" i="3" l="1"/>
  <c r="AC403" i="3"/>
  <c r="AE403" i="3"/>
  <c r="AF403" i="3" l="1"/>
  <c r="AG403" i="3" s="1"/>
  <c r="AB402" i="3" l="1"/>
  <c r="AC402" i="3" l="1"/>
  <c r="AE402" i="3"/>
  <c r="AD402" i="3"/>
  <c r="AF402" i="3" s="1"/>
  <c r="AG402" i="3" s="1"/>
  <c r="AB401" i="3" l="1"/>
  <c r="AE401" i="3" l="1"/>
  <c r="AD401" i="3"/>
  <c r="AF401" i="3" s="1"/>
  <c r="AG401" i="3" s="1"/>
  <c r="AC401" i="3"/>
  <c r="AB400" i="3" l="1"/>
  <c r="AD400" i="3" l="1"/>
  <c r="AE400" i="3"/>
  <c r="AC400" i="3"/>
  <c r="AF400" i="3" l="1"/>
  <c r="AG400" i="3" s="1"/>
  <c r="AB399" i="3" l="1"/>
  <c r="AE399" i="3" l="1"/>
  <c r="AC399" i="3"/>
  <c r="AD399" i="3"/>
  <c r="AF399" i="3" s="1"/>
  <c r="AG399" i="3" s="1"/>
  <c r="AB398" i="3" l="1"/>
  <c r="AD398" i="3" l="1"/>
  <c r="AE398" i="3"/>
  <c r="AC398" i="3"/>
  <c r="AF398" i="3" l="1"/>
  <c r="AG398" i="3" s="1"/>
  <c r="AB397" i="3" l="1"/>
  <c r="AE397" i="3" l="1"/>
  <c r="AD397" i="3"/>
  <c r="AF397" i="3" s="1"/>
  <c r="AG397" i="3" s="1"/>
  <c r="AC397" i="3"/>
  <c r="AB396" i="3" l="1"/>
  <c r="AE396" i="3" l="1"/>
  <c r="AC396" i="3"/>
  <c r="AD396" i="3"/>
  <c r="AF396" i="3" s="1"/>
  <c r="AG396" i="3" s="1"/>
  <c r="AB395" i="3" l="1"/>
  <c r="AD395" i="3" l="1"/>
  <c r="AC395" i="3"/>
  <c r="AE395" i="3"/>
  <c r="AF395" i="3" l="1"/>
  <c r="AG395" i="3" s="1"/>
  <c r="AB394" i="3" l="1"/>
  <c r="AC394" i="3" l="1"/>
  <c r="AE394" i="3"/>
  <c r="AD394" i="3"/>
  <c r="AF394" i="3" l="1"/>
  <c r="AG394" i="3" s="1"/>
  <c r="AB393" i="3"/>
  <c r="AE393" i="3" l="1"/>
  <c r="AC393" i="3"/>
  <c r="AD393" i="3"/>
  <c r="AF393" i="3" s="1"/>
  <c r="AG393" i="3" s="1"/>
  <c r="AB392" i="3" l="1"/>
  <c r="AE392" i="3" l="1"/>
  <c r="AC392" i="3"/>
  <c r="AD392" i="3"/>
  <c r="AF392" i="3" s="1"/>
  <c r="AG392" i="3" s="1"/>
  <c r="AB391" i="3" l="1"/>
  <c r="AE391" i="3" l="1"/>
  <c r="AC391" i="3"/>
  <c r="AD391" i="3"/>
  <c r="AF391" i="3" s="1"/>
  <c r="AG391" i="3" s="1"/>
  <c r="AB390" i="3" l="1"/>
  <c r="AD390" i="3" l="1"/>
  <c r="AE390" i="3"/>
  <c r="AC390" i="3"/>
  <c r="AF390" i="3" l="1"/>
  <c r="AG390" i="3" s="1"/>
  <c r="AB389" i="3" l="1"/>
  <c r="AE389" i="3" l="1"/>
  <c r="AC389" i="3"/>
  <c r="AD389" i="3"/>
  <c r="AF389" i="3" s="1"/>
  <c r="AG389" i="3" s="1"/>
  <c r="AB388" i="3" l="1"/>
  <c r="AE388" i="3" l="1"/>
  <c r="AC388" i="3"/>
  <c r="AD388" i="3"/>
  <c r="AF388" i="3" s="1"/>
  <c r="AG388" i="3" s="1"/>
  <c r="AB387" i="3" l="1"/>
  <c r="AD387" i="3" l="1"/>
  <c r="AC387" i="3"/>
  <c r="AE387" i="3"/>
  <c r="AF387" i="3" l="1"/>
  <c r="AG387" i="3" s="1"/>
  <c r="AB386" i="3" l="1"/>
  <c r="AC386" i="3" l="1"/>
  <c r="AE386" i="3"/>
  <c r="AD386" i="3"/>
  <c r="AF386" i="3" s="1"/>
  <c r="AG386" i="3" s="1"/>
  <c r="AB385" i="3" l="1"/>
  <c r="AE385" i="3" l="1"/>
  <c r="AD385" i="3"/>
  <c r="AF385" i="3" s="1"/>
  <c r="AG385" i="3" s="1"/>
  <c r="AC385" i="3"/>
  <c r="AB384" i="3" l="1"/>
  <c r="AD384" i="3" l="1"/>
  <c r="AC384" i="3"/>
  <c r="AE384" i="3"/>
  <c r="AF384" i="3" l="1"/>
  <c r="AG384" i="3" s="1"/>
  <c r="AB383" i="3" l="1"/>
  <c r="AE383" i="3" l="1"/>
  <c r="AC383" i="3"/>
  <c r="AD383" i="3"/>
  <c r="AF383" i="3" s="1"/>
  <c r="AG383" i="3" s="1"/>
  <c r="AB382" i="3" l="1"/>
  <c r="AC382" i="3" l="1"/>
  <c r="AD382" i="3"/>
  <c r="AE382" i="3"/>
  <c r="AF382" i="3" l="1"/>
  <c r="AG382" i="3" s="1"/>
  <c r="AB381" i="3" l="1"/>
  <c r="AC381" i="3" l="1"/>
  <c r="AE381" i="3"/>
  <c r="AD381" i="3"/>
  <c r="AF381" i="3" s="1"/>
  <c r="AG381" i="3" s="1"/>
  <c r="AB380" i="3" l="1"/>
  <c r="AE380" i="3" l="1"/>
  <c r="AD380" i="3"/>
  <c r="AF380" i="3" s="1"/>
  <c r="AG380" i="3" s="1"/>
  <c r="AC380" i="3"/>
  <c r="AB379" i="3" l="1"/>
  <c r="AC379" i="3" l="1"/>
  <c r="AE379" i="3"/>
  <c r="AD379" i="3"/>
  <c r="AF379" i="3" s="1"/>
  <c r="AG379" i="3" s="1"/>
  <c r="AB378" i="3" l="1"/>
  <c r="AE378" i="3" l="1"/>
  <c r="AC378" i="3"/>
  <c r="AD378" i="3"/>
  <c r="AF378" i="3" s="1"/>
  <c r="AG378" i="3" s="1"/>
  <c r="AB377" i="3" l="1"/>
  <c r="AE377" i="3" l="1"/>
  <c r="AD377" i="3"/>
  <c r="AF377" i="3" s="1"/>
  <c r="AG377" i="3" s="1"/>
  <c r="AC377" i="3"/>
  <c r="AB376" i="3" l="1"/>
  <c r="AE376" i="3" l="1"/>
  <c r="AD376" i="3"/>
  <c r="AF376" i="3" s="1"/>
  <c r="AG376" i="3" s="1"/>
  <c r="AC376" i="3"/>
  <c r="AB375" i="3" l="1"/>
  <c r="AE375" i="3" l="1"/>
  <c r="AC375" i="3"/>
  <c r="AD375" i="3"/>
  <c r="AF375" i="3" s="1"/>
  <c r="AG375" i="3" s="1"/>
  <c r="AB374" i="3" l="1"/>
  <c r="AD374" i="3" l="1"/>
  <c r="AE374" i="3"/>
  <c r="AC374" i="3"/>
  <c r="AF374" i="3" l="1"/>
  <c r="AG374" i="3" s="1"/>
  <c r="AB373" i="3" l="1"/>
  <c r="AE373" i="3" l="1"/>
  <c r="AD373" i="3"/>
  <c r="AF373" i="3" s="1"/>
  <c r="AG373" i="3" s="1"/>
  <c r="AC373" i="3"/>
  <c r="AB372" i="3" l="1"/>
  <c r="AE372" i="3" l="1"/>
  <c r="AD372" i="3"/>
  <c r="AF372" i="3" s="1"/>
  <c r="AG372" i="3" s="1"/>
  <c r="AC372" i="3"/>
  <c r="AB371" i="3" l="1"/>
  <c r="AC371" i="3" l="1"/>
  <c r="AE371" i="3"/>
  <c r="AD371" i="3"/>
  <c r="AF371" i="3" s="1"/>
  <c r="AG371" i="3" s="1"/>
  <c r="AB370" i="3" l="1"/>
  <c r="AE370" i="3" l="1"/>
  <c r="AD370" i="3"/>
  <c r="AF370" i="3" s="1"/>
  <c r="AG370" i="3" s="1"/>
  <c r="AC370" i="3"/>
  <c r="AB369" i="3" l="1"/>
  <c r="AC369" i="3" l="1"/>
  <c r="AD369" i="3"/>
  <c r="AE369" i="3"/>
  <c r="AF369" i="3" l="1"/>
  <c r="AG369" i="3" s="1"/>
  <c r="AB368" i="3" l="1"/>
  <c r="AD368" i="3" l="1"/>
  <c r="AC368" i="3"/>
  <c r="AE368" i="3"/>
  <c r="AF368" i="3" l="1"/>
  <c r="AG368" i="3" s="1"/>
  <c r="AB367" i="3" l="1"/>
  <c r="AE367" i="3" l="1"/>
  <c r="AD367" i="3"/>
  <c r="AF367" i="3" s="1"/>
  <c r="AG367" i="3" s="1"/>
  <c r="AC367" i="3"/>
  <c r="AB366" i="3" l="1"/>
  <c r="AD366" i="3" l="1"/>
  <c r="AE366" i="3"/>
  <c r="AC366" i="3"/>
  <c r="AF366" i="3" l="1"/>
  <c r="AG366" i="3" s="1"/>
  <c r="AB365" i="3" l="1"/>
  <c r="AE365" i="3" l="1"/>
  <c r="AD365" i="3"/>
  <c r="AF365" i="3" s="1"/>
  <c r="AG365" i="3" s="1"/>
  <c r="AC365" i="3"/>
  <c r="AB364" i="3" l="1"/>
  <c r="AE364" i="3" l="1"/>
  <c r="AC364" i="3"/>
  <c r="AD364" i="3"/>
  <c r="AF364" i="3" s="1"/>
  <c r="AG364" i="3" s="1"/>
  <c r="AB363" i="3" l="1"/>
  <c r="AD363" i="3" l="1"/>
  <c r="AE363" i="3"/>
  <c r="AC363" i="3"/>
  <c r="AF363" i="3" l="1"/>
  <c r="AG363" i="3" s="1"/>
  <c r="AB362" i="3" l="1"/>
  <c r="AE362" i="3" l="1"/>
  <c r="AD362" i="3"/>
  <c r="AF362" i="3" s="1"/>
  <c r="AG362" i="3" s="1"/>
  <c r="AC362" i="3"/>
  <c r="AB361" i="3" l="1"/>
  <c r="AD361" i="3" l="1"/>
  <c r="AC361" i="3"/>
  <c r="AE361" i="3"/>
  <c r="AF361" i="3" l="1"/>
  <c r="AG361" i="3" s="1"/>
  <c r="AB360" i="3" l="1"/>
  <c r="AE360" i="3" l="1"/>
  <c r="AC360" i="3"/>
  <c r="AD360" i="3"/>
  <c r="AF360" i="3" s="1"/>
  <c r="AG360" i="3" s="1"/>
  <c r="AB359" i="3" l="1"/>
  <c r="AC359" i="3" l="1"/>
  <c r="AD359" i="3"/>
  <c r="AE359" i="3"/>
  <c r="AF359" i="3" l="1"/>
  <c r="AG359" i="3" s="1"/>
  <c r="AB358" i="3" l="1"/>
  <c r="AC358" i="3" l="1"/>
  <c r="AD358" i="3"/>
  <c r="AE358" i="3"/>
  <c r="AF358" i="3" l="1"/>
  <c r="AG358" i="3" s="1"/>
  <c r="AB357" i="3" l="1"/>
  <c r="AE357" i="3" l="1"/>
  <c r="AD357" i="3"/>
  <c r="AF357" i="3" s="1"/>
  <c r="AG357" i="3" s="1"/>
  <c r="AC357" i="3"/>
  <c r="AB356" i="3" l="1"/>
  <c r="AE356" i="3" l="1"/>
  <c r="AD356" i="3"/>
  <c r="AF356" i="3" s="1"/>
  <c r="AG356" i="3" s="1"/>
  <c r="AC356" i="3"/>
  <c r="AB355" i="3" l="1"/>
  <c r="AD355" i="3" l="1"/>
  <c r="AE355" i="3"/>
  <c r="AC355" i="3"/>
  <c r="AF355" i="3" l="1"/>
  <c r="AG355" i="3" s="1"/>
  <c r="AB354" i="3" l="1"/>
  <c r="AC354" i="3" l="1"/>
  <c r="AE354" i="3"/>
  <c r="AD354" i="3"/>
  <c r="AF354" i="3" s="1"/>
  <c r="AG354" i="3" s="1"/>
  <c r="AB353" i="3" l="1"/>
  <c r="AD353" i="3" l="1"/>
  <c r="AC353" i="3"/>
  <c r="AE353" i="3"/>
  <c r="AF353" i="3" l="1"/>
  <c r="AG353" i="3" s="1"/>
  <c r="AB352" i="3" l="1"/>
  <c r="AE352" i="3" l="1"/>
  <c r="AC352" i="3"/>
  <c r="AD352" i="3"/>
  <c r="AF352" i="3" s="1"/>
  <c r="AG352" i="3" s="1"/>
  <c r="AB351" i="3" l="1"/>
  <c r="AC351" i="3" l="1"/>
  <c r="AD351" i="3"/>
  <c r="AE351" i="3"/>
  <c r="AF351" i="3" l="1"/>
  <c r="AG351" i="3" s="1"/>
  <c r="AB350" i="3" l="1"/>
  <c r="AC350" i="3" l="1"/>
  <c r="AD350" i="3"/>
  <c r="AE350" i="3"/>
  <c r="AF350" i="3" l="1"/>
  <c r="AG350" i="3" s="1"/>
  <c r="AB349" i="3" l="1"/>
  <c r="AE349" i="3" l="1"/>
  <c r="AD349" i="3"/>
  <c r="AF349" i="3" s="1"/>
  <c r="AG349" i="3" s="1"/>
  <c r="AC349" i="3"/>
  <c r="AB348" i="3" l="1"/>
  <c r="AE348" i="3" l="1"/>
  <c r="AC348" i="3"/>
  <c r="AD348" i="3"/>
  <c r="AF348" i="3" s="1"/>
  <c r="AG348" i="3" s="1"/>
  <c r="AB347" i="3" l="1"/>
  <c r="AD347" i="3" l="1"/>
  <c r="AC347" i="3"/>
  <c r="AE347" i="3"/>
  <c r="AF347" i="3" l="1"/>
  <c r="AG347" i="3" s="1"/>
  <c r="AB346" i="3" l="1"/>
  <c r="AC346" i="3" l="1"/>
  <c r="AD346" i="3"/>
  <c r="AE346" i="3"/>
  <c r="AF346" i="3" l="1"/>
  <c r="AG346" i="3" s="1"/>
  <c r="AB345" i="3" l="1"/>
  <c r="AE345" i="3" l="1"/>
  <c r="AD345" i="3"/>
  <c r="AF345" i="3" s="1"/>
  <c r="AG345" i="3" s="1"/>
  <c r="AC345" i="3"/>
  <c r="AB344" i="3" l="1"/>
  <c r="AD344" i="3" l="1"/>
  <c r="AC344" i="3"/>
  <c r="AE344" i="3"/>
  <c r="AF344" i="3" l="1"/>
  <c r="AG344" i="3" s="1"/>
  <c r="AB343" i="3" l="1"/>
  <c r="AE343" i="3" l="1"/>
  <c r="AC343" i="3"/>
  <c r="AD343" i="3"/>
  <c r="AF343" i="3" s="1"/>
  <c r="AG343" i="3" s="1"/>
  <c r="AB342" i="3" l="1"/>
  <c r="AC342" i="3" l="1"/>
  <c r="AD342" i="3"/>
  <c r="AE342" i="3"/>
  <c r="AF342" i="3" l="1"/>
  <c r="AG342" i="3" s="1"/>
  <c r="AB341" i="3" l="1"/>
  <c r="AE341" i="3" l="1"/>
  <c r="AC341" i="3"/>
  <c r="AD341" i="3"/>
  <c r="AF341" i="3" s="1"/>
  <c r="AG341" i="3" s="1"/>
  <c r="AB340" i="3" l="1"/>
  <c r="AE340" i="3" l="1"/>
  <c r="AD340" i="3"/>
  <c r="AF340" i="3" s="1"/>
  <c r="AG340" i="3" s="1"/>
  <c r="AC340" i="3"/>
  <c r="AB339" i="3" l="1"/>
  <c r="AD339" i="3" l="1"/>
  <c r="AC339" i="3"/>
  <c r="AE339" i="3"/>
  <c r="AF339" i="3" l="1"/>
  <c r="AG339" i="3" s="1"/>
  <c r="AB338" i="3" l="1"/>
  <c r="AC338" i="3" l="1"/>
  <c r="AD338" i="3"/>
  <c r="AE338" i="3"/>
  <c r="AF338" i="3" l="1"/>
  <c r="AG338" i="3" s="1"/>
  <c r="AB337" i="3" l="1"/>
  <c r="AE337" i="3" l="1"/>
  <c r="AC337" i="3"/>
  <c r="AD337" i="3"/>
  <c r="AF337" i="3" s="1"/>
  <c r="AG337" i="3" s="1"/>
  <c r="AB336" i="3" l="1"/>
  <c r="AD336" i="3" l="1"/>
  <c r="AE336" i="3"/>
  <c r="AC336" i="3"/>
  <c r="AF336" i="3" l="1"/>
  <c r="AG336" i="3" s="1"/>
  <c r="AB335" i="3" l="1"/>
  <c r="AE335" i="3" l="1"/>
  <c r="AD335" i="3"/>
  <c r="AF335" i="3" s="1"/>
  <c r="AG335" i="3" s="1"/>
  <c r="AC335" i="3"/>
  <c r="AB334" i="3" l="1"/>
  <c r="AC334" i="3" l="1"/>
  <c r="AD334" i="3"/>
  <c r="AE334" i="3"/>
  <c r="AF334" i="3" l="1"/>
  <c r="AG334" i="3" s="1"/>
  <c r="AB333" i="3" l="1"/>
  <c r="AE333" i="3" l="1"/>
  <c r="AC333" i="3"/>
  <c r="AD333" i="3"/>
  <c r="AF333" i="3" s="1"/>
  <c r="AG333" i="3" s="1"/>
  <c r="AB332" i="3" l="1"/>
  <c r="AC332" i="3" l="1"/>
  <c r="AE332" i="3"/>
  <c r="AD332" i="3"/>
  <c r="AF332" i="3" s="1"/>
  <c r="AG332" i="3" s="1"/>
  <c r="AB331" i="3" l="1"/>
  <c r="AD331" i="3" l="1"/>
  <c r="AC331" i="3"/>
  <c r="AE331" i="3"/>
  <c r="AF331" i="3" l="1"/>
  <c r="AG331" i="3" s="1"/>
  <c r="AB330" i="3" l="1"/>
  <c r="AC330" i="3" l="1"/>
  <c r="AD330" i="3"/>
  <c r="AE330" i="3"/>
  <c r="AF330" i="3" l="1"/>
  <c r="AG330" i="3" s="1"/>
  <c r="AB329" i="3" l="1"/>
  <c r="AD329" i="3" l="1"/>
  <c r="AE329" i="3"/>
  <c r="AC329" i="3"/>
  <c r="AF329" i="3" l="1"/>
  <c r="AG329" i="3" s="1"/>
  <c r="AB328" i="3" l="1"/>
  <c r="AC328" i="3" l="1"/>
  <c r="AE328" i="3"/>
  <c r="AD328" i="3"/>
  <c r="AF328" i="3" s="1"/>
  <c r="AG328" i="3" s="1"/>
  <c r="AB327" i="3" l="1"/>
  <c r="AE327" i="3" l="1"/>
  <c r="AC327" i="3"/>
  <c r="AD327" i="3"/>
  <c r="AF327" i="3" s="1"/>
  <c r="AG327" i="3" s="1"/>
  <c r="AB326" i="3" l="1"/>
  <c r="AE326" i="3" l="1"/>
  <c r="AD326" i="3"/>
  <c r="AF326" i="3" s="1"/>
  <c r="AG326" i="3" s="1"/>
  <c r="AC326" i="3"/>
  <c r="AB325" i="3" l="1"/>
  <c r="AC325" i="3" l="1"/>
  <c r="AE325" i="3"/>
  <c r="AD325" i="3"/>
  <c r="AF325" i="3" s="1"/>
  <c r="AG325" i="3" s="1"/>
  <c r="AB324" i="3" l="1"/>
  <c r="AE324" i="3" l="1"/>
  <c r="AD324" i="3"/>
  <c r="AF324" i="3" s="1"/>
  <c r="AG324" i="3" s="1"/>
  <c r="AC324" i="3"/>
  <c r="AB323" i="3" l="1"/>
  <c r="AD323" i="3" l="1"/>
  <c r="AE323" i="3"/>
  <c r="AC323" i="3"/>
  <c r="AF323" i="3" l="1"/>
  <c r="AG323" i="3" s="1"/>
  <c r="AB322" i="3" l="1"/>
  <c r="AE322" i="3" l="1"/>
  <c r="AD322" i="3"/>
  <c r="AF322" i="3" s="1"/>
  <c r="AG322" i="3" s="1"/>
  <c r="AC322" i="3"/>
  <c r="AB321" i="3" l="1"/>
  <c r="AD321" i="3" l="1"/>
  <c r="AC321" i="3"/>
  <c r="AE321" i="3"/>
  <c r="AF321" i="3" l="1"/>
  <c r="AG321" i="3" s="1"/>
  <c r="AB320" i="3" l="1"/>
  <c r="AD320" i="3" l="1"/>
  <c r="AC320" i="3"/>
  <c r="AE320" i="3"/>
  <c r="AF320" i="3" l="1"/>
  <c r="AG320" i="3" s="1"/>
  <c r="AB319" i="3" l="1"/>
  <c r="AC319" i="3" l="1"/>
  <c r="AD319" i="3"/>
  <c r="AE319" i="3"/>
  <c r="AF319" i="3" l="1"/>
  <c r="AG319" i="3" s="1"/>
  <c r="AB318" i="3" l="1"/>
  <c r="AD318" i="3" l="1"/>
  <c r="AC318" i="3"/>
  <c r="AE318" i="3"/>
  <c r="AF318" i="3" l="1"/>
  <c r="AG318" i="3" s="1"/>
  <c r="AB317" i="3" l="1"/>
  <c r="AE317" i="3" l="1"/>
  <c r="AC317" i="3"/>
  <c r="AD317" i="3"/>
  <c r="AF317" i="3" s="1"/>
  <c r="AG317" i="3" s="1"/>
  <c r="AB316" i="3" l="1"/>
  <c r="AD316" i="3" l="1"/>
  <c r="AC316" i="3"/>
  <c r="AE316" i="3"/>
  <c r="AF316" i="3" l="1"/>
  <c r="AG316" i="3" s="1"/>
  <c r="AB315" i="3" l="1"/>
  <c r="AC315" i="3" l="1"/>
  <c r="AD315" i="3"/>
  <c r="AE315" i="3"/>
  <c r="AF315" i="3" l="1"/>
  <c r="AG315" i="3" s="1"/>
  <c r="AB314" i="3" l="1"/>
  <c r="AD314" i="3" l="1"/>
  <c r="AE314" i="3"/>
  <c r="AC314" i="3"/>
  <c r="AF314" i="3" l="1"/>
  <c r="AG314" i="3" s="1"/>
  <c r="AB313" i="3" l="1"/>
  <c r="AD313" i="3" l="1"/>
  <c r="AC313" i="3"/>
  <c r="AE313" i="3"/>
  <c r="AF313" i="3" l="1"/>
  <c r="AG313" i="3" s="1"/>
  <c r="AB312" i="3" l="1"/>
  <c r="AD312" i="3" l="1"/>
  <c r="AC312" i="3"/>
  <c r="AE312" i="3"/>
  <c r="AF312" i="3" l="1"/>
  <c r="AG312" i="3" s="1"/>
  <c r="AB311" i="3" l="1"/>
  <c r="AE311" i="3" l="1"/>
  <c r="AC311" i="3"/>
  <c r="AD311" i="3"/>
  <c r="AF311" i="3" s="1"/>
  <c r="AG311" i="3" s="1"/>
  <c r="AB310" i="3" l="1"/>
  <c r="AD310" i="3" l="1"/>
  <c r="AE310" i="3"/>
  <c r="AC310" i="3"/>
  <c r="AF310" i="3" l="1"/>
  <c r="AG310" i="3" s="1"/>
  <c r="AB309" i="3" l="1"/>
  <c r="AE309" i="3" l="1"/>
  <c r="AC309" i="3"/>
  <c r="AD309" i="3"/>
  <c r="AF309" i="3" s="1"/>
  <c r="AG309" i="3" s="1"/>
  <c r="AB308" i="3" l="1"/>
  <c r="AE308" i="3" l="1"/>
  <c r="AD308" i="3"/>
  <c r="AF308" i="3" s="1"/>
  <c r="AG308" i="3" s="1"/>
  <c r="AC308" i="3"/>
  <c r="AB307" i="3" l="1"/>
  <c r="AC307" i="3" l="1"/>
  <c r="AE307" i="3"/>
  <c r="AD307" i="3"/>
  <c r="AF307" i="3" s="1"/>
  <c r="AG307" i="3" s="1"/>
  <c r="AB306" i="3" l="1"/>
  <c r="AE306" i="3" l="1"/>
  <c r="AC306" i="3"/>
  <c r="AD306" i="3"/>
  <c r="AF306" i="3" s="1"/>
  <c r="AG306" i="3" s="1"/>
  <c r="AB305" i="3" l="1"/>
  <c r="AE305" i="3" l="1"/>
  <c r="AC305" i="3"/>
  <c r="AD305" i="3"/>
  <c r="AF305" i="3" s="1"/>
  <c r="AG305" i="3" s="1"/>
  <c r="AB304" i="3" l="1"/>
  <c r="AE304" i="3" l="1"/>
  <c r="AD304" i="3"/>
  <c r="AF304" i="3" s="1"/>
  <c r="AG304" i="3" s="1"/>
  <c r="AC304" i="3"/>
  <c r="AB303" i="3" l="1"/>
  <c r="AE303" i="3" l="1"/>
  <c r="AC303" i="3"/>
  <c r="AD303" i="3"/>
  <c r="AF303" i="3" s="1"/>
  <c r="AG303" i="3" s="1"/>
  <c r="AB302" i="3" l="1"/>
  <c r="AC302" i="3" l="1"/>
  <c r="AE302" i="3"/>
  <c r="AD302" i="3"/>
  <c r="AF302" i="3" s="1"/>
  <c r="AG302" i="3" s="1"/>
  <c r="AB301" i="3" l="1"/>
  <c r="AE301" i="3" l="1"/>
  <c r="AC301" i="3"/>
  <c r="AD301" i="3"/>
  <c r="AF301" i="3" s="1"/>
  <c r="AG301" i="3" s="1"/>
  <c r="AB300" i="3" l="1"/>
  <c r="AD300" i="3" l="1"/>
  <c r="AC300" i="3"/>
  <c r="AE300" i="3"/>
  <c r="AF300" i="3" l="1"/>
  <c r="AG300" i="3" s="1"/>
  <c r="AB299" i="3" l="1"/>
  <c r="AC299" i="3" l="1"/>
  <c r="AE299" i="3"/>
  <c r="AD299" i="3"/>
  <c r="AF299" i="3" s="1"/>
  <c r="AG299" i="3" s="1"/>
  <c r="AB298" i="3" l="1"/>
  <c r="AC298" i="3" l="1"/>
  <c r="AD298" i="3"/>
  <c r="AE298" i="3"/>
  <c r="AF298" i="3" l="1"/>
  <c r="AG298" i="3" s="1"/>
  <c r="AB297" i="3" l="1"/>
  <c r="AD297" i="3" l="1"/>
  <c r="AC297" i="3"/>
  <c r="AE297" i="3"/>
  <c r="AF297" i="3" l="1"/>
  <c r="AG297" i="3" l="1"/>
  <c r="AB296" i="3" l="1"/>
  <c r="AD296" i="3" l="1"/>
  <c r="AE296" i="3"/>
  <c r="AC296" i="3"/>
  <c r="AF296" i="3" l="1"/>
  <c r="AG296" i="3" s="1"/>
  <c r="AB295" i="3" l="1"/>
  <c r="AE295" i="3" l="1"/>
  <c r="AC295" i="3"/>
  <c r="AD295" i="3"/>
  <c r="AF295" i="3" s="1"/>
  <c r="AG295" i="3" s="1"/>
  <c r="AB294" i="3" l="1"/>
  <c r="AD294" i="3" l="1"/>
  <c r="AC294" i="3"/>
  <c r="AE294" i="3"/>
  <c r="AF294" i="3" l="1"/>
  <c r="AG294" i="3" s="1"/>
  <c r="AB293" i="3" l="1"/>
  <c r="AC293" i="3" l="1"/>
  <c r="AD293" i="3"/>
  <c r="AE293" i="3"/>
  <c r="AF293" i="3" l="1"/>
  <c r="AG293" i="3" s="1"/>
  <c r="AB292" i="3" l="1"/>
  <c r="AD292" i="3" l="1"/>
  <c r="AE292" i="3"/>
  <c r="AC292" i="3"/>
  <c r="AF292" i="3" l="1"/>
  <c r="AG292" i="3" s="1"/>
  <c r="AB291" i="3" l="1"/>
  <c r="AC291" i="3" l="1"/>
  <c r="AE291" i="3"/>
  <c r="AD291" i="3"/>
  <c r="AF291" i="3" s="1"/>
  <c r="AG291" i="3" s="1"/>
  <c r="AB290" i="3" l="1"/>
  <c r="AC290" i="3" l="1"/>
  <c r="AD290" i="3"/>
  <c r="AE290" i="3"/>
  <c r="AF290" i="3" l="1"/>
  <c r="AG290" i="3" s="1"/>
  <c r="AB289" i="3" l="1"/>
  <c r="AE289" i="3" l="1"/>
  <c r="AD289" i="3"/>
  <c r="AF289" i="3" s="1"/>
  <c r="AG289" i="3" s="1"/>
  <c r="AC289" i="3"/>
  <c r="AB288" i="3" l="1"/>
  <c r="AC288" i="3" l="1"/>
  <c r="AD288" i="3"/>
  <c r="AE288" i="3"/>
  <c r="AF288" i="3" l="1"/>
  <c r="AG288" i="3" s="1"/>
  <c r="AB287" i="3" l="1"/>
  <c r="AE287" i="3" l="1"/>
  <c r="AC287" i="3"/>
  <c r="AD287" i="3"/>
  <c r="AF287" i="3" s="1"/>
  <c r="AG287" i="3" s="1"/>
  <c r="AB286" i="3" l="1"/>
  <c r="AD286" i="3" l="1"/>
  <c r="AE286" i="3"/>
  <c r="AC286" i="3"/>
  <c r="AF286" i="3" l="1"/>
  <c r="AG286" i="3" s="1"/>
  <c r="AB285" i="3" l="1"/>
  <c r="AE285" i="3" l="1"/>
  <c r="AC285" i="3"/>
  <c r="AD285" i="3"/>
  <c r="AF285" i="3" s="1"/>
  <c r="AG285" i="3" s="1"/>
  <c r="AB284" i="3" l="1"/>
  <c r="AD284" i="3" l="1"/>
  <c r="AC284" i="3"/>
  <c r="AE284" i="3"/>
  <c r="AF284" i="3" l="1"/>
  <c r="AG284" i="3" s="1"/>
  <c r="AB283" i="3" l="1"/>
  <c r="AC283" i="3" l="1"/>
  <c r="AD283" i="3"/>
  <c r="AE283" i="3"/>
  <c r="AF283" i="3" l="1"/>
  <c r="AG283" i="3" s="1"/>
  <c r="AB282" i="3" l="1"/>
  <c r="AD282" i="3" l="1"/>
  <c r="AE282" i="3"/>
  <c r="AC282" i="3"/>
  <c r="AF282" i="3" l="1"/>
  <c r="AG282" i="3" s="1"/>
  <c r="AB281" i="3" l="1"/>
  <c r="AD281" i="3" l="1"/>
  <c r="AC281" i="3"/>
  <c r="AE281" i="3"/>
  <c r="AF281" i="3" l="1"/>
  <c r="AG281" i="3" s="1"/>
  <c r="AB280" i="3" l="1"/>
  <c r="AE280" i="3" l="1"/>
  <c r="AD280" i="3"/>
  <c r="AF280" i="3" s="1"/>
  <c r="AG280" i="3" s="1"/>
  <c r="AC280" i="3"/>
  <c r="AB279" i="3" l="1"/>
  <c r="AE279" i="3" l="1"/>
  <c r="AC279" i="3"/>
  <c r="AD279" i="3"/>
  <c r="AF279" i="3" s="1"/>
  <c r="AG279" i="3" s="1"/>
  <c r="AB278" i="3" l="1"/>
  <c r="AE278" i="3" l="1"/>
  <c r="AC278" i="3"/>
  <c r="AD278" i="3"/>
  <c r="AF278" i="3" s="1"/>
  <c r="AG278" i="3" s="1"/>
  <c r="AB277" i="3" l="1"/>
  <c r="AC277" i="3" l="1"/>
  <c r="AD277" i="3"/>
  <c r="AE277" i="3"/>
  <c r="AF277" i="3" l="1"/>
  <c r="AG277" i="3" s="1"/>
  <c r="AB276" i="3" l="1"/>
  <c r="AE276" i="3" l="1"/>
  <c r="AC276" i="3"/>
  <c r="AD276" i="3"/>
  <c r="AF276" i="3" s="1"/>
  <c r="AG276" i="3" s="1"/>
  <c r="AB275" i="3" l="1"/>
  <c r="AD275" i="3" l="1"/>
  <c r="AE275" i="3"/>
  <c r="AC275" i="3"/>
  <c r="AF275" i="3" l="1"/>
  <c r="AG275" i="3" s="1"/>
  <c r="AB274" i="3" l="1"/>
  <c r="AE274" i="3" l="1"/>
  <c r="AC274" i="3"/>
  <c r="AD274" i="3"/>
  <c r="AF274" i="3" s="1"/>
  <c r="AG274" i="3" s="1"/>
  <c r="AB273" i="3" l="1"/>
  <c r="AD273" i="3" l="1"/>
  <c r="AC273" i="3"/>
  <c r="AE273" i="3"/>
  <c r="AF273" i="3" l="1"/>
  <c r="AG273" i="3" s="1"/>
  <c r="AB272" i="3" l="1"/>
  <c r="AC272" i="3" l="1"/>
  <c r="AD272" i="3"/>
  <c r="AE272" i="3"/>
  <c r="AF272" i="3" l="1"/>
  <c r="AG272" i="3" s="1"/>
  <c r="AB271" i="3" l="1"/>
  <c r="AE271" i="3" l="1"/>
  <c r="AC271" i="3"/>
  <c r="AD271" i="3"/>
  <c r="AF271" i="3" s="1"/>
  <c r="AG271" i="3" s="1"/>
  <c r="AB270" i="3" l="1"/>
  <c r="AC270" i="3" l="1"/>
  <c r="AD270" i="3"/>
  <c r="AE270" i="3"/>
  <c r="AF270" i="3" l="1"/>
  <c r="AG270" i="3" s="1"/>
  <c r="AB269" i="3" l="1"/>
  <c r="AE269" i="3" l="1"/>
  <c r="AD269" i="3"/>
  <c r="AF269" i="3" s="1"/>
  <c r="AG269" i="3" s="1"/>
  <c r="AC269" i="3"/>
  <c r="AB268" i="3" l="1"/>
  <c r="AE268" i="3" l="1"/>
  <c r="AC268" i="3"/>
  <c r="AD268" i="3"/>
  <c r="AF268" i="3" s="1"/>
  <c r="AG268" i="3" s="1"/>
  <c r="AB267" i="3" l="1"/>
  <c r="AD267" i="3" l="1"/>
  <c r="AC267" i="3"/>
  <c r="AE267" i="3"/>
  <c r="AF267" i="3" l="1"/>
  <c r="AG267" i="3" s="1"/>
  <c r="AB266" i="3" l="1"/>
  <c r="AC266" i="3" l="1"/>
  <c r="AD266" i="3"/>
  <c r="AE266" i="3"/>
  <c r="AF266" i="3" l="1"/>
  <c r="AG266" i="3" s="1"/>
  <c r="AB265" i="3" l="1"/>
  <c r="AD265" i="3" l="1"/>
  <c r="AC265" i="3"/>
  <c r="AE265" i="3"/>
  <c r="AF265" i="3" l="1"/>
  <c r="AG265" i="3" s="1"/>
  <c r="AB264" i="3" l="1"/>
  <c r="AD264" i="3" l="1"/>
  <c r="AC264" i="3"/>
  <c r="AE264" i="3"/>
  <c r="AF264" i="3" l="1"/>
  <c r="AG264" i="3" s="1"/>
  <c r="AB263" i="3" l="1"/>
  <c r="AE263" i="3" l="1"/>
  <c r="AC263" i="3"/>
  <c r="AD263" i="3"/>
  <c r="AF263" i="3" s="1"/>
  <c r="AG263" i="3" s="1"/>
  <c r="AB262" i="3" l="1"/>
  <c r="AD262" i="3" l="1"/>
  <c r="AE262" i="3"/>
  <c r="AC262" i="3"/>
  <c r="AF262" i="3" l="1"/>
  <c r="AG262" i="3" s="1"/>
  <c r="AB261" i="3" l="1"/>
  <c r="AC261" i="3" l="1"/>
  <c r="AE261" i="3"/>
  <c r="AD261" i="3"/>
  <c r="AF261" i="3" s="1"/>
  <c r="AG261" i="3" s="1"/>
  <c r="AB260" i="3" l="1"/>
  <c r="AD260" i="3" l="1"/>
  <c r="AC260" i="3"/>
  <c r="AE260" i="3"/>
  <c r="AF260" i="3" l="1"/>
  <c r="AG260" i="3" s="1"/>
  <c r="AB259" i="3" l="1"/>
  <c r="AD259" i="3" l="1"/>
  <c r="AC259" i="3"/>
  <c r="AE259" i="3"/>
  <c r="AF259" i="3" l="1"/>
  <c r="AG259" i="3" s="1"/>
  <c r="AB258" i="3" l="1"/>
  <c r="AE258" i="3" l="1"/>
  <c r="AC258" i="3"/>
  <c r="AD258" i="3"/>
  <c r="AF258" i="3" s="1"/>
  <c r="AG258" i="3" s="1"/>
  <c r="AB257" i="3" l="1"/>
  <c r="AD257" i="3" l="1"/>
  <c r="AE257" i="3"/>
  <c r="AC257" i="3"/>
  <c r="AF257" i="3" l="1"/>
  <c r="AG257" i="3" s="1"/>
  <c r="AB256" i="3" l="1"/>
  <c r="AE256" i="3" l="1"/>
  <c r="AD256" i="3"/>
  <c r="AF256" i="3" s="1"/>
  <c r="AG256" i="3" s="1"/>
  <c r="AC256" i="3"/>
  <c r="AB255" i="3" l="1"/>
  <c r="AC255" i="3" l="1"/>
  <c r="AD255" i="3"/>
  <c r="AE255" i="3"/>
  <c r="AF255" i="3" l="1"/>
  <c r="AG255" i="3" s="1"/>
  <c r="AB254" i="3" l="1"/>
  <c r="AC254" i="3" l="1"/>
  <c r="AD254" i="3"/>
  <c r="AE254" i="3"/>
  <c r="AF254" i="3" l="1"/>
  <c r="AG254" i="3" s="1"/>
  <c r="AB253" i="3" l="1"/>
  <c r="AD253" i="3" l="1"/>
  <c r="AE253" i="3"/>
  <c r="AC253" i="3"/>
  <c r="AF253" i="3" l="1"/>
  <c r="AG253" i="3" s="1"/>
  <c r="AB252" i="3" l="1"/>
  <c r="AE252" i="3" l="1"/>
  <c r="AC252" i="3"/>
  <c r="AD252" i="3"/>
  <c r="AF252" i="3" s="1"/>
  <c r="AG252" i="3" s="1"/>
  <c r="AB251" i="3" l="1"/>
  <c r="AC251" i="3" l="1"/>
  <c r="AD251" i="3"/>
  <c r="AE251" i="3"/>
  <c r="AF251" i="3" l="1"/>
  <c r="AG251" i="3" s="1"/>
  <c r="AB250" i="3" l="1"/>
  <c r="AC250" i="3" l="1"/>
  <c r="AD250" i="3"/>
  <c r="AE250" i="3"/>
  <c r="AF250" i="3" l="1"/>
  <c r="AG250" i="3" s="1"/>
  <c r="AB249" i="3" l="1"/>
  <c r="AE249" i="3" l="1"/>
  <c r="AD249" i="3"/>
  <c r="AF249" i="3" s="1"/>
  <c r="AG249" i="3" s="1"/>
  <c r="AC249" i="3"/>
  <c r="AB248" i="3" l="1"/>
  <c r="AD248" i="3" l="1"/>
  <c r="AC248" i="3"/>
  <c r="AE248" i="3"/>
  <c r="AF248" i="3" l="1"/>
  <c r="AG248" i="3" s="1"/>
  <c r="AB247" i="3" l="1"/>
  <c r="AE247" i="3" l="1"/>
  <c r="AC247" i="3"/>
  <c r="AD247" i="3"/>
  <c r="AF247" i="3" s="1"/>
  <c r="AG247" i="3" s="1"/>
  <c r="AB246" i="3" l="1"/>
  <c r="AD246" i="3" l="1"/>
  <c r="AE246" i="3"/>
  <c r="AC246" i="3"/>
  <c r="AF246" i="3" l="1"/>
  <c r="AG246" i="3" s="1"/>
  <c r="AB245" i="3" l="1"/>
  <c r="AC245" i="3" l="1"/>
  <c r="AE245" i="3"/>
  <c r="AD245" i="3"/>
  <c r="AF245" i="3" s="1"/>
  <c r="AG245" i="3" s="1"/>
  <c r="AB244" i="3" l="1"/>
  <c r="AD244" i="3" l="1"/>
  <c r="AE244" i="3"/>
  <c r="AC244" i="3"/>
  <c r="AF244" i="3" l="1"/>
  <c r="AG244" i="3" s="1"/>
  <c r="AB243" i="3" l="1"/>
  <c r="AD243" i="3" l="1"/>
  <c r="AC243" i="3"/>
  <c r="AE243" i="3"/>
  <c r="AF243" i="3" l="1"/>
  <c r="AG243" i="3" s="1"/>
  <c r="AB242" i="3" l="1"/>
  <c r="AE242" i="3" l="1"/>
  <c r="AC242" i="3"/>
  <c r="AD242" i="3"/>
  <c r="AF242" i="3" s="1"/>
  <c r="AG242" i="3" s="1"/>
  <c r="AB241" i="3" l="1"/>
  <c r="AD241" i="3" l="1"/>
  <c r="AC241" i="3"/>
  <c r="AE241" i="3"/>
  <c r="AF241" i="3" l="1"/>
  <c r="AG241" i="3" s="1"/>
  <c r="AB240" i="3" l="1"/>
  <c r="AE240" i="3" l="1"/>
  <c r="AD240" i="3"/>
  <c r="AF240" i="3" s="1"/>
  <c r="AG240" i="3" s="1"/>
  <c r="AC240" i="3"/>
  <c r="AB239" i="3" l="1"/>
  <c r="AE239" i="3" l="1"/>
  <c r="AD239" i="3"/>
  <c r="AF239" i="3" s="1"/>
  <c r="AG239" i="3" s="1"/>
  <c r="AC239" i="3"/>
  <c r="AB238" i="3" l="1"/>
  <c r="AD238" i="3" l="1"/>
  <c r="AC238" i="3"/>
  <c r="AE238" i="3"/>
  <c r="AF238" i="3" l="1"/>
  <c r="AG238" i="3" s="1"/>
  <c r="AB237" i="3" l="1"/>
  <c r="AC237" i="3" l="1"/>
  <c r="AE237" i="3"/>
  <c r="AD237" i="3"/>
  <c r="AF237" i="3" s="1"/>
  <c r="AG237" i="3" s="1"/>
  <c r="AB236" i="3" l="1"/>
  <c r="AC236" i="3" l="1"/>
  <c r="AE236" i="3"/>
  <c r="AD236" i="3"/>
  <c r="AF236" i="3" s="1"/>
  <c r="AG236" i="3" s="1"/>
  <c r="AB235" i="3" l="1"/>
  <c r="AD235" i="3" l="1"/>
  <c r="AE235" i="3"/>
  <c r="AC235" i="3"/>
  <c r="AF235" i="3" l="1"/>
  <c r="AG235" i="3" s="1"/>
  <c r="AB234" i="3" l="1"/>
  <c r="AE234" i="3" l="1"/>
  <c r="AC234" i="3"/>
  <c r="AD234" i="3"/>
  <c r="AF234" i="3" s="1"/>
  <c r="AG234" i="3" s="1"/>
  <c r="AB233" i="3" l="1"/>
  <c r="AE233" i="3" l="1"/>
  <c r="AD233" i="3"/>
  <c r="AF233" i="3" s="1"/>
  <c r="AG233" i="3" s="1"/>
  <c r="AC233" i="3"/>
  <c r="AB232" i="3" l="1"/>
  <c r="AC232" i="3" l="1"/>
  <c r="AE232" i="3"/>
  <c r="AD232" i="3"/>
  <c r="AF232" i="3" s="1"/>
  <c r="AG232" i="3" s="1"/>
  <c r="AB231" i="3" l="1"/>
  <c r="AE231" i="3" l="1"/>
  <c r="AD231" i="3"/>
  <c r="AF231" i="3" s="1"/>
  <c r="AG231" i="3" s="1"/>
  <c r="AC231" i="3"/>
  <c r="AB230" i="3" l="1"/>
  <c r="AD230" i="3" l="1"/>
  <c r="AC230" i="3"/>
  <c r="AE230" i="3"/>
  <c r="AF230" i="3" l="1"/>
  <c r="AG230" i="3" s="1"/>
  <c r="AB229" i="3" l="1"/>
  <c r="AC229" i="3" l="1"/>
  <c r="AD229" i="3"/>
  <c r="AE229" i="3"/>
  <c r="AF229" i="3" l="1"/>
  <c r="AG229" i="3" s="1"/>
  <c r="AB228" i="3" l="1"/>
  <c r="AD228" i="3" l="1"/>
  <c r="AC228" i="3"/>
  <c r="AE228" i="3"/>
  <c r="AF228" i="3" l="1"/>
  <c r="AG228" i="3" s="1"/>
  <c r="AB227" i="3" l="1"/>
  <c r="AD227" i="3" l="1"/>
  <c r="AE227" i="3"/>
  <c r="AC227" i="3"/>
  <c r="AF227" i="3" l="1"/>
  <c r="AG227" i="3" s="1"/>
  <c r="AB226" i="3" l="1"/>
  <c r="AC226" i="3" l="1"/>
  <c r="AD226" i="3"/>
  <c r="AE226" i="3"/>
  <c r="AF226" i="3" l="1"/>
  <c r="AG226" i="3" s="1"/>
  <c r="AB225" i="3" l="1"/>
  <c r="AC225" i="3" l="1"/>
  <c r="AE225" i="3"/>
  <c r="AD225" i="3"/>
  <c r="AF225" i="3" s="1"/>
  <c r="AG225" i="3" s="1"/>
  <c r="AB224" i="3" l="1"/>
  <c r="AD224" i="3" l="1"/>
  <c r="AC224" i="3"/>
  <c r="AE224" i="3"/>
  <c r="AF224" i="3" l="1"/>
  <c r="AG224" i="3" s="1"/>
  <c r="AB223" i="3" l="1"/>
  <c r="AD223" i="3" l="1"/>
  <c r="AE223" i="3"/>
  <c r="AC223" i="3"/>
  <c r="AF223" i="3" l="1"/>
  <c r="AG223" i="3" s="1"/>
  <c r="AB222" i="3" l="1"/>
  <c r="AD222" i="3" l="1"/>
  <c r="AC222" i="3"/>
  <c r="AE222" i="3"/>
  <c r="AF222" i="3" l="1"/>
  <c r="AG222" i="3" s="1"/>
  <c r="AB221" i="3" l="1"/>
  <c r="AC221" i="3" l="1"/>
  <c r="AE221" i="3"/>
  <c r="AD221" i="3"/>
  <c r="AF221" i="3" s="1"/>
  <c r="AG221" i="3" s="1"/>
  <c r="AB220" i="3" l="1"/>
  <c r="AD220" i="3" l="1"/>
  <c r="AE220" i="3"/>
  <c r="AC220" i="3"/>
  <c r="AF220" i="3" l="1"/>
  <c r="AG220" i="3" s="1"/>
  <c r="AB219" i="3" l="1"/>
  <c r="AE219" i="3" l="1"/>
  <c r="AC219" i="3"/>
  <c r="AD219" i="3"/>
  <c r="AF219" i="3" s="1"/>
  <c r="AG219" i="3" s="1"/>
  <c r="AB218" i="3" l="1"/>
  <c r="AC218" i="3" l="1"/>
  <c r="AD218" i="3"/>
  <c r="AE218" i="3"/>
  <c r="AF218" i="3" l="1"/>
  <c r="AG218" i="3" s="1"/>
  <c r="AB217" i="3" l="1"/>
  <c r="AE217" i="3" l="1"/>
  <c r="AD217" i="3"/>
  <c r="AF217" i="3" s="1"/>
  <c r="AG217" i="3" s="1"/>
  <c r="AC217" i="3"/>
  <c r="AB216" i="3" l="1"/>
  <c r="AE216" i="3" l="1"/>
  <c r="AD216" i="3"/>
  <c r="AF216" i="3" s="1"/>
  <c r="AG216" i="3" s="1"/>
  <c r="AC216" i="3"/>
  <c r="AB215" i="3" l="1"/>
  <c r="AE215" i="3" l="1"/>
  <c r="AD215" i="3"/>
  <c r="AF215" i="3" s="1"/>
  <c r="AG215" i="3" s="1"/>
  <c r="AC215" i="3"/>
  <c r="AB214" i="3" l="1"/>
  <c r="AC214" i="3" l="1"/>
  <c r="AD214" i="3"/>
  <c r="AE214" i="3"/>
  <c r="AF214" i="3" l="1"/>
  <c r="AG214" i="3" s="1"/>
  <c r="AB213" i="3" l="1"/>
  <c r="AC213" i="3" l="1"/>
  <c r="AE213" i="3"/>
  <c r="AD213" i="3"/>
  <c r="AF213" i="3" s="1"/>
  <c r="AG213" i="3" s="1"/>
  <c r="AB212" i="3" l="1"/>
  <c r="AE212" i="3" l="1"/>
  <c r="AC212" i="3"/>
  <c r="AD212" i="3"/>
  <c r="AF212" i="3" s="1"/>
  <c r="AG212" i="3" s="1"/>
  <c r="AB211" i="3" l="1"/>
  <c r="AE211" i="3" l="1"/>
  <c r="AC211" i="3"/>
  <c r="AD211" i="3"/>
  <c r="AF211" i="3" s="1"/>
  <c r="AG211" i="3" s="1"/>
  <c r="AB210" i="3" l="1"/>
  <c r="AE210" i="3" l="1"/>
  <c r="AC210" i="3"/>
  <c r="AD210" i="3"/>
  <c r="AF210" i="3" s="1"/>
  <c r="AG210" i="3" s="1"/>
  <c r="AB209" i="3" l="1"/>
  <c r="AE209" i="3" l="1"/>
  <c r="AD209" i="3"/>
  <c r="AF209" i="3" s="1"/>
  <c r="AG209" i="3" s="1"/>
  <c r="AC209" i="3"/>
  <c r="AB208" i="3" l="1"/>
  <c r="AC208" i="3" l="1"/>
  <c r="AE208" i="3"/>
  <c r="AD208" i="3"/>
  <c r="AF208" i="3" l="1"/>
  <c r="AG208" i="3" s="1"/>
  <c r="AB207" i="3" l="1"/>
  <c r="AC207" i="3" l="1"/>
  <c r="AE207" i="3"/>
  <c r="AD207" i="3"/>
  <c r="AF207" i="3" s="1"/>
  <c r="AG207" i="3" s="1"/>
  <c r="AB206" i="3" l="1"/>
  <c r="AC206" i="3" l="1"/>
  <c r="AD206" i="3"/>
  <c r="AE206" i="3"/>
  <c r="AF206" i="3" l="1"/>
  <c r="AG206" i="3" s="1"/>
  <c r="AB205" i="3" l="1"/>
  <c r="AC205" i="3" l="1"/>
  <c r="AD205" i="3"/>
  <c r="AE205" i="3"/>
  <c r="AF205" i="3" l="1"/>
  <c r="AG205" i="3" s="1"/>
  <c r="AB204" i="3" l="1"/>
  <c r="AC204" i="3" l="1"/>
  <c r="AD204" i="3"/>
  <c r="AE204" i="3"/>
  <c r="AF204" i="3" l="1"/>
  <c r="AG204" i="3" s="1"/>
  <c r="AB203" i="3" l="1"/>
  <c r="AC203" i="3" l="1"/>
  <c r="AD203" i="3"/>
  <c r="AE203" i="3"/>
  <c r="AF203" i="3" l="1"/>
  <c r="AG203" i="3" s="1"/>
  <c r="AB202" i="3" l="1"/>
  <c r="AD202" i="3" l="1"/>
  <c r="AE202" i="3"/>
  <c r="AC202" i="3"/>
  <c r="AF202" i="3" l="1"/>
  <c r="AG202" i="3" s="1"/>
  <c r="AB201" i="3" l="1"/>
  <c r="AE201" i="3" l="1"/>
  <c r="AD201" i="3"/>
  <c r="AF201" i="3" s="1"/>
  <c r="AG201" i="3" s="1"/>
  <c r="AC201" i="3"/>
  <c r="AB200" i="3" l="1"/>
  <c r="AE200" i="3" l="1"/>
  <c r="AC200" i="3"/>
  <c r="AD200" i="3"/>
  <c r="AF200" i="3" s="1"/>
  <c r="AG200" i="3" s="1"/>
  <c r="AB199" i="3" l="1"/>
  <c r="AE199" i="3" l="1"/>
  <c r="AD199" i="3"/>
  <c r="AF199" i="3" s="1"/>
  <c r="AG199" i="3" s="1"/>
  <c r="AC199" i="3"/>
  <c r="AB198" i="3" l="1"/>
  <c r="AD198" i="3" l="1"/>
  <c r="AE198" i="3"/>
  <c r="AC198" i="3"/>
  <c r="AF198" i="3" l="1"/>
  <c r="AG198" i="3" s="1"/>
  <c r="AB197" i="3" l="1"/>
  <c r="AD197" i="3" l="1"/>
  <c r="AC197" i="3"/>
  <c r="AE197" i="3"/>
  <c r="AF197" i="3" l="1"/>
  <c r="AG197" i="3" s="1"/>
  <c r="AB196" i="3" l="1"/>
  <c r="AE196" i="3" l="1"/>
  <c r="AD196" i="3"/>
  <c r="AF196" i="3" s="1"/>
  <c r="AG196" i="3" s="1"/>
  <c r="AC196" i="3"/>
  <c r="AB195" i="3" l="1"/>
  <c r="AD195" i="3" l="1"/>
  <c r="AC195" i="3"/>
  <c r="AE195" i="3"/>
  <c r="AF195" i="3" l="1"/>
  <c r="AG195" i="3" s="1"/>
  <c r="AB194" i="3" l="1"/>
  <c r="AC194" i="3" l="1"/>
  <c r="AD194" i="3"/>
  <c r="AE194" i="3"/>
  <c r="AF194" i="3" l="1"/>
  <c r="AG194" i="3" s="1"/>
  <c r="AB193" i="3" l="1"/>
  <c r="AE193" i="3" l="1"/>
  <c r="AC193" i="3"/>
  <c r="AD193" i="3"/>
  <c r="AF193" i="3" s="1"/>
  <c r="AG193" i="3" s="1"/>
  <c r="AB192" i="3" l="1"/>
  <c r="AE192" i="3" l="1"/>
  <c r="AD192" i="3"/>
  <c r="AF192" i="3" s="1"/>
  <c r="AG192" i="3" s="1"/>
  <c r="AC192" i="3"/>
  <c r="AB191" i="3" l="1"/>
  <c r="AE191" i="3" l="1"/>
  <c r="AD191" i="3"/>
  <c r="AF191" i="3" s="1"/>
  <c r="AG191" i="3" s="1"/>
  <c r="AC191" i="3"/>
  <c r="AB190" i="3" l="1"/>
  <c r="AD190" i="3" l="1"/>
  <c r="AC190" i="3"/>
  <c r="AE190" i="3"/>
  <c r="AF190" i="3" l="1"/>
  <c r="AG190" i="3" s="1"/>
  <c r="AB189" i="3" l="1"/>
  <c r="AD189" i="3" l="1"/>
  <c r="AC189" i="3"/>
  <c r="AE189" i="3"/>
  <c r="AF189" i="3" l="1"/>
  <c r="AG189" i="3" s="1"/>
  <c r="AB188" i="3" l="1"/>
  <c r="AE188" i="3" l="1"/>
  <c r="AD188" i="3"/>
  <c r="AF188" i="3" s="1"/>
  <c r="AG188" i="3" s="1"/>
  <c r="AC188" i="3"/>
  <c r="AB187" i="3" l="1"/>
  <c r="AD187" i="3" l="1"/>
  <c r="AE187" i="3"/>
  <c r="AC187" i="3"/>
  <c r="AF187" i="3" l="1"/>
  <c r="AG187" i="3" s="1"/>
  <c r="AB186" i="3" l="1"/>
  <c r="AE186" i="3" l="1"/>
  <c r="AC186" i="3"/>
  <c r="AD186" i="3"/>
  <c r="AF186" i="3" s="1"/>
  <c r="AG186" i="3" s="1"/>
  <c r="AB185" i="3" l="1"/>
  <c r="AD185" i="3" l="1"/>
  <c r="AE185" i="3"/>
  <c r="AC185" i="3"/>
  <c r="AF185" i="3" l="1"/>
  <c r="AG185" i="3" s="1"/>
  <c r="AB184" i="3" l="1"/>
  <c r="AD184" i="3" l="1"/>
  <c r="AC184" i="3"/>
  <c r="AE184" i="3"/>
  <c r="AF184" i="3" l="1"/>
  <c r="AG184" i="3" s="1"/>
  <c r="AB183" i="3" l="1"/>
  <c r="AE183" i="3" l="1"/>
  <c r="AD183" i="3"/>
  <c r="AF183" i="3" s="1"/>
  <c r="AG183" i="3" s="1"/>
  <c r="AC183" i="3"/>
  <c r="AB182" i="3" l="1"/>
  <c r="AC182" i="3" l="1"/>
  <c r="AE182" i="3"/>
  <c r="AD182" i="3"/>
  <c r="AF182" i="3" s="1"/>
  <c r="AG182" i="3" s="1"/>
  <c r="AB181" i="3" l="1"/>
  <c r="AE181" i="3" l="1"/>
  <c r="AC181" i="3"/>
  <c r="AD181" i="3"/>
  <c r="AF181" i="3" s="1"/>
  <c r="AG181" i="3" s="1"/>
  <c r="AB180" i="3" l="1"/>
  <c r="AC180" i="3" l="1"/>
  <c r="AE180" i="3"/>
  <c r="AD180" i="3"/>
  <c r="AF180" i="3" s="1"/>
  <c r="AG180" i="3" s="1"/>
  <c r="AB179" i="3" l="1"/>
  <c r="AD179" i="3" l="1"/>
  <c r="AE179" i="3"/>
  <c r="AC179" i="3"/>
  <c r="AF179" i="3" l="1"/>
  <c r="AG179" i="3" s="1"/>
  <c r="AB178" i="3" l="1"/>
  <c r="AC178" i="3" l="1"/>
  <c r="AD178" i="3"/>
  <c r="AE178" i="3"/>
  <c r="AF178" i="3" l="1"/>
  <c r="AG178" i="3" s="1"/>
  <c r="AB177" i="3" l="1"/>
  <c r="AE177" i="3" l="1"/>
  <c r="AD177" i="3"/>
  <c r="AF177" i="3" s="1"/>
  <c r="AG177" i="3" s="1"/>
  <c r="AC177" i="3"/>
  <c r="AB176" i="3" l="1"/>
  <c r="AD176" i="3" l="1"/>
  <c r="AE176" i="3"/>
  <c r="AC176" i="3"/>
  <c r="AF176" i="3" l="1"/>
  <c r="AG176" i="3" s="1"/>
  <c r="AB175" i="3" l="1"/>
  <c r="AE175" i="3" l="1"/>
  <c r="AD175" i="3"/>
  <c r="AF175" i="3" s="1"/>
  <c r="AG175" i="3" s="1"/>
  <c r="AC175" i="3"/>
  <c r="AB174" i="3" l="1"/>
  <c r="AD174" i="3" l="1"/>
  <c r="AE174" i="3"/>
  <c r="AC174" i="3"/>
  <c r="AF174" i="3" l="1"/>
  <c r="AG174" i="3" s="1"/>
  <c r="AB173" i="3" l="1"/>
  <c r="AD173" i="3" l="1"/>
  <c r="AC173" i="3"/>
  <c r="AE173" i="3"/>
  <c r="AF173" i="3" l="1"/>
  <c r="AG173" i="3" s="1"/>
  <c r="AB172" i="3" l="1"/>
  <c r="AE172" i="3" l="1"/>
  <c r="AC172" i="3"/>
  <c r="AD172" i="3"/>
  <c r="AF172" i="3" s="1"/>
  <c r="AG172" i="3" s="1"/>
  <c r="AB171" i="3" l="1"/>
  <c r="AC171" i="3" l="1"/>
  <c r="AD171" i="3"/>
  <c r="AE171" i="3"/>
  <c r="AF171" i="3" l="1"/>
  <c r="AG171" i="3" s="1"/>
  <c r="AB170" i="3" l="1"/>
  <c r="AE170" i="3" l="1"/>
  <c r="AC170" i="3"/>
  <c r="AD170" i="3"/>
  <c r="AF170" i="3" s="1"/>
  <c r="AG170" i="3" s="1"/>
  <c r="AB169" i="3" l="1"/>
  <c r="AE169" i="3" l="1"/>
  <c r="AD169" i="3"/>
  <c r="AF169" i="3" s="1"/>
  <c r="AG169" i="3" s="1"/>
  <c r="AC169" i="3"/>
  <c r="AB168" i="3" l="1"/>
  <c r="AD168" i="3" l="1"/>
  <c r="AC168" i="3"/>
  <c r="AE168" i="3"/>
  <c r="AF168" i="3" l="1"/>
  <c r="AG168" i="3" s="1"/>
  <c r="AB167" i="3" l="1"/>
  <c r="AE167" i="3" l="1"/>
  <c r="AC167" i="3"/>
  <c r="AD167" i="3"/>
  <c r="AF167" i="3" s="1"/>
  <c r="AG167" i="3" s="1"/>
  <c r="AB166" i="3" l="1"/>
  <c r="AE166" i="3" l="1"/>
  <c r="AD166" i="3"/>
  <c r="AF166" i="3" s="1"/>
  <c r="AG166" i="3" s="1"/>
  <c r="AC166" i="3"/>
  <c r="AB165" i="3" l="1"/>
  <c r="AC165" i="3" l="1"/>
  <c r="AD165" i="3"/>
  <c r="AE165" i="3"/>
  <c r="AF165" i="3" l="1"/>
  <c r="AG165" i="3" s="1"/>
  <c r="AB164" i="3" l="1"/>
  <c r="AD164" i="3" l="1"/>
  <c r="AC164" i="3"/>
  <c r="AE164" i="3"/>
  <c r="AF164" i="3" l="1"/>
  <c r="AG164" i="3" s="1"/>
  <c r="AB163" i="3" l="1"/>
  <c r="AD163" i="3" l="1"/>
  <c r="AC163" i="3"/>
  <c r="AE163" i="3"/>
  <c r="AF163" i="3" l="1"/>
  <c r="AG163" i="3" s="1"/>
  <c r="AB162" i="3" l="1"/>
  <c r="AE162" i="3" l="1"/>
  <c r="AC162" i="3"/>
  <c r="AD162" i="3"/>
  <c r="AF162" i="3" s="1"/>
  <c r="AG162" i="3" s="1"/>
  <c r="AB161" i="3" l="1"/>
  <c r="AE161" i="3" l="1"/>
  <c r="AD161" i="3"/>
  <c r="AF161" i="3" s="1"/>
  <c r="AG161" i="3" s="1"/>
  <c r="AC161" i="3"/>
  <c r="AB160" i="3" l="1"/>
  <c r="AD160" i="3" l="1"/>
  <c r="AE160" i="3"/>
  <c r="AC160" i="3"/>
  <c r="AF160" i="3" l="1"/>
  <c r="AG160" i="3" s="1"/>
  <c r="AB159" i="3" l="1"/>
  <c r="AE159" i="3" l="1"/>
  <c r="AD159" i="3"/>
  <c r="AF159" i="3" s="1"/>
  <c r="AG159" i="3" s="1"/>
  <c r="AC159" i="3"/>
  <c r="AB158" i="3" l="1"/>
  <c r="AD158" i="3" l="1"/>
  <c r="AC158" i="3"/>
  <c r="AE158" i="3"/>
  <c r="AF158" i="3" l="1"/>
  <c r="AG158" i="3" s="1"/>
  <c r="AB157" i="3" l="1"/>
  <c r="AD157" i="3" l="1"/>
  <c r="AE157" i="3"/>
  <c r="AC157" i="3"/>
  <c r="AF157" i="3" l="1"/>
  <c r="AG157" i="3" s="1"/>
  <c r="AB156" i="3" l="1"/>
  <c r="AD156" i="3" l="1"/>
  <c r="AC156" i="3"/>
  <c r="AE156" i="3"/>
  <c r="AF156" i="3" l="1"/>
  <c r="AG156" i="3" s="1"/>
  <c r="AB155" i="3" l="1"/>
  <c r="AD155" i="3" l="1"/>
  <c r="AC155" i="3"/>
  <c r="AE155" i="3"/>
  <c r="AF155" i="3" l="1"/>
  <c r="AG155" i="3" s="1"/>
  <c r="AB154" i="3" l="1"/>
  <c r="AE154" i="3" l="1"/>
  <c r="AC154" i="3"/>
  <c r="AD154" i="3"/>
  <c r="AF154" i="3" s="1"/>
  <c r="AG154" i="3" s="1"/>
  <c r="AB153" i="3" l="1"/>
  <c r="AE153" i="3" l="1"/>
  <c r="AC153" i="3"/>
  <c r="AD153" i="3"/>
  <c r="AF153" i="3" s="1"/>
  <c r="AG153" i="3" s="1"/>
  <c r="AB152" i="3" l="1"/>
  <c r="AD152" i="3" l="1"/>
  <c r="AC152" i="3"/>
  <c r="AE152" i="3"/>
  <c r="AF152" i="3" l="1"/>
  <c r="AG152" i="3" s="1"/>
  <c r="AB151" i="3" l="1"/>
  <c r="AE151" i="3" l="1"/>
  <c r="AC151" i="3"/>
  <c r="AD151" i="3"/>
  <c r="AF151" i="3" s="1"/>
  <c r="AG151" i="3" s="1"/>
  <c r="AB150" i="3" l="1"/>
  <c r="AD150" i="3" l="1"/>
  <c r="AC150" i="3"/>
  <c r="AE150" i="3"/>
  <c r="AF150" i="3" l="1"/>
  <c r="AG150" i="3" s="1"/>
  <c r="AB149" i="3" l="1"/>
  <c r="AC149" i="3" l="1"/>
  <c r="AE149" i="3"/>
  <c r="AD149" i="3"/>
  <c r="AF149" i="3" s="1"/>
  <c r="AG149" i="3" s="1"/>
  <c r="AB148" i="3" l="1"/>
  <c r="AE148" i="3" l="1"/>
  <c r="AC148" i="3"/>
  <c r="AD148" i="3"/>
  <c r="AF148" i="3" s="1"/>
  <c r="AG148" i="3" s="1"/>
  <c r="AB147" i="3" l="1"/>
  <c r="AD147" i="3" l="1"/>
  <c r="AC147" i="3"/>
  <c r="AE147" i="3"/>
  <c r="AF147" i="3" l="1"/>
  <c r="AG147" i="3" s="1"/>
  <c r="AB146" i="3" l="1"/>
  <c r="AE146" i="3" l="1"/>
  <c r="AC146" i="3"/>
  <c r="AD146" i="3"/>
  <c r="AF146" i="3" s="1"/>
  <c r="AG146" i="3" s="1"/>
  <c r="AB145" i="3" l="1"/>
  <c r="AE145" i="3" l="1"/>
  <c r="AD145" i="3"/>
  <c r="AF145" i="3" s="1"/>
  <c r="AG145" i="3" s="1"/>
  <c r="AC145" i="3"/>
  <c r="AB144" i="3" l="1"/>
  <c r="AC144" i="3" l="1"/>
  <c r="AE144" i="3"/>
  <c r="AD144" i="3"/>
  <c r="AF144" i="3" s="1"/>
  <c r="AG144" i="3" s="1"/>
  <c r="AB143" i="3" l="1"/>
  <c r="AC143" i="3" l="1"/>
  <c r="AD143" i="3"/>
  <c r="AE143" i="3"/>
  <c r="AF143" i="3" l="1"/>
  <c r="AG143" i="3" s="1"/>
  <c r="AB142" i="3" l="1"/>
  <c r="AD142" i="3" l="1"/>
  <c r="AE142" i="3"/>
  <c r="AC142" i="3"/>
  <c r="AF142" i="3" l="1"/>
  <c r="AG142" i="3" s="1"/>
  <c r="AB141" i="3" l="1"/>
  <c r="AC141" i="3" l="1"/>
  <c r="AD141" i="3"/>
  <c r="AE141" i="3"/>
  <c r="AF141" i="3" l="1"/>
  <c r="AG141" i="3" s="1"/>
  <c r="AB140" i="3" l="1"/>
  <c r="AE140" i="3" l="1"/>
  <c r="AD140" i="3"/>
  <c r="AF140" i="3" s="1"/>
  <c r="AG140" i="3" s="1"/>
  <c r="AC140" i="3"/>
  <c r="AB139" i="3" l="1"/>
  <c r="AD139" i="3" l="1"/>
  <c r="AC139" i="3"/>
  <c r="AE139" i="3"/>
  <c r="AF139" i="3" l="1"/>
  <c r="AG139" i="3" s="1"/>
  <c r="AB138" i="3" l="1"/>
  <c r="AE138" i="3" l="1"/>
  <c r="AC138" i="3"/>
  <c r="AD138" i="3"/>
  <c r="AF138" i="3" s="1"/>
  <c r="AG138" i="3" s="1"/>
  <c r="AB137" i="3" l="1"/>
  <c r="AD137" i="3" l="1"/>
  <c r="AE137" i="3"/>
  <c r="AC137" i="3"/>
  <c r="AF137" i="3" l="1"/>
  <c r="AG137" i="3" s="1"/>
  <c r="AB136" i="3" l="1"/>
  <c r="AD136" i="3" l="1"/>
  <c r="AC136" i="3"/>
  <c r="AE136" i="3"/>
  <c r="AF136" i="3" l="1"/>
  <c r="AG136" i="3" s="1"/>
  <c r="AB135" i="3" l="1"/>
  <c r="AE135" i="3" l="1"/>
  <c r="AD135" i="3"/>
  <c r="AF135" i="3" s="1"/>
  <c r="AG135" i="3" s="1"/>
  <c r="AC135" i="3"/>
  <c r="AB134" i="3" l="1"/>
  <c r="AD134" i="3" l="1"/>
  <c r="AE134" i="3"/>
  <c r="AC134" i="3"/>
  <c r="AF134" i="3" l="1"/>
  <c r="AG134" i="3" s="1"/>
  <c r="AB133" i="3" l="1"/>
  <c r="AC133" i="3" l="1"/>
  <c r="AD133" i="3"/>
  <c r="AE133" i="3"/>
  <c r="AF133" i="3" l="1"/>
  <c r="AG133" i="3" s="1"/>
  <c r="AB132" i="3" l="1"/>
  <c r="AE132" i="3" l="1"/>
  <c r="AD132" i="3"/>
  <c r="AF132" i="3" s="1"/>
  <c r="AG132" i="3" s="1"/>
  <c r="AC132" i="3"/>
  <c r="AB131" i="3" l="1"/>
  <c r="AC131" i="3" l="1"/>
  <c r="AD131" i="3"/>
  <c r="AE131" i="3"/>
  <c r="AF131" i="3" l="1"/>
  <c r="AG131" i="3" s="1"/>
  <c r="AB130" i="3" l="1"/>
  <c r="AE130" i="3" l="1"/>
  <c r="AC130" i="3"/>
  <c r="AD130" i="3"/>
  <c r="AF130" i="3" s="1"/>
  <c r="AG130" i="3" s="1"/>
  <c r="AB129" i="3" l="1"/>
  <c r="AE129" i="3" l="1"/>
  <c r="AD129" i="3"/>
  <c r="AF129" i="3" s="1"/>
  <c r="AG129" i="3" s="1"/>
  <c r="AC129" i="3"/>
  <c r="AB128" i="3" l="1"/>
  <c r="AD128" i="3" l="1"/>
  <c r="AE128" i="3"/>
  <c r="AC128" i="3"/>
  <c r="AF128" i="3" l="1"/>
  <c r="AG128" i="3" s="1"/>
  <c r="AB127" i="3" l="1"/>
  <c r="AC127" i="3" l="1"/>
  <c r="AE127" i="3"/>
  <c r="AD127" i="3"/>
  <c r="AF127" i="3" s="1"/>
  <c r="AG127" i="3" s="1"/>
  <c r="AB126" i="3" l="1"/>
  <c r="AD126" i="3" l="1"/>
  <c r="AE126" i="3"/>
  <c r="AC126" i="3"/>
  <c r="AF126" i="3" l="1"/>
  <c r="AG126" i="3" s="1"/>
  <c r="AB125" i="3" l="1"/>
  <c r="AE125" i="3" l="1"/>
  <c r="AC125" i="3"/>
  <c r="AD125" i="3"/>
  <c r="AF125" i="3" s="1"/>
  <c r="AG125" i="3" s="1"/>
  <c r="AB124" i="3" l="1"/>
  <c r="AD124" i="3" l="1"/>
  <c r="AC124" i="3"/>
  <c r="AE124" i="3"/>
  <c r="AF124" i="3" l="1"/>
  <c r="AG124" i="3" s="1"/>
  <c r="AB123" i="3" l="1"/>
  <c r="AC123" i="3" l="1"/>
  <c r="AD123" i="3"/>
  <c r="AE123" i="3"/>
  <c r="AF123" i="3" l="1"/>
  <c r="AG123" i="3" s="1"/>
  <c r="AB122" i="3" l="1"/>
  <c r="AD122" i="3" l="1"/>
  <c r="AE122" i="3"/>
  <c r="AC122" i="3"/>
  <c r="AF122" i="3" l="1"/>
  <c r="AG122" i="3" s="1"/>
  <c r="AB121" i="3" l="1"/>
  <c r="AC121" i="3" l="1"/>
  <c r="AE121" i="3"/>
  <c r="AD121" i="3"/>
  <c r="AF121" i="3" l="1"/>
  <c r="AG121" i="3" s="1"/>
  <c r="AB120" i="3" s="1"/>
  <c r="AD120" i="3" l="1"/>
  <c r="AE120" i="3"/>
  <c r="AC120" i="3"/>
  <c r="AF120" i="3" l="1"/>
  <c r="AG120" i="3" s="1"/>
  <c r="AB119" i="3" l="1"/>
  <c r="AE119" i="3" l="1"/>
  <c r="AD119" i="3"/>
  <c r="AC119" i="3"/>
  <c r="AF119" i="3" l="1"/>
  <c r="AG119" i="3" s="1"/>
  <c r="AB118" i="3"/>
  <c r="AD118" i="3" l="1"/>
  <c r="AE118" i="3"/>
  <c r="AC118" i="3"/>
  <c r="AF118" i="3" l="1"/>
  <c r="AG118" i="3" s="1"/>
  <c r="AB117" i="3" l="1"/>
  <c r="AD117" i="3" l="1"/>
  <c r="AC117" i="3"/>
  <c r="AE117" i="3"/>
  <c r="AF117" i="3" l="1"/>
  <c r="AG117" i="3" s="1"/>
  <c r="AB116" i="3" l="1"/>
  <c r="AC116" i="3" l="1"/>
  <c r="AE116" i="3"/>
  <c r="AD116" i="3"/>
  <c r="AF116" i="3" l="1"/>
  <c r="AG116" i="3" s="1"/>
  <c r="AB115" i="3"/>
  <c r="AC115" i="3" l="1"/>
  <c r="AE115" i="3"/>
  <c r="AD115" i="3"/>
  <c r="AF115" i="3" s="1"/>
  <c r="AG115" i="3" s="1"/>
  <c r="AB114" i="3" l="1"/>
  <c r="AC114" i="3" l="1"/>
  <c r="AE114" i="3"/>
  <c r="AD114" i="3"/>
  <c r="AF114" i="3" s="1"/>
  <c r="AG114" i="3" s="1"/>
  <c r="AB113" i="3" l="1"/>
  <c r="AE113" i="3" l="1"/>
  <c r="AD113" i="3"/>
  <c r="AF113" i="3" s="1"/>
  <c r="AG113" i="3" s="1"/>
  <c r="AC113" i="3"/>
  <c r="AB112" i="3" l="1"/>
  <c r="AD112" i="3" l="1"/>
  <c r="AC112" i="3"/>
  <c r="AE112" i="3"/>
  <c r="AF112" i="3" l="1"/>
  <c r="AG112" i="3" s="1"/>
  <c r="AB111" i="3" l="1"/>
  <c r="AE111" i="3" l="1"/>
  <c r="AD111" i="3"/>
  <c r="AC111" i="3"/>
  <c r="AF111" i="3" l="1"/>
  <c r="AG111" i="3" s="1"/>
  <c r="AB110" i="3" l="1"/>
  <c r="AD110" i="3" l="1"/>
  <c r="AE110" i="3"/>
  <c r="AC110" i="3"/>
  <c r="AF110" i="3" l="1"/>
  <c r="AG110" i="3" s="1"/>
  <c r="AB109" i="3" s="1"/>
  <c r="AD109" i="3" l="1"/>
  <c r="AC109" i="3"/>
  <c r="AE109" i="3"/>
  <c r="AF109" i="3" l="1"/>
  <c r="AG109" i="3" s="1"/>
  <c r="AB108" i="3" l="1"/>
  <c r="AE108" i="3" l="1"/>
  <c r="AC108" i="3"/>
  <c r="AD108" i="3"/>
  <c r="AF108" i="3" s="1"/>
  <c r="AG108" i="3" s="1"/>
  <c r="AB107" i="3" l="1"/>
  <c r="AC107" i="3" l="1"/>
  <c r="AE107" i="3"/>
  <c r="AD107" i="3"/>
  <c r="AF107" i="3" s="1"/>
  <c r="AG107" i="3" s="1"/>
  <c r="AB106" i="3" l="1"/>
  <c r="AE106" i="3" l="1"/>
  <c r="AC106" i="3"/>
  <c r="AD106" i="3"/>
  <c r="AF106" i="3" s="1"/>
  <c r="AG106" i="3" s="1"/>
  <c r="AB105" i="3" s="1"/>
  <c r="AE105" i="3" l="1"/>
  <c r="AC105" i="3"/>
  <c r="AD105" i="3"/>
  <c r="AF105" i="3" s="1"/>
  <c r="AG105" i="3" s="1"/>
  <c r="AB104" i="3" s="1"/>
  <c r="AE104" i="3" l="1"/>
  <c r="AD104" i="3"/>
  <c r="AC104" i="3"/>
  <c r="AF104" i="3" l="1"/>
  <c r="AG104" i="3" s="1"/>
  <c r="AB103" i="3" s="1"/>
  <c r="AD103" i="3" s="1"/>
  <c r="AE103" i="3" l="1"/>
  <c r="AC103" i="3"/>
  <c r="AF103" i="3"/>
  <c r="AG103" i="3" s="1"/>
  <c r="AB102" i="3" s="1"/>
  <c r="AC102" i="3" l="1"/>
  <c r="AE102" i="3"/>
  <c r="AD102" i="3"/>
  <c r="AF102" i="3" s="1"/>
  <c r="AG102" i="3" s="1"/>
  <c r="AB101" i="3" s="1"/>
  <c r="AC101" i="3" l="1"/>
  <c r="AE101" i="3"/>
  <c r="AD101" i="3"/>
  <c r="AF101" i="3" s="1"/>
  <c r="AG101" i="3" s="1"/>
  <c r="AB100" i="3" s="1"/>
  <c r="AC100" i="3" l="1"/>
  <c r="AE100" i="3"/>
  <c r="AD100" i="3"/>
  <c r="AF100" i="3" s="1"/>
  <c r="AG100" i="3" s="1"/>
  <c r="AB99" i="3" s="1"/>
  <c r="AD99" i="3" l="1"/>
  <c r="AE99" i="3"/>
  <c r="AC99" i="3"/>
  <c r="AF99" i="3" l="1"/>
  <c r="AG99" i="3" s="1"/>
  <c r="AB98" i="3" s="1"/>
  <c r="AC98" i="3" l="1"/>
  <c r="AE98" i="3"/>
  <c r="AD98" i="3"/>
  <c r="AF98" i="3" s="1"/>
  <c r="AG98" i="3" s="1"/>
  <c r="AB97" i="3" s="1"/>
  <c r="AE97" i="3" l="1"/>
  <c r="AD97" i="3"/>
  <c r="AF97" i="3" s="1"/>
  <c r="AG97" i="3" s="1"/>
  <c r="AB96" i="3" s="1"/>
  <c r="AC97" i="3"/>
  <c r="AC96" i="3" l="1"/>
  <c r="AD96" i="3"/>
  <c r="AE96" i="3"/>
  <c r="AF96" i="3" l="1"/>
  <c r="AG96" i="3" s="1"/>
  <c r="AB95" i="3" s="1"/>
  <c r="AC95" i="3" l="1"/>
  <c r="AE95" i="3"/>
  <c r="AD95" i="3"/>
  <c r="AF95" i="3" l="1"/>
  <c r="AG95" i="3" s="1"/>
  <c r="AB94" i="3" s="1"/>
  <c r="AC94" i="3" s="1"/>
  <c r="AD94" i="3"/>
  <c r="AE94" i="3" l="1"/>
  <c r="AF94" i="3"/>
  <c r="AG94" i="3" s="1"/>
  <c r="AB93" i="3" s="1"/>
  <c r="AD93" i="3" s="1"/>
  <c r="AC93" i="3" l="1"/>
  <c r="AE93" i="3"/>
  <c r="AF93" i="3"/>
  <c r="AG93" i="3" s="1"/>
  <c r="AB92" i="3" s="1"/>
  <c r="AE92" i="3" l="1"/>
  <c r="AD92" i="3"/>
  <c r="AF92" i="3" s="1"/>
  <c r="AG92" i="3" s="1"/>
  <c r="AB91" i="3" s="1"/>
  <c r="AC92" i="3"/>
  <c r="AC91" i="3" l="1"/>
  <c r="AD91" i="3"/>
  <c r="AE91" i="3"/>
  <c r="AF91" i="3" l="1"/>
  <c r="AG91" i="3" s="1"/>
  <c r="AB90" i="3" s="1"/>
  <c r="AC90" i="3" l="1"/>
  <c r="AE90" i="3"/>
  <c r="AD90" i="3"/>
  <c r="AF90" i="3" s="1"/>
  <c r="AG90" i="3" s="1"/>
  <c r="AB89" i="3" s="1"/>
  <c r="AE89" i="3" l="1"/>
  <c r="AD89" i="3"/>
  <c r="AC89" i="3"/>
  <c r="AF89" i="3" l="1"/>
  <c r="AG89" i="3" s="1"/>
  <c r="AB88" i="3" s="1"/>
  <c r="AD88" i="3"/>
  <c r="AC88" i="3"/>
  <c r="AE88" i="3"/>
  <c r="AF88" i="3" l="1"/>
  <c r="AG88" i="3" s="1"/>
  <c r="AB87" i="3" s="1"/>
  <c r="AC87" i="3" l="1"/>
  <c r="AE87" i="3"/>
  <c r="AD87" i="3"/>
  <c r="AF87" i="3" s="1"/>
  <c r="AG87" i="3" s="1"/>
  <c r="AB86" i="3" s="1"/>
  <c r="AE86" i="3" l="1"/>
  <c r="AD86" i="3"/>
  <c r="AF86" i="3" s="1"/>
  <c r="AG86" i="3" s="1"/>
  <c r="AB85" i="3" s="1"/>
  <c r="AC86" i="3"/>
  <c r="AD85" i="3" l="1"/>
  <c r="AC85" i="3"/>
  <c r="AE85" i="3"/>
  <c r="AF85" i="3" l="1"/>
  <c r="AG85" i="3" s="1"/>
  <c r="AB84" i="3" s="1"/>
  <c r="AE84" i="3" l="1"/>
  <c r="AC84" i="3"/>
  <c r="AD84" i="3"/>
  <c r="AF84" i="3" s="1"/>
  <c r="AG84" i="3" s="1"/>
  <c r="AB83" i="3" s="1"/>
  <c r="AD83" i="3" l="1"/>
  <c r="AC83" i="3"/>
  <c r="AE83" i="3"/>
  <c r="AF83" i="3" l="1"/>
  <c r="AG83" i="3" s="1"/>
  <c r="AB82" i="3" s="1"/>
  <c r="AE82" i="3" l="1"/>
  <c r="AD82" i="3"/>
  <c r="AF82" i="3" s="1"/>
  <c r="AG82" i="3" s="1"/>
  <c r="AB81" i="3" s="1"/>
  <c r="AC82" i="3"/>
  <c r="AD81" i="3" l="1"/>
  <c r="AE81" i="3"/>
  <c r="AC81" i="3"/>
  <c r="AF81" i="3" l="1"/>
  <c r="AG81" i="3" s="1"/>
  <c r="AB80" i="3" s="1"/>
  <c r="AD80" i="3" l="1"/>
  <c r="AE80" i="3"/>
  <c r="AC80" i="3"/>
  <c r="AF80" i="3" l="1"/>
  <c r="AG80" i="3" s="1"/>
  <c r="AB79" i="3" s="1"/>
  <c r="AE79" i="3" l="1"/>
  <c r="AC79" i="3"/>
  <c r="AD79" i="3"/>
  <c r="AF79" i="3" s="1"/>
  <c r="AG79" i="3" s="1"/>
  <c r="AB78" i="3" s="1"/>
  <c r="AC78" i="3" l="1"/>
  <c r="AE78" i="3"/>
  <c r="AD78" i="3"/>
  <c r="AF78" i="3" s="1"/>
  <c r="AG78" i="3" s="1"/>
  <c r="AB77" i="3" s="1"/>
  <c r="AD77" i="3" l="1"/>
  <c r="AC77" i="3"/>
  <c r="AE77" i="3"/>
  <c r="AF77" i="3" l="1"/>
  <c r="AG77" i="3" s="1"/>
  <c r="AB76" i="3" s="1"/>
  <c r="AC76" i="3" l="1"/>
  <c r="AE76" i="3"/>
  <c r="AD76" i="3"/>
  <c r="AF76" i="3" s="1"/>
  <c r="AG76" i="3" s="1"/>
  <c r="AB75" i="3" s="1"/>
  <c r="AC75" i="3" l="1"/>
  <c r="AE75" i="3"/>
  <c r="AD75" i="3"/>
  <c r="AF75" i="3" s="1"/>
  <c r="AG75" i="3" s="1"/>
  <c r="AB74" i="3" s="1"/>
  <c r="AE74" i="3" l="1"/>
  <c r="AD74" i="3"/>
  <c r="AF74" i="3" s="1"/>
  <c r="AG74" i="3" s="1"/>
  <c r="AB73" i="3" s="1"/>
  <c r="AC74" i="3"/>
  <c r="AC73" i="3" l="1"/>
  <c r="AE73" i="3"/>
  <c r="AD73" i="3"/>
  <c r="AF73" i="3" s="1"/>
  <c r="AG73" i="3" s="1"/>
  <c r="AB72" i="3" s="1"/>
  <c r="AD72" i="3" l="1"/>
  <c r="AC72" i="3"/>
  <c r="AE72" i="3"/>
  <c r="AF72" i="3" l="1"/>
  <c r="AG72" i="3" s="1"/>
  <c r="AB71" i="3" l="1"/>
  <c r="AD71" i="3" l="1"/>
  <c r="AC71" i="3"/>
  <c r="AE71" i="3"/>
  <c r="AF71" i="3" l="1"/>
  <c r="AG71" i="3" s="1"/>
  <c r="AB70" i="3" s="1"/>
  <c r="AC70" i="3" l="1"/>
  <c r="AE70" i="3"/>
  <c r="AD70" i="3"/>
  <c r="AF70" i="3" s="1"/>
  <c r="AG70" i="3" s="1"/>
  <c r="AB69" i="3" s="1"/>
  <c r="AE69" i="3" l="1"/>
  <c r="AD69" i="3"/>
  <c r="AF69" i="3" s="1"/>
  <c r="AG69" i="3" s="1"/>
  <c r="AB68" i="3" s="1"/>
  <c r="AC69" i="3"/>
  <c r="AC68" i="3" l="1"/>
  <c r="AE68" i="3"/>
  <c r="AD68" i="3"/>
  <c r="AF68" i="3" s="1"/>
  <c r="AG68" i="3" s="1"/>
  <c r="AB67" i="3" s="1"/>
  <c r="AE67" i="3" l="1"/>
  <c r="AC67" i="3"/>
  <c r="AD67" i="3"/>
  <c r="AF67" i="3" s="1"/>
  <c r="AG67" i="3" s="1"/>
  <c r="AB66" i="3" s="1"/>
  <c r="AC66" i="3" l="1"/>
  <c r="AE66" i="3"/>
  <c r="AD66" i="3"/>
  <c r="AF66" i="3" s="1"/>
  <c r="AG66" i="3" s="1"/>
  <c r="AB65" i="3" s="1"/>
  <c r="AC65" i="3" l="1"/>
  <c r="AD65" i="3"/>
  <c r="AE65" i="3"/>
  <c r="AF65" i="3" l="1"/>
  <c r="AG65" i="3" s="1"/>
  <c r="AB64" i="3" s="1"/>
  <c r="AE64" i="3" l="1"/>
  <c r="AC64" i="3"/>
  <c r="AD64" i="3"/>
  <c r="AF64" i="3" s="1"/>
  <c r="AG64" i="3" s="1"/>
  <c r="AB63" i="3" s="1"/>
  <c r="AE63" i="3" l="1"/>
  <c r="AC63" i="3"/>
  <c r="AD63" i="3"/>
  <c r="AF63" i="3" s="1"/>
  <c r="AG63" i="3" s="1"/>
  <c r="AB62" i="3" s="1"/>
  <c r="AC62" i="3" l="1"/>
  <c r="AD62" i="3"/>
  <c r="AE62" i="3"/>
  <c r="AF62" i="3" l="1"/>
  <c r="AG62" i="3" s="1"/>
  <c r="AB61" i="3" s="1"/>
  <c r="AD61" i="3" l="1"/>
  <c r="AC61" i="3"/>
  <c r="AE61" i="3"/>
  <c r="AF61" i="3" l="1"/>
  <c r="AG61" i="3" s="1"/>
  <c r="AB60" i="3" s="1"/>
  <c r="AC60" i="3" l="1"/>
  <c r="AE60" i="3"/>
  <c r="AD60" i="3"/>
  <c r="AF60" i="3" l="1"/>
  <c r="AG60" i="3" s="1"/>
  <c r="AB59" i="3" s="1"/>
  <c r="AE59" i="3"/>
  <c r="AD59" i="3"/>
  <c r="AC59" i="3"/>
  <c r="AF59" i="3" l="1"/>
  <c r="AG59" i="3" s="1"/>
  <c r="AB58" i="3" s="1"/>
  <c r="AD58" i="3" s="1"/>
  <c r="AE58" i="3"/>
  <c r="AC58" i="3"/>
  <c r="AF58" i="3" l="1"/>
  <c r="AG58" i="3" s="1"/>
  <c r="AB57" i="3" s="1"/>
  <c r="AE57" i="3" l="1"/>
  <c r="AC57" i="3"/>
  <c r="AD57" i="3"/>
  <c r="AF57" i="3" s="1"/>
  <c r="AG57" i="3" s="1"/>
  <c r="AB56" i="3" s="1"/>
  <c r="AC56" i="3" l="1"/>
  <c r="AE56" i="3"/>
  <c r="AD56" i="3"/>
  <c r="AF56" i="3" s="1"/>
  <c r="AG56" i="3" s="1"/>
  <c r="AB55" i="3" s="1"/>
  <c r="AC55" i="3" l="1"/>
  <c r="AE55" i="3"/>
  <c r="AD55" i="3"/>
  <c r="AF55" i="3" s="1"/>
  <c r="AG55" i="3" s="1"/>
  <c r="AB54" i="3" s="1"/>
  <c r="AE54" i="3" l="1"/>
  <c r="AD54" i="3"/>
  <c r="AF54" i="3" s="1"/>
  <c r="AG54" i="3" s="1"/>
  <c r="AB53" i="3" s="1"/>
  <c r="AC54" i="3"/>
  <c r="AC53" i="3" l="1"/>
  <c r="AE53" i="3"/>
  <c r="AD53" i="3"/>
  <c r="AF53" i="3" s="1"/>
  <c r="AG53" i="3" s="1"/>
  <c r="AB52" i="3" s="1"/>
  <c r="AC52" i="3" l="1"/>
  <c r="AE52" i="3"/>
  <c r="AD52" i="3"/>
  <c r="AF52" i="3" s="1"/>
  <c r="AG52" i="3" s="1"/>
  <c r="AB51" i="3" s="1"/>
  <c r="AD51" i="3" l="1"/>
  <c r="AE51" i="3"/>
  <c r="AC51" i="3"/>
  <c r="AF51" i="3" l="1"/>
  <c r="AG51" i="3" s="1"/>
  <c r="AB50" i="3" s="1"/>
  <c r="AC50" i="3" l="1"/>
  <c r="AE50" i="3"/>
  <c r="AD50" i="3"/>
  <c r="AF50" i="3" s="1"/>
  <c r="AG50" i="3" s="1"/>
  <c r="AB49" i="3" s="1"/>
  <c r="AD49" i="3" l="1"/>
  <c r="AC49" i="3"/>
  <c r="AE49" i="3"/>
  <c r="AF49" i="3" l="1"/>
  <c r="AG49" i="3" s="1"/>
  <c r="AB48" i="3" s="1"/>
  <c r="AD48" i="3" l="1"/>
  <c r="AC48" i="3"/>
  <c r="AE48" i="3"/>
  <c r="AF48" i="3" l="1"/>
  <c r="AG48" i="3" s="1"/>
  <c r="AB47" i="3" s="1"/>
  <c r="AD47" i="3" l="1"/>
  <c r="AC47" i="3"/>
  <c r="AE47" i="3"/>
  <c r="AF47" i="3" l="1"/>
  <c r="AG47" i="3" s="1"/>
  <c r="AB46" i="3" s="1"/>
  <c r="AC46" i="3" l="1"/>
  <c r="AD46" i="3"/>
  <c r="AE46" i="3"/>
  <c r="AF46" i="3" l="1"/>
  <c r="AG46" i="3" s="1"/>
  <c r="AB45" i="3" s="1"/>
  <c r="AE45" i="3" l="1"/>
  <c r="AD45" i="3"/>
  <c r="AF45" i="3" s="1"/>
  <c r="AG45" i="3" s="1"/>
  <c r="AB44" i="3" s="1"/>
  <c r="AC45" i="3"/>
  <c r="AD44" i="3" l="1"/>
  <c r="AE44" i="3"/>
  <c r="AC44" i="3"/>
  <c r="AF44" i="3" l="1"/>
  <c r="AG44" i="3" s="1"/>
  <c r="AB43" i="3" s="1"/>
  <c r="AC43" i="3" l="1"/>
  <c r="AD43" i="3"/>
  <c r="AE43" i="3"/>
  <c r="AF43" i="3" l="1"/>
  <c r="AG43" i="3" s="1"/>
  <c r="AB42" i="3" s="1"/>
  <c r="AE42" i="3" l="1"/>
  <c r="AD42" i="3"/>
  <c r="AF42" i="3" s="1"/>
  <c r="AG42" i="3" s="1"/>
  <c r="AB41" i="3" s="1"/>
  <c r="AC42" i="3"/>
  <c r="AD41" i="3" l="1"/>
  <c r="AE41" i="3"/>
  <c r="AC41" i="3"/>
  <c r="AF41" i="3" l="1"/>
  <c r="AG41" i="3" s="1"/>
  <c r="AB40" i="3" s="1"/>
  <c r="AC40" i="3" l="1"/>
  <c r="AD40" i="3"/>
  <c r="AE40" i="3"/>
  <c r="AF40" i="3" l="1"/>
  <c r="AG40" i="3" s="1"/>
  <c r="AB39" i="3" s="1"/>
  <c r="AE39" i="3" l="1"/>
  <c r="AC39" i="3"/>
  <c r="AD39" i="3"/>
  <c r="AF39" i="3" s="1"/>
  <c r="AG39" i="3" s="1"/>
  <c r="AB38" i="3" s="1"/>
  <c r="AC38" i="3" l="1"/>
  <c r="AD38" i="3"/>
  <c r="AE38" i="3"/>
  <c r="AF38" i="3" l="1"/>
  <c r="AG38" i="3" s="1"/>
  <c r="AB37" i="3" s="1"/>
  <c r="AD37" i="3" l="1"/>
  <c r="AC37" i="3"/>
  <c r="AE37" i="3"/>
  <c r="AF37" i="3" l="1"/>
  <c r="AG37" i="3" s="1"/>
  <c r="AB36" i="3" s="1"/>
  <c r="AC36" i="3" l="1"/>
  <c r="AD36" i="3"/>
  <c r="AE36" i="3"/>
  <c r="AF36" i="3" l="1"/>
  <c r="AG36" i="3" s="1"/>
  <c r="AB35" i="3" s="1"/>
  <c r="AD35" i="3" l="1"/>
  <c r="AC35" i="3"/>
  <c r="AE35" i="3"/>
  <c r="AF35" i="3" l="1"/>
  <c r="AG35" i="3" s="1"/>
  <c r="AB34" i="3" s="1"/>
  <c r="AE34" i="3" l="1"/>
  <c r="AC34" i="3"/>
  <c r="AD34" i="3"/>
  <c r="AF34" i="3" s="1"/>
  <c r="AG34" i="3" s="1"/>
  <c r="AB33" i="3" s="1"/>
  <c r="AE33" i="3" l="1"/>
  <c r="AD33" i="3"/>
  <c r="AF33" i="3" s="1"/>
  <c r="AG33" i="3" s="1"/>
  <c r="AB32" i="3" s="1"/>
  <c r="AC33" i="3"/>
  <c r="AD32" i="3" l="1"/>
  <c r="AC32" i="3"/>
  <c r="AE32" i="3"/>
  <c r="AF32" i="3" l="1"/>
  <c r="AG32" i="3" s="1"/>
  <c r="AB31" i="3" s="1"/>
  <c r="AD31" i="3" l="1"/>
  <c r="AE31" i="3"/>
  <c r="AC31" i="3"/>
  <c r="AF31" i="3" l="1"/>
  <c r="AG31" i="3" s="1"/>
  <c r="AB30" i="3" s="1"/>
  <c r="AD30" i="3" l="1"/>
  <c r="AC30" i="3"/>
  <c r="AE30" i="3"/>
  <c r="AF30" i="3" l="1"/>
  <c r="AG30" i="3" s="1"/>
  <c r="AB29" i="3" s="1"/>
  <c r="AC29" i="3" l="1"/>
  <c r="AE29" i="3"/>
  <c r="AD29" i="3"/>
  <c r="AF29" i="3" s="1"/>
  <c r="AG29" i="3" s="1"/>
  <c r="AB28" i="3" s="1"/>
  <c r="AC28" i="3" l="1"/>
  <c r="AD28" i="3"/>
  <c r="AE28" i="3"/>
  <c r="AF28" i="3" l="1"/>
  <c r="AG28" i="3" s="1"/>
  <c r="AB27" i="3" s="1"/>
  <c r="AE27" i="3" l="1"/>
  <c r="AD27" i="3"/>
  <c r="AF27" i="3" s="1"/>
  <c r="AG27" i="3" s="1"/>
  <c r="AB26" i="3" s="1"/>
  <c r="AC27" i="3"/>
  <c r="AE26" i="3" l="1"/>
  <c r="AC26" i="3"/>
  <c r="AD26" i="3"/>
  <c r="AF26" i="3" s="1"/>
  <c r="AG26" i="3" s="1"/>
  <c r="AB25" i="3" s="1"/>
  <c r="AE25" i="3" l="1"/>
  <c r="AD25" i="3"/>
  <c r="AF25" i="3" s="1"/>
  <c r="AG25" i="3" s="1"/>
  <c r="AC25" i="3"/>
  <c r="AB24" i="3" l="1"/>
  <c r="AD24" i="3" l="1"/>
  <c r="AE24" i="3"/>
  <c r="AC24" i="3"/>
  <c r="AF24" i="3" l="1"/>
  <c r="AG24" i="3" s="1"/>
  <c r="AB23" i="3" s="1"/>
  <c r="AD23" i="3" l="1"/>
  <c r="AE23" i="3"/>
  <c r="AC23" i="3"/>
  <c r="AF23" i="3" l="1"/>
  <c r="AG23" i="3" s="1"/>
  <c r="AB22" i="3" s="1"/>
  <c r="AC22" i="3" l="1"/>
  <c r="AE22" i="3"/>
  <c r="AD22" i="3"/>
  <c r="AF22" i="3" s="1"/>
  <c r="AG22" i="3" s="1"/>
  <c r="AB21" i="3" s="1"/>
  <c r="AC21" i="3" l="1"/>
  <c r="AE21" i="3"/>
  <c r="AD21" i="3"/>
  <c r="AF21" i="3" s="1"/>
  <c r="AG21" i="3" s="1"/>
  <c r="AB20" i="3" s="1"/>
  <c r="AC20" i="3" l="1"/>
  <c r="AD20" i="3"/>
  <c r="AE20" i="3"/>
  <c r="AF20" i="3" l="1"/>
  <c r="AG20" i="3" s="1"/>
  <c r="AB19" i="3" s="1"/>
  <c r="AE19" i="3" l="1"/>
  <c r="AD19" i="3"/>
  <c r="AF19" i="3" s="1"/>
  <c r="AG19" i="3" s="1"/>
  <c r="AB18" i="3" s="1"/>
  <c r="AC19" i="3"/>
  <c r="AD18" i="3" l="1"/>
  <c r="AC18" i="3"/>
  <c r="AE18" i="3"/>
  <c r="AF18" i="3" l="1"/>
  <c r="AG18" i="3" s="1"/>
  <c r="AB17" i="3" s="1"/>
  <c r="AD17" i="3" l="1"/>
  <c r="AC17" i="3"/>
  <c r="AE17" i="3"/>
  <c r="AF17" i="3" l="1"/>
  <c r="AG17" i="3" s="1"/>
  <c r="AB16" i="3" s="1"/>
  <c r="AE16" i="3" l="1"/>
  <c r="AD16" i="3"/>
  <c r="AF16" i="3" s="1"/>
  <c r="AG16" i="3" s="1"/>
  <c r="AB15" i="3" s="1"/>
  <c r="AC16" i="3"/>
  <c r="AC15" i="3" l="1"/>
  <c r="AE15" i="3"/>
  <c r="AD15" i="3"/>
  <c r="AF15" i="3" s="1"/>
  <c r="AG15" i="3" s="1"/>
  <c r="AB14" i="3" s="1"/>
  <c r="AD14" i="3" l="1"/>
  <c r="AE14" i="3"/>
  <c r="AC14" i="3"/>
  <c r="AF14" i="3" l="1"/>
  <c r="AG14" i="3" s="1"/>
  <c r="AB13" i="3" s="1"/>
  <c r="AC13" i="3" l="1"/>
  <c r="AE13" i="3"/>
  <c r="AD13" i="3"/>
  <c r="AF13" i="3" s="1"/>
  <c r="AG13" i="3" l="1"/>
  <c r="AF10" i="3"/>
  <c r="AG10" i="3" s="1"/>
  <c r="AH10" i="3" s="1"/>
</calcChain>
</file>

<file path=xl/sharedStrings.xml><?xml version="1.0" encoding="utf-8"?>
<sst xmlns="http://schemas.openxmlformats.org/spreadsheetml/2006/main" count="4737" uniqueCount="139">
  <si>
    <t>Source</t>
  </si>
  <si>
    <t>Asset</t>
  </si>
  <si>
    <t>Amount</t>
  </si>
  <si>
    <t>Entry Time</t>
  </si>
  <si>
    <t>Entry Price</t>
  </si>
  <si>
    <t>Actual Price</t>
  </si>
  <si>
    <t>Fees</t>
  </si>
  <si>
    <t>Unrealized PnL</t>
  </si>
  <si>
    <t>SPOT</t>
  </si>
  <si>
    <t>XRP</t>
  </si>
  <si>
    <t>$1.9122</t>
  </si>
  <si>
    <t>$2.51</t>
  </si>
  <si>
    <t>TNSR</t>
  </si>
  <si>
    <t>27,178.700000</t>
  </si>
  <si>
    <t>$0.058600</t>
  </si>
  <si>
    <t>$2.41</t>
  </si>
  <si>
    <t>SOL</t>
  </si>
  <si>
    <t>$125.6300</t>
  </si>
  <si>
    <t>ETH</t>
  </si>
  <si>
    <t>0.540800</t>
  </si>
  <si>
    <t>$3,015.51</t>
  </si>
  <si>
    <t>$2.45</t>
  </si>
  <si>
    <t>BNB</t>
  </si>
  <si>
    <t>$904.4800</t>
  </si>
  <si>
    <t>$2.63</t>
  </si>
  <si>
    <t>BTC</t>
  </si>
  <si>
    <t>0.019470</t>
  </si>
  <si>
    <t>$90,169.88</t>
  </si>
  <si>
    <t>$2.62</t>
  </si>
  <si>
    <t>Symbol</t>
  </si>
  <si>
    <t>Strategy</t>
  </si>
  <si>
    <t>Exit Time</t>
  </si>
  <si>
    <t>Exit Price</t>
  </si>
  <si>
    <t>PnL</t>
  </si>
  <si>
    <t>PnL %</t>
  </si>
  <si>
    <t>Reason</t>
  </si>
  <si>
    <t>SOLUSDT</t>
  </si>
  <si>
    <t>jma/12h</t>
  </si>
  <si>
    <t>Time-based exit (4 bar...</t>
  </si>
  <si>
    <t>LINKUSDT</t>
  </si>
  <si>
    <t>ZECUSDC</t>
  </si>
  <si>
    <t>jma/8h</t>
  </si>
  <si>
    <t>ETHUSDT</t>
  </si>
  <si>
    <t>SUIUSDC</t>
  </si>
  <si>
    <t>BNBUSDT</t>
  </si>
  <si>
    <t>BTCUSDT</t>
  </si>
  <si>
    <t>XRPUSDT</t>
  </si>
  <si>
    <t>$1.9164</t>
  </si>
  <si>
    <t>TNSRUSDC</t>
  </si>
  <si>
    <t>ATR stop x2.00</t>
  </si>
  <si>
    <t>TAOUSDC</t>
  </si>
  <si>
    <t>kama/6h</t>
  </si>
  <si>
    <t>ICPUSDC</t>
  </si>
  <si>
    <t>BNBUSDC</t>
  </si>
  <si>
    <t>SOLUSDC</t>
  </si>
  <si>
    <t>LUNCUSDT</t>
  </si>
  <si>
    <t>ETHUSDC</t>
  </si>
  <si>
    <t>Time-based exit (5 bar...</t>
  </si>
  <si>
    <t>LINKUSDC</t>
  </si>
  <si>
    <t>BTCUSDC</t>
  </si>
  <si>
    <t>XRPUSDC</t>
  </si>
  <si>
    <t>ADAUSDC</t>
  </si>
  <si>
    <t>$1.9141</t>
  </si>
  <si>
    <t>$-0.85</t>
  </si>
  <si>
    <t>$0.059700</t>
  </si>
  <si>
    <t>$27.49</t>
  </si>
  <si>
    <t>$125.7600</t>
  </si>
  <si>
    <t>$-0.75</t>
  </si>
  <si>
    <t>$3,009.75</t>
  </si>
  <si>
    <t>$2.44</t>
  </si>
  <si>
    <t>$-5.56</t>
  </si>
  <si>
    <t>$903.2700</t>
  </si>
  <si>
    <t>$-4.97</t>
  </si>
  <si>
    <t>$89,207.50</t>
  </si>
  <si>
    <t>$-21.36</t>
  </si>
  <si>
    <t>$1.16</t>
  </si>
  <si>
    <t>$125.8300</t>
  </si>
  <si>
    <t>$125.8100</t>
  </si>
  <si>
    <t>$-2.67</t>
  </si>
  <si>
    <t>$3,013.44</t>
  </si>
  <si>
    <t>$-3.56</t>
  </si>
  <si>
    <t>$903.5500</t>
  </si>
  <si>
    <t>$-4.43</t>
  </si>
  <si>
    <t>$89,271.60</t>
  </si>
  <si>
    <t>$-20.11</t>
  </si>
  <si>
    <t>ICP</t>
  </si>
  <si>
    <t>$3.2570</t>
  </si>
  <si>
    <t>$3.1380</t>
  </si>
  <si>
    <t>$3.17</t>
  </si>
  <si>
    <t>$-81.75</t>
  </si>
  <si>
    <t>36,704.331811</t>
  </si>
  <si>
    <t>$0.057700</t>
  </si>
  <si>
    <t>$3.20</t>
  </si>
  <si>
    <t>$-36.24</t>
  </si>
  <si>
    <t>$125.5800</t>
  </si>
  <si>
    <t>$123.4800</t>
  </si>
  <si>
    <t>$-39.17</t>
  </si>
  <si>
    <t>LUNC</t>
  </si>
  <si>
    <t>56,811,247.863524</t>
  </si>
  <si>
    <t>$0.000038</t>
  </si>
  <si>
    <t>$0.000037</t>
  </si>
  <si>
    <t>$-34.45</t>
  </si>
  <si>
    <t>ADA</t>
  </si>
  <si>
    <t>5,953.152073</t>
  </si>
  <si>
    <t>$0.361300</t>
  </si>
  <si>
    <t>$0.351100</t>
  </si>
  <si>
    <t>$3.18</t>
  </si>
  <si>
    <t>$-63.90</t>
  </si>
  <si>
    <t>$903.4600</t>
  </si>
  <si>
    <t>$898.9700</t>
  </si>
  <si>
    <t>$3.22</t>
  </si>
  <si>
    <t>$-13.91</t>
  </si>
  <si>
    <t>TAO</t>
  </si>
  <si>
    <t>$238.5000</t>
  </si>
  <si>
    <t>$230.1000</t>
  </si>
  <si>
    <t>$-78.92</t>
  </si>
  <si>
    <t>Open Positions (7, PnL: $-359.62)</t>
  </si>
  <si>
    <t>$3.1370</t>
  </si>
  <si>
    <t>$-82.41</t>
  </si>
  <si>
    <t>$123.3400</t>
  </si>
  <si>
    <t>$-41.56</t>
  </si>
  <si>
    <t>$-36.72</t>
  </si>
  <si>
    <t>$0.350800</t>
  </si>
  <si>
    <t>$-65.69</t>
  </si>
  <si>
    <t>$899.1100</t>
  </si>
  <si>
    <t>$-13.57</t>
  </si>
  <si>
    <t>$229.6000</t>
  </si>
  <si>
    <t>$-83.43</t>
  </si>
  <si>
    <t>Stake</t>
  </si>
  <si>
    <t>Max Pos</t>
  </si>
  <si>
    <t>amount</t>
  </si>
  <si>
    <t>fee</t>
  </si>
  <si>
    <t>initial_capital</t>
  </si>
  <si>
    <t xml:space="preserve">   </t>
  </si>
  <si>
    <t>PnL-fee</t>
  </si>
  <si>
    <t>Kapital</t>
  </si>
  <si>
    <t>stake</t>
  </si>
  <si>
    <t>Constant stake</t>
  </si>
  <si>
    <t>Variable stake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</si>
</sst>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4"/>
      <color rgb="FFEEEEEE"/>
      <name val="Arial"/>
      <family val="2"/>
    </font>
    <font>
      <b/>
      <sz val="14"/>
      <color rgb="FF00D4FF"/>
      <name val="Arial"/>
      <family val="2"/>
    </font>
    <font>
      <sz val="4"/>
      <color rgb="FF000000"/>
      <name val="Arial"/>
      <family val="2"/>
    </font>
    <font>
      <b/>
      <sz val="14"/>
      <color rgb="FFFF4757"/>
      <name val="Arial"/>
      <family val="2"/>
    </font>
    <font>
      <b/>
      <sz val="14"/>
      <color rgb="FF00FF8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6213E"/>
        <bgColor indexed="64"/>
      </patternFill>
    </fill>
    <fill>
      <patternFill patternType="solid">
        <fgColor rgb="FF0F34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right" vertical="center" wrapText="1"/>
    </xf>
    <xf numFmtId="3" fontId="1" fillId="2" borderId="0" xfId="0" applyNumberFormat="1" applyFont="1" applyFill="1" applyAlignment="1">
      <alignment horizontal="right" vertical="center" wrapText="1"/>
    </xf>
    <xf numFmtId="22" fontId="1" fillId="2" borderId="0" xfId="0" applyNumberFormat="1" applyFont="1" applyFill="1" applyAlignment="1">
      <alignment horizontal="right" vertical="center" wrapText="1"/>
    </xf>
    <xf numFmtId="0" fontId="4" fillId="2" borderId="0" xfId="0" applyFont="1" applyFill="1" applyAlignment="1">
      <alignment horizontal="right" vertical="center" wrapText="1"/>
    </xf>
    <xf numFmtId="0" fontId="5" fillId="2" borderId="0" xfId="0" applyFont="1" applyFill="1" applyAlignment="1">
      <alignment horizontal="right" vertical="center" wrapText="1"/>
    </xf>
    <xf numFmtId="3" fontId="0" fillId="0" borderId="0" xfId="0" applyNumberFormat="1"/>
    <xf numFmtId="22" fontId="0" fillId="0" borderId="0" xfId="0" applyNumberFormat="1"/>
    <xf numFmtId="2" fontId="0" fillId="0" borderId="0" xfId="0" applyNumberFormat="1"/>
    <xf numFmtId="49" fontId="0" fillId="0" borderId="0" xfId="0" applyNumberFormat="1"/>
    <xf numFmtId="4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FED5AB7-7BE2-404D-BB0B-64F07F42D5E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B2C3-2486-4F87-8E89-EFA0E3732CCD}">
  <dimension ref="E1:L236"/>
  <sheetViews>
    <sheetView topLeftCell="A8" workbookViewId="0">
      <selection activeCell="E39" sqref="E39:L47"/>
    </sheetView>
  </sheetViews>
  <sheetFormatPr defaultRowHeight="14.6" x14ac:dyDescent="0.4"/>
  <cols>
    <col min="6" max="6" width="15.4609375" bestFit="1" customWidth="1"/>
    <col min="7" max="7" width="18.921875" customWidth="1"/>
    <col min="8" max="8" width="26.3046875" customWidth="1"/>
    <col min="9" max="9" width="20" customWidth="1"/>
    <col min="10" max="10" width="16.07421875" bestFit="1" customWidth="1"/>
    <col min="11" max="11" width="13.07421875" bestFit="1" customWidth="1"/>
    <col min="12" max="12" width="9.4609375" bestFit="1" customWidth="1"/>
    <col min="13" max="13" width="7.84375" bestFit="1" customWidth="1"/>
    <col min="14" max="14" width="20.84375" bestFit="1" customWidth="1"/>
  </cols>
  <sheetData>
    <row r="1" spans="5:12" ht="52.75" x14ac:dyDescent="0.4"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</row>
    <row r="2" spans="5:12" ht="17.600000000000001" x14ac:dyDescent="0.4">
      <c r="E2" s="2" t="s">
        <v>8</v>
      </c>
      <c r="F2" s="3" t="s">
        <v>9</v>
      </c>
      <c r="G2" s="4">
        <v>874500000</v>
      </c>
      <c r="H2" s="5">
        <v>46753.25</v>
      </c>
      <c r="I2" s="3" t="s">
        <v>10</v>
      </c>
      <c r="J2" s="3" t="s">
        <v>62</v>
      </c>
      <c r="K2" s="3" t="s">
        <v>11</v>
      </c>
      <c r="L2" s="6" t="s">
        <v>63</v>
      </c>
    </row>
    <row r="3" spans="5:12" ht="35.15" x14ac:dyDescent="0.4">
      <c r="E3" s="2" t="s">
        <v>8</v>
      </c>
      <c r="F3" s="3" t="s">
        <v>12</v>
      </c>
      <c r="G3" s="3" t="s">
        <v>13</v>
      </c>
      <c r="H3" s="5">
        <v>46388.666666666664</v>
      </c>
      <c r="I3" s="3" t="s">
        <v>14</v>
      </c>
      <c r="J3" s="3" t="s">
        <v>64</v>
      </c>
      <c r="K3" s="3" t="s">
        <v>15</v>
      </c>
      <c r="L3" s="7" t="s">
        <v>65</v>
      </c>
    </row>
    <row r="4" spans="5:12" ht="35.15" x14ac:dyDescent="0.4">
      <c r="E4" s="2" t="s">
        <v>8</v>
      </c>
      <c r="F4" s="3" t="s">
        <v>16</v>
      </c>
      <c r="G4" s="4">
        <v>12794000</v>
      </c>
      <c r="H4" s="5">
        <v>46753.958333333336</v>
      </c>
      <c r="I4" s="3" t="s">
        <v>17</v>
      </c>
      <c r="J4" s="3" t="s">
        <v>66</v>
      </c>
      <c r="K4" s="3" t="s">
        <v>15</v>
      </c>
      <c r="L4" s="6" t="s">
        <v>67</v>
      </c>
    </row>
    <row r="5" spans="5:12" ht="35.15" x14ac:dyDescent="0.4">
      <c r="E5" s="2" t="s">
        <v>8</v>
      </c>
      <c r="F5" s="3" t="s">
        <v>18</v>
      </c>
      <c r="G5" s="3" t="s">
        <v>19</v>
      </c>
      <c r="H5" s="5">
        <v>46753.791666666664</v>
      </c>
      <c r="I5" s="3" t="s">
        <v>20</v>
      </c>
      <c r="J5" s="3" t="s">
        <v>68</v>
      </c>
      <c r="K5" s="3" t="s">
        <v>69</v>
      </c>
      <c r="L5" s="6" t="s">
        <v>70</v>
      </c>
    </row>
    <row r="6" spans="5:12" ht="35.15" x14ac:dyDescent="0.4">
      <c r="E6" s="2" t="s">
        <v>8</v>
      </c>
      <c r="F6" s="3" t="s">
        <v>22</v>
      </c>
      <c r="G6" s="4">
        <v>1937000</v>
      </c>
      <c r="H6" s="5">
        <v>46753.75</v>
      </c>
      <c r="I6" s="3" t="s">
        <v>23</v>
      </c>
      <c r="J6" s="3" t="s">
        <v>71</v>
      </c>
      <c r="K6" s="3" t="s">
        <v>24</v>
      </c>
      <c r="L6" s="6" t="s">
        <v>72</v>
      </c>
    </row>
    <row r="7" spans="5:12" ht="35.15" x14ac:dyDescent="0.4">
      <c r="E7" s="2" t="s">
        <v>8</v>
      </c>
      <c r="F7" s="3" t="s">
        <v>25</v>
      </c>
      <c r="G7" s="3" t="s">
        <v>26</v>
      </c>
      <c r="H7" s="5">
        <v>46753.75</v>
      </c>
      <c r="I7" s="3" t="s">
        <v>27</v>
      </c>
      <c r="J7" s="3" t="s">
        <v>73</v>
      </c>
      <c r="K7" s="3" t="s">
        <v>28</v>
      </c>
      <c r="L7" s="6" t="s">
        <v>74</v>
      </c>
    </row>
    <row r="10" spans="5:12" ht="17.600000000000001" x14ac:dyDescent="0.4">
      <c r="E10" s="1"/>
      <c r="F10" s="1"/>
      <c r="G10" s="1"/>
      <c r="H10" s="1"/>
      <c r="I10" s="1"/>
      <c r="J10" s="1"/>
      <c r="K10" s="1"/>
      <c r="L10" s="1"/>
    </row>
    <row r="11" spans="5:12" ht="17.600000000000001" x14ac:dyDescent="0.4">
      <c r="E11" s="2" t="s">
        <v>0</v>
      </c>
      <c r="F11" s="3" t="s">
        <v>1</v>
      </c>
      <c r="G11" s="4" t="s">
        <v>2</v>
      </c>
      <c r="H11" s="5" t="s">
        <v>3</v>
      </c>
      <c r="I11" s="3" t="s">
        <v>4</v>
      </c>
      <c r="J11" s="3" t="s">
        <v>5</v>
      </c>
      <c r="K11" s="3" t="s">
        <v>6</v>
      </c>
      <c r="L11" s="7" t="s">
        <v>7</v>
      </c>
    </row>
    <row r="12" spans="5:12" ht="17.600000000000001" x14ac:dyDescent="0.4">
      <c r="E12" s="2" t="s">
        <v>8</v>
      </c>
      <c r="F12" s="3" t="s">
        <v>9</v>
      </c>
      <c r="G12" s="4">
        <v>874500000</v>
      </c>
      <c r="H12" s="5">
        <v>46753.25</v>
      </c>
      <c r="I12" s="3" t="s">
        <v>10</v>
      </c>
      <c r="J12" s="3" t="s">
        <v>47</v>
      </c>
      <c r="K12" s="3" t="s">
        <v>11</v>
      </c>
      <c r="L12" s="7" t="s">
        <v>75</v>
      </c>
    </row>
    <row r="13" spans="5:12" ht="17.600000000000001" x14ac:dyDescent="0.4">
      <c r="E13" s="2" t="s">
        <v>8</v>
      </c>
      <c r="F13" s="3" t="s">
        <v>12</v>
      </c>
      <c r="G13" s="4" t="s">
        <v>13</v>
      </c>
      <c r="H13" s="5">
        <v>46388.666666666664</v>
      </c>
      <c r="I13" s="3" t="s">
        <v>14</v>
      </c>
      <c r="J13" s="3" t="s">
        <v>64</v>
      </c>
      <c r="K13" s="3" t="s">
        <v>15</v>
      </c>
      <c r="L13" s="6" t="s">
        <v>65</v>
      </c>
    </row>
    <row r="14" spans="5:12" ht="17.600000000000001" x14ac:dyDescent="0.4">
      <c r="E14" s="2" t="s">
        <v>8</v>
      </c>
      <c r="F14" s="3" t="s">
        <v>16</v>
      </c>
      <c r="G14" s="4">
        <v>12774000</v>
      </c>
      <c r="H14" s="5">
        <v>46753.958333333336</v>
      </c>
      <c r="I14" s="3" t="s">
        <v>76</v>
      </c>
      <c r="J14" s="3" t="s">
        <v>77</v>
      </c>
      <c r="K14" s="3" t="s">
        <v>15</v>
      </c>
      <c r="L14" s="6" t="s">
        <v>78</v>
      </c>
    </row>
    <row r="15" spans="5:12" ht="17.600000000000001" x14ac:dyDescent="0.4">
      <c r="E15" s="2" t="s">
        <v>8</v>
      </c>
      <c r="F15" s="3" t="s">
        <v>18</v>
      </c>
      <c r="G15" s="4" t="s">
        <v>19</v>
      </c>
      <c r="H15" s="5">
        <v>46753.791666666664</v>
      </c>
      <c r="I15" s="3" t="s">
        <v>20</v>
      </c>
      <c r="J15" s="3" t="s">
        <v>79</v>
      </c>
      <c r="K15" s="3" t="s">
        <v>21</v>
      </c>
      <c r="L15" s="6" t="s">
        <v>80</v>
      </c>
    </row>
    <row r="16" spans="5:12" ht="17.600000000000001" x14ac:dyDescent="0.4">
      <c r="E16" s="2" t="s">
        <v>8</v>
      </c>
      <c r="F16" s="3" t="s">
        <v>22</v>
      </c>
      <c r="G16" s="4">
        <v>1937000</v>
      </c>
      <c r="H16" s="5">
        <v>46753.75</v>
      </c>
      <c r="I16" s="3" t="s">
        <v>23</v>
      </c>
      <c r="J16" s="3" t="s">
        <v>81</v>
      </c>
      <c r="K16" s="3" t="s">
        <v>24</v>
      </c>
      <c r="L16" s="6" t="s">
        <v>82</v>
      </c>
    </row>
    <row r="20" spans="5:12" x14ac:dyDescent="0.4">
      <c r="E20" s="11" t="s">
        <v>0</v>
      </c>
      <c r="F20" s="11" t="s">
        <v>1</v>
      </c>
      <c r="G20" s="11" t="s">
        <v>2</v>
      </c>
      <c r="H20" s="11" t="s">
        <v>3</v>
      </c>
      <c r="I20" s="11" t="s">
        <v>4</v>
      </c>
      <c r="J20" s="11" t="s">
        <v>5</v>
      </c>
      <c r="K20" s="11" t="s">
        <v>6</v>
      </c>
      <c r="L20" s="11" t="s">
        <v>7</v>
      </c>
    </row>
    <row r="21" spans="5:12" x14ac:dyDescent="0.4">
      <c r="E21" s="11" t="s">
        <v>8</v>
      </c>
      <c r="F21" s="11" t="s">
        <v>9</v>
      </c>
      <c r="G21" s="11">
        <v>874500000</v>
      </c>
      <c r="H21" s="11">
        <v>46753.25</v>
      </c>
      <c r="I21" s="11" t="s">
        <v>10</v>
      </c>
      <c r="J21" s="11" t="s">
        <v>47</v>
      </c>
      <c r="K21" s="11" t="s">
        <v>11</v>
      </c>
      <c r="L21" s="11" t="s">
        <v>75</v>
      </c>
    </row>
    <row r="22" spans="5:12" x14ac:dyDescent="0.4">
      <c r="E22" s="11" t="s">
        <v>8</v>
      </c>
      <c r="F22" s="11" t="s">
        <v>12</v>
      </c>
      <c r="G22" s="11" t="s">
        <v>13</v>
      </c>
      <c r="H22" s="11">
        <v>46388.666666666664</v>
      </c>
      <c r="I22" s="11" t="s">
        <v>14</v>
      </c>
      <c r="J22" s="11" t="s">
        <v>64</v>
      </c>
      <c r="K22" s="11" t="s">
        <v>15</v>
      </c>
      <c r="L22" s="11" t="s">
        <v>65</v>
      </c>
    </row>
    <row r="23" spans="5:12" x14ac:dyDescent="0.4">
      <c r="E23" s="11" t="s">
        <v>8</v>
      </c>
      <c r="F23" s="11" t="s">
        <v>16</v>
      </c>
      <c r="G23" s="11">
        <v>12774000</v>
      </c>
      <c r="H23" s="11">
        <v>46753.958333333336</v>
      </c>
      <c r="I23" s="11" t="s">
        <v>76</v>
      </c>
      <c r="J23" s="11" t="s">
        <v>77</v>
      </c>
      <c r="K23" s="11" t="s">
        <v>15</v>
      </c>
      <c r="L23" s="11" t="s">
        <v>78</v>
      </c>
    </row>
    <row r="24" spans="5:12" x14ac:dyDescent="0.4">
      <c r="E24" s="11" t="s">
        <v>8</v>
      </c>
      <c r="F24" s="11" t="s">
        <v>18</v>
      </c>
      <c r="G24" s="11" t="s">
        <v>19</v>
      </c>
      <c r="H24" s="11">
        <v>46753.791666666664</v>
      </c>
      <c r="I24" s="11" t="s">
        <v>20</v>
      </c>
      <c r="J24" s="11" t="s">
        <v>79</v>
      </c>
      <c r="K24" s="11" t="s">
        <v>21</v>
      </c>
      <c r="L24" s="11" t="s">
        <v>80</v>
      </c>
    </row>
    <row r="25" spans="5:12" x14ac:dyDescent="0.4">
      <c r="E25" s="11" t="s">
        <v>8</v>
      </c>
      <c r="F25" s="11" t="s">
        <v>22</v>
      </c>
      <c r="G25" s="11">
        <v>1937000</v>
      </c>
      <c r="H25" s="11">
        <v>46753.75</v>
      </c>
      <c r="I25" s="11" t="s">
        <v>23</v>
      </c>
      <c r="J25" s="11" t="s">
        <v>81</v>
      </c>
      <c r="K25" s="11" t="s">
        <v>24</v>
      </c>
      <c r="L25" s="11" t="s">
        <v>82</v>
      </c>
    </row>
    <row r="26" spans="5:12" x14ac:dyDescent="0.4">
      <c r="E26" s="11" t="s">
        <v>8</v>
      </c>
      <c r="F26" s="11" t="s">
        <v>25</v>
      </c>
      <c r="G26" s="11" t="s">
        <v>26</v>
      </c>
      <c r="H26" s="11">
        <v>46753.75</v>
      </c>
      <c r="I26" s="11" t="s">
        <v>27</v>
      </c>
      <c r="J26" s="11" t="s">
        <v>83</v>
      </c>
      <c r="K26" s="11" t="s">
        <v>28</v>
      </c>
      <c r="L26" s="11" t="s">
        <v>84</v>
      </c>
    </row>
    <row r="27" spans="5:12" x14ac:dyDescent="0.4">
      <c r="F27" s="9"/>
      <c r="H27" s="9"/>
      <c r="J27" s="8"/>
    </row>
    <row r="28" spans="5:12" x14ac:dyDescent="0.4">
      <c r="F28" s="9"/>
      <c r="H28" s="9"/>
      <c r="J28" s="8"/>
    </row>
    <row r="29" spans="5:12" x14ac:dyDescent="0.4">
      <c r="F29" s="9"/>
      <c r="H29" s="9"/>
      <c r="J29" s="8"/>
    </row>
    <row r="30" spans="5:12" x14ac:dyDescent="0.4">
      <c r="E30" t="s">
        <v>0</v>
      </c>
      <c r="F30" s="9" t="s">
        <v>1</v>
      </c>
      <c r="G30" t="s">
        <v>2</v>
      </c>
      <c r="H30" s="9" t="s">
        <v>3</v>
      </c>
      <c r="I30" t="s">
        <v>4</v>
      </c>
      <c r="J30" s="8" t="s">
        <v>5</v>
      </c>
      <c r="K30" t="s">
        <v>6</v>
      </c>
      <c r="L30" t="s">
        <v>7</v>
      </c>
    </row>
    <row r="31" spans="5:12" x14ac:dyDescent="0.4">
      <c r="E31" t="s">
        <v>8</v>
      </c>
      <c r="F31" s="9" t="s">
        <v>85</v>
      </c>
      <c r="G31" s="8">
        <v>660384969</v>
      </c>
      <c r="H31" s="9">
        <v>46388.541666666664</v>
      </c>
      <c r="I31" t="s">
        <v>86</v>
      </c>
      <c r="J31" s="8" t="s">
        <v>87</v>
      </c>
      <c r="K31" t="s">
        <v>88</v>
      </c>
      <c r="L31" t="s">
        <v>89</v>
      </c>
    </row>
    <row r="32" spans="5:12" x14ac:dyDescent="0.4">
      <c r="E32" t="s">
        <v>8</v>
      </c>
      <c r="F32" s="9" t="s">
        <v>12</v>
      </c>
      <c r="G32" t="s">
        <v>90</v>
      </c>
      <c r="H32" s="9">
        <v>46388.666666666664</v>
      </c>
      <c r="I32" t="s">
        <v>14</v>
      </c>
      <c r="J32" t="s">
        <v>91</v>
      </c>
      <c r="K32" t="s">
        <v>92</v>
      </c>
      <c r="L32" t="s">
        <v>93</v>
      </c>
    </row>
    <row r="33" spans="5:12" x14ac:dyDescent="0.4">
      <c r="E33" t="s">
        <v>8</v>
      </c>
      <c r="F33" s="9" t="s">
        <v>16</v>
      </c>
      <c r="G33" s="8">
        <v>17127519</v>
      </c>
      <c r="H33" s="9">
        <v>46753.958333333336</v>
      </c>
      <c r="I33" t="s">
        <v>94</v>
      </c>
      <c r="J33" s="8" t="s">
        <v>95</v>
      </c>
      <c r="K33" t="s">
        <v>92</v>
      </c>
      <c r="L33" t="s">
        <v>96</v>
      </c>
    </row>
    <row r="34" spans="5:12" x14ac:dyDescent="0.4">
      <c r="E34" t="s">
        <v>8</v>
      </c>
      <c r="F34" s="9" t="s">
        <v>97</v>
      </c>
      <c r="G34" t="s">
        <v>98</v>
      </c>
      <c r="H34" s="9">
        <v>46753.5</v>
      </c>
      <c r="I34" t="s">
        <v>99</v>
      </c>
      <c r="J34" t="s">
        <v>100</v>
      </c>
      <c r="K34" t="s">
        <v>92</v>
      </c>
      <c r="L34" t="s">
        <v>101</v>
      </c>
    </row>
    <row r="35" spans="5:12" x14ac:dyDescent="0.4">
      <c r="E35" t="s">
        <v>8</v>
      </c>
      <c r="F35" s="9" t="s">
        <v>102</v>
      </c>
      <c r="G35" t="s">
        <v>103</v>
      </c>
      <c r="H35" s="9">
        <v>46753.583333333336</v>
      </c>
      <c r="I35" t="s">
        <v>104</v>
      </c>
      <c r="J35" s="8" t="s">
        <v>105</v>
      </c>
      <c r="K35" t="s">
        <v>106</v>
      </c>
      <c r="L35" t="s">
        <v>107</v>
      </c>
    </row>
    <row r="36" spans="5:12" x14ac:dyDescent="0.4">
      <c r="E36" t="s">
        <v>8</v>
      </c>
      <c r="F36" s="9" t="s">
        <v>22</v>
      </c>
      <c r="G36" s="8">
        <v>2380707</v>
      </c>
      <c r="H36" s="9">
        <v>46753.75</v>
      </c>
      <c r="I36" t="s">
        <v>108</v>
      </c>
      <c r="J36" s="8" t="s">
        <v>109</v>
      </c>
      <c r="K36" t="s">
        <v>110</v>
      </c>
      <c r="L36" t="s">
        <v>111</v>
      </c>
    </row>
    <row r="37" spans="5:12" x14ac:dyDescent="0.4">
      <c r="E37" t="s">
        <v>8</v>
      </c>
      <c r="F37" s="9" t="s">
        <v>112</v>
      </c>
      <c r="G37" s="8">
        <v>9018339</v>
      </c>
      <c r="H37" s="9">
        <v>46753.75</v>
      </c>
      <c r="I37" t="s">
        <v>113</v>
      </c>
      <c r="J37" s="8" t="s">
        <v>114</v>
      </c>
      <c r="K37" t="s">
        <v>88</v>
      </c>
      <c r="L37" t="s">
        <v>115</v>
      </c>
    </row>
    <row r="38" spans="5:12" x14ac:dyDescent="0.4">
      <c r="F38" s="9"/>
      <c r="H38" s="9"/>
      <c r="J38" s="8"/>
    </row>
    <row r="39" spans="5:12" x14ac:dyDescent="0.4">
      <c r="F39" s="9"/>
      <c r="H39" s="9"/>
      <c r="J39" s="8"/>
    </row>
    <row r="40" spans="5:12" x14ac:dyDescent="0.4">
      <c r="E40" t="s">
        <v>0</v>
      </c>
      <c r="F40" s="9" t="s">
        <v>1</v>
      </c>
      <c r="G40" t="s">
        <v>2</v>
      </c>
      <c r="H40" s="9" t="s">
        <v>3</v>
      </c>
      <c r="I40" t="s">
        <v>4</v>
      </c>
      <c r="J40" s="8" t="s">
        <v>5</v>
      </c>
      <c r="K40" t="s">
        <v>6</v>
      </c>
      <c r="L40" t="s">
        <v>7</v>
      </c>
    </row>
    <row r="41" spans="5:12" x14ac:dyDescent="0.4">
      <c r="E41" t="s">
        <v>8</v>
      </c>
      <c r="F41" s="9" t="s">
        <v>85</v>
      </c>
      <c r="G41" s="8">
        <v>660384969</v>
      </c>
      <c r="H41" s="9">
        <v>46388.541666666664</v>
      </c>
      <c r="I41" t="s">
        <v>86</v>
      </c>
      <c r="J41" s="8" t="s">
        <v>87</v>
      </c>
      <c r="K41" t="s">
        <v>88</v>
      </c>
      <c r="L41" t="s">
        <v>89</v>
      </c>
    </row>
    <row r="42" spans="5:12" x14ac:dyDescent="0.4">
      <c r="E42" t="s">
        <v>8</v>
      </c>
      <c r="F42" s="9" t="s">
        <v>12</v>
      </c>
      <c r="G42" t="s">
        <v>90</v>
      </c>
      <c r="H42" s="9">
        <v>46388.666666666664</v>
      </c>
      <c r="I42" t="s">
        <v>14</v>
      </c>
      <c r="J42" s="8" t="s">
        <v>91</v>
      </c>
      <c r="K42" t="s">
        <v>92</v>
      </c>
      <c r="L42" t="s">
        <v>93</v>
      </c>
    </row>
    <row r="43" spans="5:12" x14ac:dyDescent="0.4">
      <c r="E43" t="s">
        <v>8</v>
      </c>
      <c r="F43" s="9" t="s">
        <v>16</v>
      </c>
      <c r="G43" s="8">
        <v>17127519</v>
      </c>
      <c r="H43" s="9">
        <v>46753.958333333336</v>
      </c>
      <c r="I43" t="s">
        <v>94</v>
      </c>
      <c r="J43" s="8" t="s">
        <v>95</v>
      </c>
      <c r="K43" t="s">
        <v>92</v>
      </c>
      <c r="L43" t="s">
        <v>96</v>
      </c>
    </row>
    <row r="44" spans="5:12" x14ac:dyDescent="0.4">
      <c r="E44" t="s">
        <v>8</v>
      </c>
      <c r="F44" s="9" t="s">
        <v>97</v>
      </c>
      <c r="G44" t="s">
        <v>98</v>
      </c>
      <c r="H44" s="9">
        <v>46753.5</v>
      </c>
      <c r="I44" t="s">
        <v>99</v>
      </c>
      <c r="J44" s="8" t="s">
        <v>100</v>
      </c>
      <c r="K44" t="s">
        <v>92</v>
      </c>
      <c r="L44" t="s">
        <v>101</v>
      </c>
    </row>
    <row r="45" spans="5:12" x14ac:dyDescent="0.4">
      <c r="E45" t="s">
        <v>8</v>
      </c>
      <c r="F45" s="9" t="s">
        <v>102</v>
      </c>
      <c r="G45" t="s">
        <v>103</v>
      </c>
      <c r="H45" s="9">
        <v>46753.583333333336</v>
      </c>
      <c r="I45" t="s">
        <v>104</v>
      </c>
      <c r="J45" s="8" t="s">
        <v>105</v>
      </c>
      <c r="K45" t="s">
        <v>106</v>
      </c>
      <c r="L45" t="s">
        <v>107</v>
      </c>
    </row>
    <row r="46" spans="5:12" x14ac:dyDescent="0.4">
      <c r="E46" t="s">
        <v>8</v>
      </c>
      <c r="F46" s="9" t="s">
        <v>22</v>
      </c>
      <c r="G46" s="8">
        <v>2380707</v>
      </c>
      <c r="H46" s="9">
        <v>46753.75</v>
      </c>
      <c r="I46" t="s">
        <v>108</v>
      </c>
      <c r="J46" s="8" t="s">
        <v>109</v>
      </c>
      <c r="K46" t="s">
        <v>110</v>
      </c>
      <c r="L46" t="s">
        <v>111</v>
      </c>
    </row>
    <row r="47" spans="5:12" x14ac:dyDescent="0.4">
      <c r="E47" t="s">
        <v>8</v>
      </c>
      <c r="F47" s="9" t="s">
        <v>112</v>
      </c>
      <c r="G47" s="8">
        <v>9018339</v>
      </c>
      <c r="H47" s="9">
        <v>46753.75</v>
      </c>
      <c r="I47" t="s">
        <v>113</v>
      </c>
      <c r="J47" s="8" t="s">
        <v>114</v>
      </c>
      <c r="K47" t="s">
        <v>88</v>
      </c>
      <c r="L47" t="s">
        <v>115</v>
      </c>
    </row>
    <row r="48" spans="5:12" x14ac:dyDescent="0.4">
      <c r="F48" s="9"/>
      <c r="H48" s="9"/>
      <c r="J48" s="8"/>
    </row>
    <row r="49" spans="6:10" x14ac:dyDescent="0.4">
      <c r="F49" s="9"/>
      <c r="H49" s="9"/>
      <c r="J49" s="8"/>
    </row>
    <row r="50" spans="6:10" x14ac:dyDescent="0.4">
      <c r="F50" s="9"/>
      <c r="H50" s="9"/>
      <c r="J50" s="8"/>
    </row>
    <row r="51" spans="6:10" x14ac:dyDescent="0.4">
      <c r="F51" s="9"/>
      <c r="H51" s="9"/>
      <c r="J51" s="8"/>
    </row>
    <row r="52" spans="6:10" x14ac:dyDescent="0.4">
      <c r="F52" s="9"/>
      <c r="H52" s="9"/>
    </row>
    <row r="53" spans="6:10" x14ac:dyDescent="0.4">
      <c r="F53" s="9"/>
      <c r="H53" s="9"/>
      <c r="J53" s="8"/>
    </row>
    <row r="54" spans="6:10" x14ac:dyDescent="0.4">
      <c r="F54" s="9"/>
      <c r="H54" s="9"/>
      <c r="J54" s="8"/>
    </row>
    <row r="55" spans="6:10" x14ac:dyDescent="0.4">
      <c r="F55" s="9"/>
      <c r="H55" s="9"/>
      <c r="J55" s="8"/>
    </row>
    <row r="56" spans="6:10" x14ac:dyDescent="0.4">
      <c r="F56" s="9"/>
      <c r="H56" s="9"/>
      <c r="J56" s="8"/>
    </row>
    <row r="57" spans="6:10" x14ac:dyDescent="0.4">
      <c r="F57" s="9"/>
      <c r="H57" s="9"/>
      <c r="J57" s="8"/>
    </row>
    <row r="58" spans="6:10" x14ac:dyDescent="0.4">
      <c r="F58" s="9"/>
      <c r="H58" s="9"/>
      <c r="J58" s="8"/>
    </row>
    <row r="59" spans="6:10" x14ac:dyDescent="0.4">
      <c r="F59" s="9"/>
      <c r="H59" s="9"/>
      <c r="J59" s="8"/>
    </row>
    <row r="60" spans="6:10" x14ac:dyDescent="0.4">
      <c r="F60" s="9"/>
      <c r="H60" s="9"/>
      <c r="J60" s="8"/>
    </row>
    <row r="61" spans="6:10" x14ac:dyDescent="0.4">
      <c r="F61" s="9"/>
      <c r="H61" s="9"/>
      <c r="J61" s="8"/>
    </row>
    <row r="62" spans="6:10" x14ac:dyDescent="0.4">
      <c r="F62" s="9"/>
      <c r="H62" s="9"/>
      <c r="J62" s="8"/>
    </row>
    <row r="63" spans="6:10" x14ac:dyDescent="0.4">
      <c r="F63" s="9"/>
      <c r="H63" s="9"/>
      <c r="J63" s="8"/>
    </row>
    <row r="64" spans="6:10" x14ac:dyDescent="0.4">
      <c r="F64" s="9"/>
      <c r="H64" s="9"/>
      <c r="J64" s="8"/>
    </row>
    <row r="65" spans="6:10" x14ac:dyDescent="0.4">
      <c r="F65" s="9"/>
      <c r="H65" s="9"/>
      <c r="J65" s="8"/>
    </row>
    <row r="66" spans="6:10" x14ac:dyDescent="0.4">
      <c r="F66" s="9"/>
      <c r="H66" s="9"/>
    </row>
    <row r="67" spans="6:10" x14ac:dyDescent="0.4">
      <c r="F67" s="9"/>
      <c r="H67" s="9"/>
      <c r="J67" s="8"/>
    </row>
    <row r="68" spans="6:10" x14ac:dyDescent="0.4">
      <c r="F68" s="9"/>
      <c r="H68" s="9"/>
      <c r="J68" s="8"/>
    </row>
    <row r="69" spans="6:10" x14ac:dyDescent="0.4">
      <c r="F69" s="9"/>
      <c r="H69" s="9"/>
      <c r="J69" s="8"/>
    </row>
    <row r="70" spans="6:10" x14ac:dyDescent="0.4">
      <c r="F70" s="9"/>
      <c r="H70" s="9"/>
      <c r="J70" s="8"/>
    </row>
    <row r="71" spans="6:10" x14ac:dyDescent="0.4">
      <c r="F71" s="9"/>
      <c r="H71" s="9"/>
      <c r="J71" s="8"/>
    </row>
    <row r="72" spans="6:10" x14ac:dyDescent="0.4">
      <c r="F72" s="9"/>
      <c r="H72" s="9"/>
      <c r="J72" s="8"/>
    </row>
    <row r="73" spans="6:10" x14ac:dyDescent="0.4">
      <c r="F73" s="9"/>
      <c r="H73" s="9"/>
      <c r="J73" s="8"/>
    </row>
    <row r="74" spans="6:10" x14ac:dyDescent="0.4">
      <c r="F74" s="9"/>
      <c r="H74" s="9"/>
      <c r="J74" s="8"/>
    </row>
    <row r="75" spans="6:10" x14ac:dyDescent="0.4">
      <c r="F75" s="9"/>
      <c r="H75" s="9"/>
      <c r="J75" s="8"/>
    </row>
    <row r="76" spans="6:10" x14ac:dyDescent="0.4">
      <c r="F76" s="9"/>
      <c r="H76" s="9"/>
      <c r="J76" s="8"/>
    </row>
    <row r="77" spans="6:10" x14ac:dyDescent="0.4">
      <c r="F77" s="9"/>
      <c r="H77" s="9"/>
      <c r="J77" s="8"/>
    </row>
    <row r="78" spans="6:10" x14ac:dyDescent="0.4">
      <c r="F78" s="9"/>
      <c r="H78" s="9"/>
      <c r="J78" s="8"/>
    </row>
    <row r="79" spans="6:10" x14ac:dyDescent="0.4">
      <c r="F79" s="9"/>
      <c r="H79" s="9"/>
      <c r="J79" s="8"/>
    </row>
    <row r="80" spans="6:10" x14ac:dyDescent="0.4">
      <c r="F80" s="9"/>
      <c r="H80" s="9"/>
      <c r="J80" s="8"/>
    </row>
    <row r="81" spans="6:10" x14ac:dyDescent="0.4">
      <c r="F81" s="9"/>
      <c r="H81" s="9"/>
      <c r="J81" s="8"/>
    </row>
    <row r="82" spans="6:10" x14ac:dyDescent="0.4">
      <c r="F82" s="9"/>
      <c r="H82" s="9"/>
      <c r="J82" s="8"/>
    </row>
    <row r="83" spans="6:10" x14ac:dyDescent="0.4">
      <c r="F83" s="9"/>
      <c r="H83" s="9"/>
      <c r="J83" s="8"/>
    </row>
    <row r="84" spans="6:10" x14ac:dyDescent="0.4">
      <c r="F84" s="9"/>
      <c r="H84" s="9"/>
      <c r="J84" s="8"/>
    </row>
    <row r="85" spans="6:10" x14ac:dyDescent="0.4">
      <c r="F85" s="9"/>
      <c r="H85" s="9"/>
      <c r="J85" s="8"/>
    </row>
    <row r="86" spans="6:10" x14ac:dyDescent="0.4">
      <c r="F86" s="9"/>
      <c r="H86" s="9"/>
      <c r="J86" s="8"/>
    </row>
    <row r="87" spans="6:10" x14ac:dyDescent="0.4">
      <c r="F87" s="9"/>
      <c r="H87" s="9"/>
    </row>
    <row r="88" spans="6:10" x14ac:dyDescent="0.4">
      <c r="F88" s="9"/>
      <c r="H88" s="9"/>
      <c r="J88" s="8"/>
    </row>
    <row r="89" spans="6:10" x14ac:dyDescent="0.4">
      <c r="F89" s="9"/>
      <c r="H89" s="9"/>
      <c r="J89" s="8"/>
    </row>
    <row r="90" spans="6:10" x14ac:dyDescent="0.4">
      <c r="F90" s="9"/>
      <c r="H90" s="9"/>
      <c r="J90" s="8"/>
    </row>
    <row r="91" spans="6:10" x14ac:dyDescent="0.4">
      <c r="F91" s="9"/>
      <c r="H91" s="9"/>
      <c r="J91" s="8"/>
    </row>
    <row r="92" spans="6:10" x14ac:dyDescent="0.4">
      <c r="F92" s="9"/>
      <c r="H92" s="9"/>
      <c r="J92" s="8"/>
    </row>
    <row r="93" spans="6:10" x14ac:dyDescent="0.4">
      <c r="F93" s="9"/>
      <c r="H93" s="9"/>
      <c r="J93" s="8"/>
    </row>
    <row r="94" spans="6:10" x14ac:dyDescent="0.4">
      <c r="F94" s="9"/>
      <c r="H94" s="9"/>
      <c r="J94" s="8"/>
    </row>
    <row r="95" spans="6:10" x14ac:dyDescent="0.4">
      <c r="F95" s="9"/>
      <c r="H95" s="9"/>
      <c r="J95" s="8"/>
    </row>
    <row r="96" spans="6:10" x14ac:dyDescent="0.4">
      <c r="F96" s="9"/>
      <c r="H96" s="9"/>
      <c r="J96" s="8"/>
    </row>
    <row r="97" spans="6:10" x14ac:dyDescent="0.4">
      <c r="F97" s="9"/>
      <c r="H97" s="9"/>
      <c r="J97" s="8"/>
    </row>
    <row r="98" spans="6:10" x14ac:dyDescent="0.4">
      <c r="F98" s="9"/>
      <c r="H98" s="9"/>
      <c r="J98" s="8"/>
    </row>
    <row r="99" spans="6:10" x14ac:dyDescent="0.4">
      <c r="F99" s="9"/>
      <c r="H99" s="9"/>
      <c r="J99" s="8"/>
    </row>
    <row r="100" spans="6:10" x14ac:dyDescent="0.4">
      <c r="F100" s="9"/>
      <c r="H100" s="9"/>
      <c r="J100" s="8"/>
    </row>
    <row r="101" spans="6:10" x14ac:dyDescent="0.4">
      <c r="F101" s="9"/>
      <c r="H101" s="9"/>
    </row>
    <row r="102" spans="6:10" x14ac:dyDescent="0.4">
      <c r="F102" s="9"/>
      <c r="H102" s="9"/>
      <c r="J102" s="8"/>
    </row>
    <row r="103" spans="6:10" x14ac:dyDescent="0.4">
      <c r="F103" s="9"/>
      <c r="H103" s="9"/>
      <c r="J103" s="8"/>
    </row>
    <row r="104" spans="6:10" x14ac:dyDescent="0.4">
      <c r="F104" s="9"/>
      <c r="H104" s="9"/>
      <c r="J104" s="8"/>
    </row>
    <row r="105" spans="6:10" x14ac:dyDescent="0.4">
      <c r="F105" s="9"/>
      <c r="H105" s="9"/>
      <c r="J105" s="8"/>
    </row>
    <row r="106" spans="6:10" x14ac:dyDescent="0.4">
      <c r="F106" s="9"/>
      <c r="H106" s="9"/>
      <c r="J106" s="8"/>
    </row>
    <row r="107" spans="6:10" x14ac:dyDescent="0.4">
      <c r="F107" s="9"/>
      <c r="H107" s="9"/>
      <c r="J107" s="8"/>
    </row>
    <row r="108" spans="6:10" x14ac:dyDescent="0.4">
      <c r="F108" s="9"/>
      <c r="H108" s="9"/>
      <c r="J108" s="8"/>
    </row>
    <row r="109" spans="6:10" x14ac:dyDescent="0.4">
      <c r="F109" s="9"/>
      <c r="H109" s="9"/>
      <c r="J109" s="8"/>
    </row>
    <row r="110" spans="6:10" x14ac:dyDescent="0.4">
      <c r="F110" s="9"/>
      <c r="H110" s="9"/>
      <c r="J110" s="8"/>
    </row>
    <row r="111" spans="6:10" x14ac:dyDescent="0.4">
      <c r="F111" s="9"/>
      <c r="H111" s="9"/>
      <c r="J111" s="8"/>
    </row>
    <row r="112" spans="6:10" x14ac:dyDescent="0.4">
      <c r="F112" s="9"/>
      <c r="H112" s="9"/>
      <c r="J112" s="8"/>
    </row>
    <row r="113" spans="6:10" x14ac:dyDescent="0.4">
      <c r="F113" s="9"/>
      <c r="H113" s="9"/>
      <c r="J113" s="8"/>
    </row>
    <row r="114" spans="6:10" x14ac:dyDescent="0.4">
      <c r="F114" s="9"/>
      <c r="H114" s="9"/>
      <c r="J114" s="8"/>
    </row>
    <row r="115" spans="6:10" x14ac:dyDescent="0.4">
      <c r="F115" s="9"/>
      <c r="H115" s="9"/>
      <c r="J115" s="8"/>
    </row>
    <row r="116" spans="6:10" x14ac:dyDescent="0.4">
      <c r="F116" s="9"/>
      <c r="H116" s="9"/>
      <c r="J116" s="8"/>
    </row>
    <row r="117" spans="6:10" x14ac:dyDescent="0.4">
      <c r="F117" s="9"/>
      <c r="H117" s="9"/>
      <c r="J117" s="8"/>
    </row>
    <row r="118" spans="6:10" x14ac:dyDescent="0.4">
      <c r="F118" s="9"/>
      <c r="H118" s="9"/>
      <c r="J118" s="8"/>
    </row>
    <row r="119" spans="6:10" x14ac:dyDescent="0.4">
      <c r="F119" s="9"/>
      <c r="H119" s="9"/>
      <c r="J119" s="8"/>
    </row>
    <row r="120" spans="6:10" x14ac:dyDescent="0.4">
      <c r="F120" s="9"/>
      <c r="H120" s="9"/>
      <c r="J120" s="8"/>
    </row>
    <row r="121" spans="6:10" x14ac:dyDescent="0.4">
      <c r="F121" s="9"/>
      <c r="H121" s="9"/>
      <c r="J121" s="8"/>
    </row>
    <row r="122" spans="6:10" x14ac:dyDescent="0.4">
      <c r="F122" s="9"/>
      <c r="H122" s="9"/>
    </row>
    <row r="123" spans="6:10" x14ac:dyDescent="0.4">
      <c r="F123" s="9"/>
      <c r="H123" s="9"/>
      <c r="J123" s="8"/>
    </row>
    <row r="124" spans="6:10" x14ac:dyDescent="0.4">
      <c r="F124" s="9"/>
      <c r="H124" s="9"/>
      <c r="J124" s="8"/>
    </row>
    <row r="125" spans="6:10" x14ac:dyDescent="0.4">
      <c r="F125" s="9"/>
      <c r="H125" s="9"/>
      <c r="J125" s="8"/>
    </row>
    <row r="126" spans="6:10" x14ac:dyDescent="0.4">
      <c r="F126" s="9"/>
      <c r="H126" s="9"/>
      <c r="J126" s="8"/>
    </row>
    <row r="127" spans="6:10" x14ac:dyDescent="0.4">
      <c r="F127" s="9"/>
      <c r="H127" s="9"/>
      <c r="J127" s="8"/>
    </row>
    <row r="128" spans="6:10" x14ac:dyDescent="0.4">
      <c r="F128" s="9"/>
      <c r="H128" s="9"/>
      <c r="J128" s="8"/>
    </row>
    <row r="129" spans="6:10" x14ac:dyDescent="0.4">
      <c r="F129" s="9"/>
      <c r="H129" s="9"/>
      <c r="J129" s="8"/>
    </row>
    <row r="130" spans="6:10" x14ac:dyDescent="0.4">
      <c r="F130" s="9"/>
      <c r="H130" s="9"/>
      <c r="J130" s="8"/>
    </row>
    <row r="131" spans="6:10" x14ac:dyDescent="0.4">
      <c r="F131" s="9"/>
      <c r="H131" s="9"/>
      <c r="J131" s="8"/>
    </row>
    <row r="132" spans="6:10" x14ac:dyDescent="0.4">
      <c r="F132" s="9"/>
      <c r="H132" s="9"/>
      <c r="J132" s="8"/>
    </row>
    <row r="133" spans="6:10" x14ac:dyDescent="0.4">
      <c r="F133" s="9"/>
      <c r="H133" s="9"/>
      <c r="J133" s="8"/>
    </row>
    <row r="134" spans="6:10" x14ac:dyDescent="0.4">
      <c r="F134" s="9"/>
      <c r="H134" s="9"/>
      <c r="J134" s="8"/>
    </row>
    <row r="135" spans="6:10" x14ac:dyDescent="0.4">
      <c r="F135" s="9"/>
      <c r="H135" s="9"/>
      <c r="J135" s="8"/>
    </row>
    <row r="136" spans="6:10" x14ac:dyDescent="0.4">
      <c r="F136" s="9"/>
      <c r="H136" s="9"/>
      <c r="J136" s="8"/>
    </row>
    <row r="137" spans="6:10" x14ac:dyDescent="0.4">
      <c r="F137" s="9"/>
      <c r="H137" s="9"/>
    </row>
    <row r="138" spans="6:10" x14ac:dyDescent="0.4">
      <c r="F138" s="9"/>
      <c r="H138" s="9"/>
      <c r="J138" s="8"/>
    </row>
    <row r="139" spans="6:10" x14ac:dyDescent="0.4">
      <c r="F139" s="9"/>
      <c r="H139" s="9"/>
      <c r="J139" s="8"/>
    </row>
    <row r="140" spans="6:10" x14ac:dyDescent="0.4">
      <c r="F140" s="9"/>
      <c r="H140" s="9"/>
      <c r="J140" s="8"/>
    </row>
    <row r="141" spans="6:10" x14ac:dyDescent="0.4">
      <c r="F141" s="9"/>
      <c r="H141" s="9"/>
      <c r="J141" s="8"/>
    </row>
    <row r="142" spans="6:10" x14ac:dyDescent="0.4">
      <c r="F142" s="9"/>
      <c r="H142" s="9"/>
      <c r="J142" s="8"/>
    </row>
    <row r="143" spans="6:10" x14ac:dyDescent="0.4">
      <c r="F143" s="9"/>
      <c r="H143" s="9"/>
      <c r="J143" s="8"/>
    </row>
    <row r="144" spans="6:10" x14ac:dyDescent="0.4">
      <c r="F144" s="9"/>
      <c r="H144" s="9"/>
      <c r="J144" s="8"/>
    </row>
    <row r="145" spans="6:10" x14ac:dyDescent="0.4">
      <c r="F145" s="9"/>
      <c r="H145" s="9"/>
      <c r="J145" s="8"/>
    </row>
    <row r="146" spans="6:10" x14ac:dyDescent="0.4">
      <c r="F146" s="9"/>
      <c r="H146" s="9"/>
      <c r="J146" s="8"/>
    </row>
    <row r="147" spans="6:10" x14ac:dyDescent="0.4">
      <c r="F147" s="9"/>
      <c r="H147" s="9"/>
      <c r="J147" s="8"/>
    </row>
    <row r="148" spans="6:10" x14ac:dyDescent="0.4">
      <c r="F148" s="9"/>
      <c r="H148" s="9"/>
      <c r="J148" s="8"/>
    </row>
    <row r="149" spans="6:10" x14ac:dyDescent="0.4">
      <c r="F149" s="9"/>
      <c r="H149" s="9"/>
      <c r="J149" s="8"/>
    </row>
    <row r="150" spans="6:10" x14ac:dyDescent="0.4">
      <c r="F150" s="9"/>
      <c r="H150" s="9"/>
      <c r="J150" s="8"/>
    </row>
    <row r="151" spans="6:10" x14ac:dyDescent="0.4">
      <c r="F151" s="9"/>
      <c r="H151" s="9"/>
      <c r="J151" s="8"/>
    </row>
    <row r="152" spans="6:10" x14ac:dyDescent="0.4">
      <c r="F152" s="9"/>
      <c r="H152" s="9"/>
      <c r="J152" s="8"/>
    </row>
    <row r="153" spans="6:10" x14ac:dyDescent="0.4">
      <c r="F153" s="9"/>
      <c r="H153" s="9"/>
      <c r="J153" s="8"/>
    </row>
    <row r="154" spans="6:10" x14ac:dyDescent="0.4">
      <c r="F154" s="9"/>
      <c r="H154" s="9"/>
      <c r="J154" s="8"/>
    </row>
    <row r="155" spans="6:10" x14ac:dyDescent="0.4">
      <c r="F155" s="9"/>
      <c r="H155" s="9"/>
      <c r="J155" s="8"/>
    </row>
    <row r="156" spans="6:10" x14ac:dyDescent="0.4">
      <c r="F156" s="9"/>
      <c r="H156" s="9"/>
      <c r="J156" s="8"/>
    </row>
    <row r="157" spans="6:10" x14ac:dyDescent="0.4">
      <c r="F157" s="9"/>
      <c r="H157" s="9"/>
      <c r="J157" s="8"/>
    </row>
    <row r="158" spans="6:10" x14ac:dyDescent="0.4">
      <c r="F158" s="9"/>
      <c r="H158" s="9"/>
      <c r="J158" s="8"/>
    </row>
    <row r="159" spans="6:10" x14ac:dyDescent="0.4">
      <c r="F159" s="9"/>
      <c r="H159" s="9"/>
    </row>
    <row r="160" spans="6:10" x14ac:dyDescent="0.4">
      <c r="F160" s="9"/>
      <c r="H160" s="9"/>
      <c r="J160" s="8"/>
    </row>
    <row r="161" spans="6:10" x14ac:dyDescent="0.4">
      <c r="F161" s="9"/>
      <c r="H161" s="9"/>
      <c r="J161" s="8"/>
    </row>
    <row r="162" spans="6:10" x14ac:dyDescent="0.4">
      <c r="F162" s="9"/>
      <c r="H162" s="9"/>
      <c r="J162" s="8"/>
    </row>
    <row r="163" spans="6:10" x14ac:dyDescent="0.4">
      <c r="F163" s="9"/>
      <c r="H163" s="9"/>
      <c r="J163" s="8"/>
    </row>
    <row r="164" spans="6:10" x14ac:dyDescent="0.4">
      <c r="F164" s="9"/>
      <c r="H164" s="9"/>
      <c r="J164" s="8"/>
    </row>
    <row r="165" spans="6:10" x14ac:dyDescent="0.4">
      <c r="F165" s="9"/>
      <c r="H165" s="9"/>
      <c r="J165" s="8"/>
    </row>
    <row r="166" spans="6:10" x14ac:dyDescent="0.4">
      <c r="F166" s="9"/>
      <c r="H166" s="9"/>
      <c r="J166" s="8"/>
    </row>
    <row r="167" spans="6:10" x14ac:dyDescent="0.4">
      <c r="F167" s="9"/>
      <c r="H167" s="9"/>
      <c r="J167" s="8"/>
    </row>
    <row r="168" spans="6:10" x14ac:dyDescent="0.4">
      <c r="F168" s="9"/>
      <c r="H168" s="9"/>
      <c r="J168" s="8"/>
    </row>
    <row r="169" spans="6:10" x14ac:dyDescent="0.4">
      <c r="F169" s="9"/>
      <c r="H169" s="9"/>
      <c r="J169" s="8"/>
    </row>
    <row r="170" spans="6:10" x14ac:dyDescent="0.4">
      <c r="F170" s="9"/>
      <c r="H170" s="9"/>
      <c r="J170" s="8"/>
    </row>
    <row r="171" spans="6:10" x14ac:dyDescent="0.4">
      <c r="F171" s="9"/>
      <c r="H171" s="9"/>
      <c r="J171" s="8"/>
    </row>
    <row r="172" spans="6:10" x14ac:dyDescent="0.4">
      <c r="F172" s="9"/>
      <c r="H172" s="9"/>
      <c r="J172" s="8"/>
    </row>
    <row r="173" spans="6:10" x14ac:dyDescent="0.4">
      <c r="F173" s="9"/>
      <c r="H173" s="9"/>
      <c r="J173" s="8"/>
    </row>
    <row r="174" spans="6:10" x14ac:dyDescent="0.4">
      <c r="F174" s="9"/>
      <c r="H174" s="9"/>
      <c r="J174" s="8"/>
    </row>
    <row r="175" spans="6:10" x14ac:dyDescent="0.4">
      <c r="F175" s="9"/>
      <c r="H175" s="9"/>
    </row>
    <row r="176" spans="6:10" x14ac:dyDescent="0.4">
      <c r="F176" s="9"/>
      <c r="H176" s="9"/>
      <c r="J176" s="8"/>
    </row>
    <row r="177" spans="6:10" x14ac:dyDescent="0.4">
      <c r="F177" s="9"/>
      <c r="H177" s="9"/>
      <c r="J177" s="8"/>
    </row>
    <row r="178" spans="6:10" x14ac:dyDescent="0.4">
      <c r="F178" s="9"/>
      <c r="H178" s="9"/>
      <c r="J178" s="8"/>
    </row>
    <row r="179" spans="6:10" x14ac:dyDescent="0.4">
      <c r="F179" s="9"/>
      <c r="H179" s="9"/>
      <c r="J179" s="8"/>
    </row>
    <row r="180" spans="6:10" x14ac:dyDescent="0.4">
      <c r="F180" s="9"/>
      <c r="H180" s="9"/>
      <c r="J180" s="8"/>
    </row>
    <row r="181" spans="6:10" x14ac:dyDescent="0.4">
      <c r="F181" s="9"/>
      <c r="H181" s="9"/>
      <c r="J181" s="8"/>
    </row>
    <row r="182" spans="6:10" x14ac:dyDescent="0.4">
      <c r="F182" s="9"/>
      <c r="H182" s="9"/>
      <c r="J182" s="8"/>
    </row>
    <row r="183" spans="6:10" x14ac:dyDescent="0.4">
      <c r="F183" s="9"/>
      <c r="H183" s="9"/>
      <c r="J183" s="8"/>
    </row>
    <row r="184" spans="6:10" x14ac:dyDescent="0.4">
      <c r="F184" s="9"/>
      <c r="H184" s="9"/>
      <c r="J184" s="8"/>
    </row>
    <row r="185" spans="6:10" x14ac:dyDescent="0.4">
      <c r="F185" s="9"/>
      <c r="H185" s="9"/>
      <c r="J185" s="8"/>
    </row>
    <row r="186" spans="6:10" x14ac:dyDescent="0.4">
      <c r="F186" s="9"/>
      <c r="H186" s="9"/>
      <c r="J186" s="8"/>
    </row>
    <row r="187" spans="6:10" x14ac:dyDescent="0.4">
      <c r="F187" s="9"/>
      <c r="H187" s="9"/>
      <c r="J187" s="8"/>
    </row>
    <row r="188" spans="6:10" x14ac:dyDescent="0.4">
      <c r="F188" s="9"/>
      <c r="H188" s="9"/>
      <c r="J188" s="8"/>
    </row>
    <row r="189" spans="6:10" x14ac:dyDescent="0.4">
      <c r="F189" s="9"/>
      <c r="H189" s="9"/>
      <c r="J189" s="8"/>
    </row>
    <row r="190" spans="6:10" x14ac:dyDescent="0.4">
      <c r="F190" s="9"/>
      <c r="H190" s="9"/>
      <c r="J190" s="8"/>
    </row>
    <row r="191" spans="6:10" x14ac:dyDescent="0.4">
      <c r="F191" s="9"/>
      <c r="H191" s="9"/>
      <c r="J191" s="8"/>
    </row>
    <row r="192" spans="6:10" x14ac:dyDescent="0.4">
      <c r="F192" s="9"/>
      <c r="H192" s="9"/>
      <c r="J192" s="8"/>
    </row>
    <row r="193" spans="6:10" x14ac:dyDescent="0.4">
      <c r="F193" s="9"/>
      <c r="H193" s="9"/>
    </row>
    <row r="194" spans="6:10" x14ac:dyDescent="0.4">
      <c r="F194" s="9"/>
      <c r="H194" s="9"/>
      <c r="J194" s="8"/>
    </row>
    <row r="195" spans="6:10" x14ac:dyDescent="0.4">
      <c r="F195" s="9"/>
      <c r="H195" s="9"/>
      <c r="J195" s="8"/>
    </row>
    <row r="196" spans="6:10" x14ac:dyDescent="0.4">
      <c r="F196" s="9"/>
      <c r="H196" s="9"/>
      <c r="J196" s="8"/>
    </row>
    <row r="197" spans="6:10" x14ac:dyDescent="0.4">
      <c r="F197" s="9"/>
      <c r="H197" s="9"/>
      <c r="J197" s="8"/>
    </row>
    <row r="198" spans="6:10" x14ac:dyDescent="0.4">
      <c r="F198" s="9"/>
      <c r="H198" s="9"/>
      <c r="J198" s="8"/>
    </row>
    <row r="199" spans="6:10" x14ac:dyDescent="0.4">
      <c r="F199" s="9"/>
      <c r="H199" s="9"/>
      <c r="J199" s="8"/>
    </row>
    <row r="200" spans="6:10" x14ac:dyDescent="0.4">
      <c r="F200" s="9"/>
      <c r="H200" s="9"/>
      <c r="J200" s="8"/>
    </row>
    <row r="201" spans="6:10" x14ac:dyDescent="0.4">
      <c r="F201" s="9"/>
      <c r="H201" s="9"/>
      <c r="J201" s="8"/>
    </row>
    <row r="202" spans="6:10" x14ac:dyDescent="0.4">
      <c r="F202" s="9"/>
      <c r="H202" s="9"/>
      <c r="J202" s="8"/>
    </row>
    <row r="203" spans="6:10" x14ac:dyDescent="0.4">
      <c r="F203" s="9"/>
      <c r="H203" s="9"/>
      <c r="J203" s="8"/>
    </row>
    <row r="204" spans="6:10" x14ac:dyDescent="0.4">
      <c r="F204" s="9"/>
      <c r="H204" s="9"/>
      <c r="J204" s="8"/>
    </row>
    <row r="205" spans="6:10" x14ac:dyDescent="0.4">
      <c r="F205" s="9"/>
      <c r="H205" s="9"/>
      <c r="J205" s="8"/>
    </row>
    <row r="206" spans="6:10" x14ac:dyDescent="0.4">
      <c r="F206" s="9"/>
      <c r="H206" s="9"/>
      <c r="J206" s="8"/>
    </row>
    <row r="207" spans="6:10" x14ac:dyDescent="0.4">
      <c r="F207" s="9"/>
      <c r="H207" s="9"/>
      <c r="J207" s="8"/>
    </row>
    <row r="208" spans="6:10" x14ac:dyDescent="0.4">
      <c r="F208" s="9"/>
      <c r="H208" s="9"/>
      <c r="J208" s="8"/>
    </row>
    <row r="209" spans="6:10" x14ac:dyDescent="0.4">
      <c r="F209" s="9"/>
      <c r="H209" s="9"/>
      <c r="J209" s="8"/>
    </row>
    <row r="210" spans="6:10" x14ac:dyDescent="0.4">
      <c r="F210" s="9"/>
      <c r="H210" s="9"/>
    </row>
    <row r="211" spans="6:10" x14ac:dyDescent="0.4">
      <c r="F211" s="9"/>
      <c r="H211" s="9"/>
      <c r="J211" s="8"/>
    </row>
    <row r="212" spans="6:10" x14ac:dyDescent="0.4">
      <c r="F212" s="9"/>
      <c r="H212" s="9"/>
      <c r="J212" s="8"/>
    </row>
    <row r="213" spans="6:10" x14ac:dyDescent="0.4">
      <c r="F213" s="9"/>
      <c r="H213" s="9"/>
      <c r="J213" s="8"/>
    </row>
    <row r="214" spans="6:10" x14ac:dyDescent="0.4">
      <c r="F214" s="9"/>
      <c r="H214" s="9"/>
      <c r="J214" s="8"/>
    </row>
    <row r="215" spans="6:10" x14ac:dyDescent="0.4">
      <c r="F215" s="9"/>
      <c r="H215" s="9"/>
      <c r="J215" s="8"/>
    </row>
    <row r="216" spans="6:10" x14ac:dyDescent="0.4">
      <c r="F216" s="9"/>
      <c r="H216" s="9"/>
      <c r="J216" s="8"/>
    </row>
    <row r="217" spans="6:10" x14ac:dyDescent="0.4">
      <c r="F217" s="9"/>
      <c r="H217" s="9"/>
      <c r="J217" s="8"/>
    </row>
    <row r="218" spans="6:10" x14ac:dyDescent="0.4">
      <c r="F218" s="9"/>
      <c r="H218" s="9"/>
      <c r="J218" s="8"/>
    </row>
    <row r="219" spans="6:10" x14ac:dyDescent="0.4">
      <c r="F219" s="9"/>
      <c r="H219" s="9"/>
      <c r="J219" s="8"/>
    </row>
    <row r="220" spans="6:10" x14ac:dyDescent="0.4">
      <c r="F220" s="9"/>
      <c r="H220" s="9"/>
      <c r="J220" s="8"/>
    </row>
    <row r="221" spans="6:10" x14ac:dyDescent="0.4">
      <c r="F221" s="9"/>
      <c r="H221" s="9"/>
      <c r="J221" s="8"/>
    </row>
    <row r="222" spans="6:10" x14ac:dyDescent="0.4">
      <c r="F222" s="9"/>
      <c r="H222" s="9"/>
      <c r="J222" s="8"/>
    </row>
    <row r="223" spans="6:10" x14ac:dyDescent="0.4">
      <c r="F223" s="9"/>
      <c r="H223" s="9"/>
      <c r="J223" s="8"/>
    </row>
    <row r="224" spans="6:10" x14ac:dyDescent="0.4">
      <c r="F224" s="9"/>
      <c r="H224" s="9"/>
    </row>
    <row r="225" spans="6:10" x14ac:dyDescent="0.4">
      <c r="F225" s="9"/>
      <c r="H225" s="9"/>
      <c r="J225" s="8"/>
    </row>
    <row r="226" spans="6:10" x14ac:dyDescent="0.4">
      <c r="F226" s="9"/>
      <c r="H226" s="9"/>
      <c r="J226" s="8"/>
    </row>
    <row r="227" spans="6:10" x14ac:dyDescent="0.4">
      <c r="F227" s="9"/>
      <c r="H227" s="9"/>
      <c r="J227" s="8"/>
    </row>
    <row r="228" spans="6:10" x14ac:dyDescent="0.4">
      <c r="F228" s="9"/>
      <c r="H228" s="9"/>
      <c r="J228" s="8"/>
    </row>
    <row r="229" spans="6:10" x14ac:dyDescent="0.4">
      <c r="F229" s="9"/>
      <c r="H229" s="9"/>
      <c r="J229" s="8"/>
    </row>
    <row r="230" spans="6:10" x14ac:dyDescent="0.4">
      <c r="F230" s="9"/>
      <c r="H230" s="9"/>
      <c r="J230" s="8"/>
    </row>
    <row r="231" spans="6:10" x14ac:dyDescent="0.4">
      <c r="F231" s="9"/>
      <c r="H231" s="9"/>
      <c r="J231" s="8"/>
    </row>
    <row r="232" spans="6:10" x14ac:dyDescent="0.4">
      <c r="F232" s="9"/>
      <c r="H232" s="9"/>
      <c r="J232" s="8"/>
    </row>
    <row r="233" spans="6:10" x14ac:dyDescent="0.4">
      <c r="F233" s="9"/>
      <c r="H233" s="9"/>
      <c r="J233" s="8"/>
    </row>
    <row r="234" spans="6:10" x14ac:dyDescent="0.4">
      <c r="F234" s="9"/>
      <c r="H234" s="9"/>
      <c r="J234" s="8"/>
    </row>
    <row r="235" spans="6:10" x14ac:dyDescent="0.4">
      <c r="F235" s="9"/>
      <c r="H235" s="9"/>
      <c r="J235" s="8"/>
    </row>
    <row r="236" spans="6:10" x14ac:dyDescent="0.4">
      <c r="F236" s="9"/>
      <c r="H236" s="9"/>
      <c r="J23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BDF4-540E-4D74-9D65-820009E3E141}">
  <dimension ref="E1:L9"/>
  <sheetViews>
    <sheetView workbookViewId="0">
      <selection activeCell="E1" sqref="E1:L9"/>
    </sheetView>
  </sheetViews>
  <sheetFormatPr defaultRowHeight="14.6" x14ac:dyDescent="0.4"/>
  <cols>
    <col min="7" max="7" width="16.3828125" style="10" bestFit="1" customWidth="1"/>
    <col min="8" max="8" width="15.4609375" style="10" bestFit="1" customWidth="1"/>
    <col min="9" max="9" width="9.69140625" style="10" bestFit="1" customWidth="1"/>
    <col min="10" max="10" width="10.4609375" style="10" bestFit="1" customWidth="1"/>
    <col min="11" max="11" width="5.3828125" style="10" bestFit="1" customWidth="1"/>
    <col min="12" max="12" width="13.07421875" style="10" bestFit="1" customWidth="1"/>
  </cols>
  <sheetData>
    <row r="1" spans="5:12" x14ac:dyDescent="0.4">
      <c r="E1" t="s">
        <v>116</v>
      </c>
    </row>
    <row r="2" spans="5:12" x14ac:dyDescent="0.4">
      <c r="E2" t="s">
        <v>0</v>
      </c>
      <c r="F2" t="s">
        <v>1</v>
      </c>
      <c r="G2" s="10" t="s">
        <v>2</v>
      </c>
      <c r="H2" s="10" t="s">
        <v>3</v>
      </c>
      <c r="I2" s="10" t="s">
        <v>4</v>
      </c>
      <c r="J2" s="10" t="s">
        <v>5</v>
      </c>
      <c r="K2" s="10" t="s">
        <v>6</v>
      </c>
      <c r="L2" s="10" t="s">
        <v>7</v>
      </c>
    </row>
    <row r="3" spans="5:12" x14ac:dyDescent="0.4">
      <c r="E3" t="s">
        <v>8</v>
      </c>
      <c r="F3" t="s">
        <v>85</v>
      </c>
      <c r="G3" s="10">
        <v>660384969</v>
      </c>
      <c r="H3" s="10">
        <v>46388.541666666664</v>
      </c>
      <c r="I3" s="10" t="s">
        <v>86</v>
      </c>
      <c r="J3" s="10" t="s">
        <v>117</v>
      </c>
      <c r="K3" s="10" t="s">
        <v>88</v>
      </c>
      <c r="L3" s="10" t="s">
        <v>118</v>
      </c>
    </row>
    <row r="4" spans="5:12" x14ac:dyDescent="0.4">
      <c r="E4" t="s">
        <v>8</v>
      </c>
      <c r="F4" t="s">
        <v>12</v>
      </c>
      <c r="G4" s="10" t="s">
        <v>90</v>
      </c>
      <c r="H4" s="10">
        <v>46388.666666666664</v>
      </c>
      <c r="I4" s="10" t="s">
        <v>14</v>
      </c>
      <c r="J4" s="10" t="s">
        <v>91</v>
      </c>
      <c r="K4" s="10" t="s">
        <v>92</v>
      </c>
      <c r="L4" s="10" t="s">
        <v>93</v>
      </c>
    </row>
    <row r="5" spans="5:12" x14ac:dyDescent="0.4">
      <c r="E5" t="s">
        <v>8</v>
      </c>
      <c r="F5" t="s">
        <v>16</v>
      </c>
      <c r="G5" s="10">
        <v>17127519</v>
      </c>
      <c r="H5" s="10">
        <v>46753.958333333336</v>
      </c>
      <c r="I5" s="10" t="s">
        <v>94</v>
      </c>
      <c r="J5" s="10" t="s">
        <v>119</v>
      </c>
      <c r="K5" s="10" t="s">
        <v>92</v>
      </c>
      <c r="L5" s="10" t="s">
        <v>120</v>
      </c>
    </row>
    <row r="6" spans="5:12" x14ac:dyDescent="0.4">
      <c r="E6" t="s">
        <v>8</v>
      </c>
      <c r="F6" t="s">
        <v>97</v>
      </c>
      <c r="G6" s="10" t="s">
        <v>98</v>
      </c>
      <c r="H6" s="10">
        <v>46753.5</v>
      </c>
      <c r="I6" s="10" t="s">
        <v>99</v>
      </c>
      <c r="J6" s="10" t="s">
        <v>100</v>
      </c>
      <c r="K6" s="10" t="s">
        <v>92</v>
      </c>
      <c r="L6" s="10" t="s">
        <v>121</v>
      </c>
    </row>
    <row r="7" spans="5:12" x14ac:dyDescent="0.4">
      <c r="E7" t="s">
        <v>8</v>
      </c>
      <c r="F7" t="s">
        <v>102</v>
      </c>
      <c r="G7" s="10" t="s">
        <v>103</v>
      </c>
      <c r="H7" s="10">
        <v>46753.583333333336</v>
      </c>
      <c r="I7" s="10" t="s">
        <v>104</v>
      </c>
      <c r="J7" s="10" t="s">
        <v>122</v>
      </c>
      <c r="K7" s="10" t="s">
        <v>106</v>
      </c>
      <c r="L7" s="10" t="s">
        <v>123</v>
      </c>
    </row>
    <row r="8" spans="5:12" x14ac:dyDescent="0.4">
      <c r="E8" t="s">
        <v>8</v>
      </c>
      <c r="F8" t="s">
        <v>22</v>
      </c>
      <c r="G8" s="10">
        <v>2380707</v>
      </c>
      <c r="H8" s="10">
        <v>46753.75</v>
      </c>
      <c r="I8" s="10" t="s">
        <v>108</v>
      </c>
      <c r="J8" s="10" t="s">
        <v>124</v>
      </c>
      <c r="K8" s="10" t="s">
        <v>110</v>
      </c>
      <c r="L8" s="10" t="s">
        <v>125</v>
      </c>
    </row>
    <row r="9" spans="5:12" x14ac:dyDescent="0.4">
      <c r="E9" t="s">
        <v>8</v>
      </c>
      <c r="F9" t="s">
        <v>112</v>
      </c>
      <c r="G9" s="10">
        <v>9018339</v>
      </c>
      <c r="H9" s="10">
        <v>46753.75</v>
      </c>
      <c r="I9" s="10" t="s">
        <v>113</v>
      </c>
      <c r="J9" s="10" t="s">
        <v>126</v>
      </c>
      <c r="K9" s="10" t="s">
        <v>88</v>
      </c>
      <c r="L9" s="10" t="s">
        <v>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173A5-4D5D-44C6-B5AC-1C9366926C09}">
  <sheetPr filterMode="1"/>
  <dimension ref="D1:AJ1476"/>
  <sheetViews>
    <sheetView tabSelected="1" topLeftCell="I1" workbookViewId="0">
      <pane ySplit="12" topLeftCell="A193" activePane="bottomLeft" state="frozen"/>
      <selection pane="bottomLeft" activeCell="AI1476" sqref="AI1476"/>
    </sheetView>
  </sheetViews>
  <sheetFormatPr defaultRowHeight="14.6" x14ac:dyDescent="0.4"/>
  <cols>
    <col min="4" max="4" width="6.4609375" bestFit="1" customWidth="1"/>
    <col min="5" max="5" width="5.3828125" bestFit="1" customWidth="1"/>
    <col min="6" max="8" width="15.4609375" bestFit="1" customWidth="1"/>
    <col min="9" max="9" width="11.3046875" bestFit="1" customWidth="1"/>
    <col min="10" max="10" width="13.4609375" bestFit="1" customWidth="1"/>
    <col min="11" max="11" width="9.84375" bestFit="1" customWidth="1"/>
    <col min="12" max="12" width="13.07421875" bestFit="1" customWidth="1"/>
    <col min="13" max="13" width="11.84375" bestFit="1" customWidth="1"/>
    <col min="14" max="14" width="7.765625" bestFit="1" customWidth="1"/>
    <col min="15" max="15" width="20.84375" bestFit="1" customWidth="1"/>
  </cols>
  <sheetData>
    <row r="1" spans="4:34" x14ac:dyDescent="0.4">
      <c r="O1" t="s">
        <v>132</v>
      </c>
      <c r="P1" t="s">
        <v>129</v>
      </c>
      <c r="Q1" t="s">
        <v>128</v>
      </c>
      <c r="AC1">
        <f>AB1*G1</f>
        <v>0</v>
      </c>
    </row>
    <row r="2" spans="4:34" x14ac:dyDescent="0.4">
      <c r="D2" t="s">
        <v>0</v>
      </c>
      <c r="E2" t="s">
        <v>1</v>
      </c>
      <c r="F2" t="s">
        <v>2</v>
      </c>
      <c r="G2" t="s">
        <v>3</v>
      </c>
      <c r="H2" t="s">
        <v>4</v>
      </c>
      <c r="I2" t="s">
        <v>5</v>
      </c>
      <c r="J2" t="s">
        <v>128</v>
      </c>
      <c r="K2" t="s">
        <v>6</v>
      </c>
      <c r="L2" t="s">
        <v>7</v>
      </c>
      <c r="O2">
        <v>16500</v>
      </c>
      <c r="P2">
        <v>10</v>
      </c>
      <c r="Q2">
        <f>O2/P2</f>
        <v>1650</v>
      </c>
      <c r="R2">
        <v>1E-3</v>
      </c>
    </row>
    <row r="3" spans="4:34" x14ac:dyDescent="0.4">
      <c r="D3" t="s">
        <v>8</v>
      </c>
      <c r="E3" t="s">
        <v>85</v>
      </c>
      <c r="F3">
        <v>681.5</v>
      </c>
      <c r="G3" s="9">
        <v>46388.541666666664</v>
      </c>
      <c r="H3">
        <v>3.2570000000000001</v>
      </c>
      <c r="I3">
        <v>3.0840000000000001</v>
      </c>
      <c r="J3" s="12">
        <v>2219.66</v>
      </c>
      <c r="K3">
        <v>3.24</v>
      </c>
      <c r="L3">
        <v>-121.14</v>
      </c>
      <c r="M3">
        <f>I3*F3</f>
        <v>2101.7460000000001</v>
      </c>
      <c r="R3" t="s">
        <v>133</v>
      </c>
    </row>
    <row r="4" spans="4:34" x14ac:dyDescent="0.4">
      <c r="D4" t="s">
        <v>8</v>
      </c>
      <c r="E4" t="s">
        <v>12</v>
      </c>
      <c r="F4" s="12">
        <v>35634.199999999997</v>
      </c>
      <c r="G4" s="9">
        <v>46388.666666666664</v>
      </c>
      <c r="H4">
        <v>5.8599999999999999E-2</v>
      </c>
      <c r="I4">
        <v>5.6000000000000001E-2</v>
      </c>
      <c r="J4" s="12">
        <v>2088.17</v>
      </c>
      <c r="K4">
        <v>3.06</v>
      </c>
      <c r="L4">
        <v>-95.71</v>
      </c>
      <c r="M4">
        <f t="shared" ref="M4:M9" si="0">I4*F4</f>
        <v>1995.5151999999998</v>
      </c>
    </row>
    <row r="5" spans="4:34" x14ac:dyDescent="0.4">
      <c r="D5" t="s">
        <v>8</v>
      </c>
      <c r="E5" t="s">
        <v>16</v>
      </c>
      <c r="F5">
        <v>16.850999999999999</v>
      </c>
      <c r="G5" s="9">
        <v>46753.958333333336</v>
      </c>
      <c r="H5">
        <v>125.58</v>
      </c>
      <c r="I5">
        <v>122.59</v>
      </c>
      <c r="J5" s="12">
        <v>2116.17</v>
      </c>
      <c r="K5">
        <v>3.14</v>
      </c>
      <c r="L5">
        <v>-53.52</v>
      </c>
      <c r="M5">
        <f t="shared" si="0"/>
        <v>2065.7640900000001</v>
      </c>
    </row>
    <row r="6" spans="4:34" x14ac:dyDescent="0.4">
      <c r="D6" t="s">
        <v>8</v>
      </c>
      <c r="E6" t="s">
        <v>97</v>
      </c>
      <c r="F6" s="12">
        <v>64842580.700000003</v>
      </c>
      <c r="G6" s="9">
        <v>46753.5</v>
      </c>
      <c r="H6">
        <v>3.8000000000000002E-5</v>
      </c>
      <c r="I6">
        <v>3.6999999999999998E-5</v>
      </c>
      <c r="J6" s="12">
        <v>2454.94</v>
      </c>
      <c r="K6">
        <v>3.64</v>
      </c>
      <c r="L6">
        <v>-59.41</v>
      </c>
      <c r="M6">
        <f t="shared" si="0"/>
        <v>2399.1754858999998</v>
      </c>
    </row>
    <row r="7" spans="4:34" x14ac:dyDescent="0.4">
      <c r="D7" t="s">
        <v>8</v>
      </c>
      <c r="E7" t="s">
        <v>102</v>
      </c>
      <c r="F7" s="12">
        <v>6856.4</v>
      </c>
      <c r="G7" s="9">
        <v>46753.583333333336</v>
      </c>
      <c r="H7">
        <v>0.36130000000000001</v>
      </c>
      <c r="I7">
        <v>0.34599999999999997</v>
      </c>
      <c r="J7" s="12">
        <v>2477.23</v>
      </c>
      <c r="K7">
        <v>3.64</v>
      </c>
      <c r="L7">
        <v>-108.54</v>
      </c>
      <c r="M7">
        <f t="shared" si="0"/>
        <v>2372.3143999999998</v>
      </c>
      <c r="U7" t="s">
        <v>137</v>
      </c>
      <c r="AB7" t="s">
        <v>138</v>
      </c>
    </row>
    <row r="8" spans="4:34" x14ac:dyDescent="0.4">
      <c r="D8" t="s">
        <v>8</v>
      </c>
      <c r="E8" t="s">
        <v>22</v>
      </c>
      <c r="F8">
        <v>3.0070000000000001</v>
      </c>
      <c r="G8" s="9">
        <v>46753.75</v>
      </c>
      <c r="H8">
        <v>903.46</v>
      </c>
      <c r="I8">
        <v>892.71</v>
      </c>
      <c r="J8" s="12">
        <v>2717.6</v>
      </c>
      <c r="K8">
        <v>4.05</v>
      </c>
      <c r="L8">
        <v>-36.380000000000003</v>
      </c>
      <c r="M8">
        <f t="shared" si="0"/>
        <v>2684.3789700000002</v>
      </c>
    </row>
    <row r="9" spans="4:34" x14ac:dyDescent="0.4">
      <c r="D9" t="s">
        <v>8</v>
      </c>
      <c r="E9" t="s">
        <v>112</v>
      </c>
      <c r="F9">
        <v>11.8667</v>
      </c>
      <c r="G9" s="9">
        <v>46753.75</v>
      </c>
      <c r="H9">
        <v>238.5</v>
      </c>
      <c r="I9">
        <v>226.3</v>
      </c>
      <c r="J9" s="12">
        <v>2830.21</v>
      </c>
      <c r="K9">
        <v>4.1399999999999997</v>
      </c>
      <c r="L9">
        <v>-148.91</v>
      </c>
      <c r="M9">
        <f t="shared" si="0"/>
        <v>2685.4342099999999</v>
      </c>
    </row>
    <row r="10" spans="4:34" x14ac:dyDescent="0.4">
      <c r="L10">
        <f>SUM(L3:L9)</f>
        <v>-623.61</v>
      </c>
      <c r="Y10">
        <f>SUBTOTAL(9,Y13:Y226)</f>
        <v>4716.9770124659763</v>
      </c>
      <c r="AF10">
        <f>SUBTOTAL(9,AF13:AF226)</f>
        <v>4912.7950155771032</v>
      </c>
      <c r="AG10">
        <f>O2+AF10</f>
        <v>21412.795015577103</v>
      </c>
      <c r="AH10">
        <f>AG10-AG193</f>
        <v>2423.5074314319754</v>
      </c>
    </row>
    <row r="11" spans="4:34" x14ac:dyDescent="0.4">
      <c r="M11">
        <f>SUBTOTAL(9,M13:M2226)</f>
        <v>20472.080000000009</v>
      </c>
    </row>
    <row r="12" spans="4:34" x14ac:dyDescent="0.4">
      <c r="D12" t="s">
        <v>29</v>
      </c>
      <c r="E12" t="s">
        <v>30</v>
      </c>
      <c r="F12" t="s">
        <v>3</v>
      </c>
      <c r="G12" t="s">
        <v>4</v>
      </c>
      <c r="H12" t="s">
        <v>31</v>
      </c>
      <c r="I12" t="s">
        <v>32</v>
      </c>
      <c r="J12" t="s">
        <v>2</v>
      </c>
      <c r="K12" t="s">
        <v>128</v>
      </c>
      <c r="L12" t="s">
        <v>6</v>
      </c>
      <c r="M12" t="s">
        <v>33</v>
      </c>
      <c r="N12" t="s">
        <v>34</v>
      </c>
      <c r="O12" t="s">
        <v>35</v>
      </c>
      <c r="S12" t="s">
        <v>128</v>
      </c>
      <c r="U12" t="s">
        <v>130</v>
      </c>
      <c r="V12" t="s">
        <v>136</v>
      </c>
      <c r="W12" t="s">
        <v>33</v>
      </c>
      <c r="X12" t="s">
        <v>131</v>
      </c>
      <c r="Y12" t="s">
        <v>134</v>
      </c>
      <c r="Z12" t="s">
        <v>135</v>
      </c>
      <c r="AB12" t="s">
        <v>130</v>
      </c>
      <c r="AC12" t="s">
        <v>136</v>
      </c>
      <c r="AD12" t="s">
        <v>33</v>
      </c>
      <c r="AE12" t="s">
        <v>131</v>
      </c>
      <c r="AF12" t="s">
        <v>134</v>
      </c>
      <c r="AG12" t="s">
        <v>135</v>
      </c>
    </row>
    <row r="13" spans="4:34" x14ac:dyDescent="0.4">
      <c r="D13" t="s">
        <v>36</v>
      </c>
      <c r="E13" t="s">
        <v>37</v>
      </c>
      <c r="F13" s="9">
        <v>46048.916666666664</v>
      </c>
      <c r="G13">
        <v>124.52</v>
      </c>
      <c r="H13" s="9">
        <v>46050.916666666664</v>
      </c>
      <c r="I13">
        <v>125.42</v>
      </c>
      <c r="J13" s="12">
        <v>12.9</v>
      </c>
      <c r="K13" s="12">
        <v>1606.4</v>
      </c>
      <c r="L13">
        <v>2.42</v>
      </c>
      <c r="M13">
        <v>9.19</v>
      </c>
      <c r="N13" s="13">
        <v>5.7000000000000002E-3</v>
      </c>
      <c r="O13" t="s">
        <v>38</v>
      </c>
      <c r="Q13">
        <f>(I13-G13)*J13</f>
        <v>11.610000000000074</v>
      </c>
      <c r="R13">
        <f>Q13-L13</f>
        <v>9.1900000000000741</v>
      </c>
      <c r="S13">
        <f>I13*J13</f>
        <v>1617.9180000000001</v>
      </c>
      <c r="U13">
        <f>ROUND(($Q$2)/G13,6)</f>
        <v>13.250883</v>
      </c>
      <c r="V13">
        <f>U13*G13</f>
        <v>1649.9999511599999</v>
      </c>
      <c r="W13">
        <f>U13*(I13-G13)</f>
        <v>11.925794700000075</v>
      </c>
      <c r="X13">
        <f>(G13+I13)*$R$2*U13</f>
        <v>3.3119256970199999</v>
      </c>
      <c r="Y13">
        <f>W13-X13</f>
        <v>8.613869002980076</v>
      </c>
      <c r="Z13">
        <f>Z14+Y13</f>
        <v>53280.46090380026</v>
      </c>
      <c r="AB13">
        <f t="shared" ref="AB13:AB76" si="1">ROUND(((AH13*AG14 +(1-AH13)*AI13)/$P$2)/G13,6)</f>
        <v>15.140708999999999</v>
      </c>
      <c r="AC13">
        <f t="shared" ref="AC13:AC76" si="2">AB13*G13</f>
        <v>1885.3210846799998</v>
      </c>
      <c r="AD13">
        <f t="shared" ref="AD13:AD76" si="3">AB13*(I13-G13)</f>
        <v>13.626638100000086</v>
      </c>
      <c r="AE13">
        <f t="shared" ref="AE13:AE76" si="4">(G13+I13)*$R$2*AB13</f>
        <v>3.7842688074599997</v>
      </c>
      <c r="AF13">
        <f t="shared" ref="AF13:AF76" si="5">AD13-AE13</f>
        <v>9.8423692925400861</v>
      </c>
      <c r="AG13">
        <f t="shared" ref="AG13:AG76" si="6">AG14*AH13 + (1-AH13)*AI13+AF13</f>
        <v>18863.053550572909</v>
      </c>
      <c r="AH13" t="b">
        <f t="shared" ref="AH13:AH76" si="7">ISBLANK(AI13)</f>
        <v>1</v>
      </c>
    </row>
    <row r="14" spans="4:34" x14ac:dyDescent="0.4">
      <c r="D14" t="s">
        <v>39</v>
      </c>
      <c r="E14" t="s">
        <v>37</v>
      </c>
      <c r="F14" s="9">
        <v>46048.916666666664</v>
      </c>
      <c r="G14" s="12">
        <v>12</v>
      </c>
      <c r="H14" s="9">
        <v>46050.916666666664</v>
      </c>
      <c r="I14" s="12">
        <v>11.85</v>
      </c>
      <c r="J14">
        <v>135.61000000000001</v>
      </c>
      <c r="K14" s="12">
        <v>1627.33</v>
      </c>
      <c r="L14">
        <v>2.4300000000000002</v>
      </c>
      <c r="M14">
        <v>-22.77</v>
      </c>
      <c r="N14" s="13">
        <v>-1.4E-2</v>
      </c>
      <c r="O14" t="s">
        <v>38</v>
      </c>
      <c r="Q14">
        <f t="shared" ref="Q14:Q77" si="8">(I14-G14)*J14</f>
        <v>-20.34150000000005</v>
      </c>
      <c r="R14">
        <f t="shared" ref="R14:R77" si="9">Q14-L14</f>
        <v>-22.771500000000049</v>
      </c>
      <c r="S14">
        <f t="shared" ref="S14:S77" si="10">I14*J14</f>
        <v>1606.9785000000002</v>
      </c>
      <c r="U14">
        <f t="shared" ref="U13:U76" si="11">ROUND(($Q$2)/G14,6)</f>
        <v>137.5</v>
      </c>
      <c r="V14">
        <f t="shared" ref="V14:V77" si="12">U14*G14</f>
        <v>1650</v>
      </c>
      <c r="W14">
        <f t="shared" ref="W13:W76" si="13">U14*(I14-G14)</f>
        <v>-20.62500000000005</v>
      </c>
      <c r="X14">
        <f t="shared" ref="X13:X76" si="14">(G14+I14)*$R$2*U14</f>
        <v>3.2793750000000004</v>
      </c>
      <c r="Y14">
        <f t="shared" ref="Y13:Y76" si="15">W14-X14</f>
        <v>-23.904375000000051</v>
      </c>
      <c r="Z14">
        <f t="shared" ref="Z13:Z76" si="16">Z15+Y14</f>
        <v>53271.847034797283</v>
      </c>
      <c r="AB14">
        <f t="shared" si="1"/>
        <v>157.33803700000001</v>
      </c>
      <c r="AC14">
        <f t="shared" si="2"/>
        <v>1888.0564440000003</v>
      </c>
      <c r="AD14">
        <f t="shared" si="3"/>
        <v>-23.600705550000058</v>
      </c>
      <c r="AE14">
        <f t="shared" si="4"/>
        <v>3.7525121824500007</v>
      </c>
      <c r="AF14">
        <f t="shared" si="5"/>
        <v>-27.353217732450059</v>
      </c>
      <c r="AG14">
        <f t="shared" si="6"/>
        <v>18853.211181280371</v>
      </c>
      <c r="AH14" t="b">
        <f t="shared" si="7"/>
        <v>1</v>
      </c>
    </row>
    <row r="15" spans="4:34" x14ac:dyDescent="0.4">
      <c r="D15" t="s">
        <v>40</v>
      </c>
      <c r="E15" t="s">
        <v>41</v>
      </c>
      <c r="F15" s="9">
        <v>46049.541666666664</v>
      </c>
      <c r="G15">
        <v>382.2</v>
      </c>
      <c r="H15" s="9">
        <v>46050.875</v>
      </c>
      <c r="I15">
        <v>378.27</v>
      </c>
      <c r="J15">
        <v>4.5730000000000004</v>
      </c>
      <c r="K15" s="12">
        <v>1748.07</v>
      </c>
      <c r="L15">
        <v>2.61</v>
      </c>
      <c r="M15" s="12">
        <v>-20.58</v>
      </c>
      <c r="N15" s="13">
        <v>-1.18E-2</v>
      </c>
      <c r="O15" t="s">
        <v>38</v>
      </c>
      <c r="Q15">
        <f t="shared" si="8"/>
        <v>-17.971890000000034</v>
      </c>
      <c r="R15">
        <f t="shared" si="9"/>
        <v>-20.581890000000033</v>
      </c>
      <c r="S15">
        <f t="shared" si="10"/>
        <v>1729.82871</v>
      </c>
      <c r="U15">
        <f t="shared" si="11"/>
        <v>4.3171109999999997</v>
      </c>
      <c r="V15">
        <f t="shared" si="12"/>
        <v>1649.9998241999999</v>
      </c>
      <c r="W15">
        <f t="shared" si="13"/>
        <v>-16.966246230000028</v>
      </c>
      <c r="X15">
        <f t="shared" si="14"/>
        <v>3.2830334021700001</v>
      </c>
      <c r="Y15">
        <f t="shared" si="15"/>
        <v>-20.24927963217003</v>
      </c>
      <c r="Z15">
        <f t="shared" si="16"/>
        <v>53295.751409797282</v>
      </c>
      <c r="AB15">
        <f t="shared" si="1"/>
        <v>4.94604</v>
      </c>
      <c r="AC15">
        <f t="shared" si="2"/>
        <v>1890.3764879999999</v>
      </c>
      <c r="AD15">
        <f t="shared" si="3"/>
        <v>-19.437937200000032</v>
      </c>
      <c r="AE15">
        <f t="shared" si="4"/>
        <v>3.7613150388000003</v>
      </c>
      <c r="AF15">
        <f t="shared" si="5"/>
        <v>-23.199252238800032</v>
      </c>
      <c r="AG15">
        <f t="shared" si="6"/>
        <v>18880.564399012819</v>
      </c>
      <c r="AH15" t="b">
        <f t="shared" si="7"/>
        <v>1</v>
      </c>
    </row>
    <row r="16" spans="4:34" x14ac:dyDescent="0.4">
      <c r="D16" t="s">
        <v>42</v>
      </c>
      <c r="E16" t="s">
        <v>37</v>
      </c>
      <c r="F16" s="9">
        <v>46048.75</v>
      </c>
      <c r="G16" s="12">
        <v>2909.42</v>
      </c>
      <c r="H16" s="9">
        <v>46050.75</v>
      </c>
      <c r="I16" s="12">
        <v>3005.01</v>
      </c>
      <c r="J16">
        <v>0.55820000000000003</v>
      </c>
      <c r="K16" s="12">
        <v>1624.32</v>
      </c>
      <c r="L16">
        <v>2.48</v>
      </c>
      <c r="M16">
        <v>50.88</v>
      </c>
      <c r="N16" s="13">
        <v>3.1300000000000001E-2</v>
      </c>
      <c r="O16" t="s">
        <v>38</v>
      </c>
      <c r="Q16">
        <f t="shared" si="8"/>
        <v>53.358338000000082</v>
      </c>
      <c r="R16">
        <f t="shared" si="9"/>
        <v>50.878338000000085</v>
      </c>
      <c r="S16">
        <f t="shared" si="10"/>
        <v>1677.3965820000003</v>
      </c>
      <c r="U16">
        <f t="shared" si="11"/>
        <v>0.56712300000000004</v>
      </c>
      <c r="V16">
        <f t="shared" si="12"/>
        <v>1649.9989986600001</v>
      </c>
      <c r="W16">
        <f t="shared" si="13"/>
        <v>54.211287570000088</v>
      </c>
      <c r="X16">
        <f t="shared" si="14"/>
        <v>3.3542092848900005</v>
      </c>
      <c r="Y16">
        <f t="shared" si="15"/>
        <v>50.857078285110092</v>
      </c>
      <c r="Z16">
        <f t="shared" si="16"/>
        <v>53316.000689429449</v>
      </c>
      <c r="AB16">
        <f t="shared" si="1"/>
        <v>0.64774699999999996</v>
      </c>
      <c r="AC16">
        <f t="shared" si="2"/>
        <v>1884.5680767399999</v>
      </c>
      <c r="AD16">
        <f t="shared" si="3"/>
        <v>61.918135730000088</v>
      </c>
      <c r="AE16">
        <f t="shared" si="4"/>
        <v>3.8310542892099999</v>
      </c>
      <c r="AF16">
        <f t="shared" si="5"/>
        <v>58.087081440790087</v>
      </c>
      <c r="AG16">
        <f t="shared" si="6"/>
        <v>18903.763651251618</v>
      </c>
      <c r="AH16" t="b">
        <f t="shared" si="7"/>
        <v>1</v>
      </c>
    </row>
    <row r="17" spans="4:34" x14ac:dyDescent="0.4">
      <c r="D17" t="s">
        <v>43</v>
      </c>
      <c r="E17" t="s">
        <v>37</v>
      </c>
      <c r="F17" s="9">
        <v>46048.583333333336</v>
      </c>
      <c r="G17">
        <v>1.44</v>
      </c>
      <c r="H17" s="9">
        <v>46050.583333333336</v>
      </c>
      <c r="I17">
        <v>1.4302999999999999</v>
      </c>
      <c r="J17" s="12">
        <v>1154.5</v>
      </c>
      <c r="K17" s="12">
        <v>1662.6</v>
      </c>
      <c r="L17">
        <v>2.4900000000000002</v>
      </c>
      <c r="M17">
        <v>-13.68</v>
      </c>
      <c r="N17" s="13">
        <v>-8.2000000000000007E-3</v>
      </c>
      <c r="O17" t="s">
        <v>38</v>
      </c>
      <c r="Q17">
        <f t="shared" si="8"/>
        <v>-11.198650000000049</v>
      </c>
      <c r="R17">
        <f t="shared" si="9"/>
        <v>-13.688650000000049</v>
      </c>
      <c r="S17">
        <f t="shared" si="10"/>
        <v>1651.28135</v>
      </c>
      <c r="U17">
        <f t="shared" si="11"/>
        <v>1145.833333</v>
      </c>
      <c r="V17">
        <f t="shared" si="12"/>
        <v>1649.9999995200001</v>
      </c>
      <c r="W17">
        <f t="shared" si="13"/>
        <v>-11.114583330100048</v>
      </c>
      <c r="X17">
        <f t="shared" si="14"/>
        <v>3.2888854157099003</v>
      </c>
      <c r="Y17">
        <f t="shared" si="15"/>
        <v>-14.403468745809949</v>
      </c>
      <c r="Z17">
        <f t="shared" si="16"/>
        <v>53265.14361114434</v>
      </c>
      <c r="AB17">
        <f t="shared" si="1"/>
        <v>1309.870975</v>
      </c>
      <c r="AC17">
        <f t="shared" si="2"/>
        <v>1886.2142039999999</v>
      </c>
      <c r="AD17">
        <f t="shared" si="3"/>
        <v>-12.705748457500055</v>
      </c>
      <c r="AE17">
        <f t="shared" si="4"/>
        <v>3.7597226595425002</v>
      </c>
      <c r="AF17">
        <f t="shared" si="5"/>
        <v>-16.465471117042554</v>
      </c>
      <c r="AG17">
        <f t="shared" si="6"/>
        <v>18845.676569810828</v>
      </c>
      <c r="AH17" t="b">
        <f t="shared" si="7"/>
        <v>1</v>
      </c>
    </row>
    <row r="18" spans="4:34" x14ac:dyDescent="0.4">
      <c r="D18" t="s">
        <v>44</v>
      </c>
      <c r="E18" t="s">
        <v>37</v>
      </c>
      <c r="F18" s="9">
        <v>46048.583333333336</v>
      </c>
      <c r="G18">
        <v>874.45</v>
      </c>
      <c r="H18" s="9">
        <v>46050.583333333336</v>
      </c>
      <c r="I18">
        <v>906.04</v>
      </c>
      <c r="J18">
        <v>1.9950000000000001</v>
      </c>
      <c r="K18" s="12">
        <v>1744.88</v>
      </c>
      <c r="L18">
        <v>2.66</v>
      </c>
      <c r="M18">
        <v>60.36</v>
      </c>
      <c r="N18" s="13">
        <v>3.4599999999999999E-2</v>
      </c>
      <c r="O18" t="s">
        <v>38</v>
      </c>
      <c r="Q18">
        <f t="shared" si="8"/>
        <v>63.022049999999837</v>
      </c>
      <c r="R18">
        <f t="shared" si="9"/>
        <v>60.36204999999984</v>
      </c>
      <c r="S18">
        <f t="shared" si="10"/>
        <v>1807.5498</v>
      </c>
      <c r="U18">
        <f t="shared" si="11"/>
        <v>1.8869</v>
      </c>
      <c r="V18">
        <f t="shared" si="12"/>
        <v>1649.9997050000002</v>
      </c>
      <c r="W18">
        <f t="shared" si="13"/>
        <v>59.607170999999845</v>
      </c>
      <c r="X18">
        <f t="shared" si="14"/>
        <v>3.3596065810000004</v>
      </c>
      <c r="Y18">
        <f t="shared" si="15"/>
        <v>56.247564418999843</v>
      </c>
      <c r="Z18">
        <f t="shared" si="16"/>
        <v>53279.547079890152</v>
      </c>
      <c r="AB18">
        <f t="shared" si="1"/>
        <v>2.1497009999999999</v>
      </c>
      <c r="AC18">
        <f t="shared" si="2"/>
        <v>1879.8060394500001</v>
      </c>
      <c r="AD18">
        <f t="shared" si="3"/>
        <v>67.909054589999826</v>
      </c>
      <c r="AE18">
        <f t="shared" si="4"/>
        <v>3.8275211334899999</v>
      </c>
      <c r="AF18">
        <f t="shared" si="5"/>
        <v>64.081533456509831</v>
      </c>
      <c r="AG18">
        <f t="shared" si="6"/>
        <v>18862.142040927873</v>
      </c>
      <c r="AH18" t="b">
        <f t="shared" si="7"/>
        <v>1</v>
      </c>
    </row>
    <row r="19" spans="4:34" x14ac:dyDescent="0.4">
      <c r="D19" t="s">
        <v>45</v>
      </c>
      <c r="E19" t="s">
        <v>37</v>
      </c>
      <c r="F19" s="9">
        <v>46048.583333333336</v>
      </c>
      <c r="G19" s="12">
        <v>87960.01</v>
      </c>
      <c r="H19" s="9">
        <v>46050.583333333336</v>
      </c>
      <c r="I19" s="12">
        <v>90257.91</v>
      </c>
      <c r="J19" s="12">
        <v>1.9890000000000001E-2</v>
      </c>
      <c r="K19" s="12">
        <v>1749.95</v>
      </c>
      <c r="L19">
        <v>2.66</v>
      </c>
      <c r="M19">
        <v>43.05</v>
      </c>
      <c r="N19" s="13">
        <v>2.46E-2</v>
      </c>
      <c r="O19" t="s">
        <v>38</v>
      </c>
      <c r="Q19">
        <f t="shared" si="8"/>
        <v>45.705231000000175</v>
      </c>
      <c r="R19">
        <f t="shared" si="9"/>
        <v>43.045231000000172</v>
      </c>
      <c r="S19">
        <f t="shared" si="10"/>
        <v>1795.2298299000001</v>
      </c>
      <c r="U19">
        <f t="shared" si="11"/>
        <v>1.8759000000000001E-2</v>
      </c>
      <c r="V19">
        <f t="shared" si="12"/>
        <v>1650.0418275899999</v>
      </c>
      <c r="W19">
        <f t="shared" si="13"/>
        <v>43.106306100000168</v>
      </c>
      <c r="X19">
        <f t="shared" si="14"/>
        <v>3.3431899612800002</v>
      </c>
      <c r="Y19">
        <f t="shared" si="15"/>
        <v>39.763116138720164</v>
      </c>
      <c r="Z19">
        <f t="shared" si="16"/>
        <v>53223.299515471153</v>
      </c>
      <c r="AB19">
        <f t="shared" si="1"/>
        <v>2.1319999999999999E-2</v>
      </c>
      <c r="AC19">
        <f t="shared" si="2"/>
        <v>1875.3074131999997</v>
      </c>
      <c r="AD19">
        <f t="shared" si="3"/>
        <v>48.991228000000184</v>
      </c>
      <c r="AE19">
        <f t="shared" si="4"/>
        <v>3.7996060543999994</v>
      </c>
      <c r="AF19">
        <f t="shared" si="5"/>
        <v>45.191621945600183</v>
      </c>
      <c r="AG19">
        <f t="shared" si="6"/>
        <v>18798.060507471364</v>
      </c>
      <c r="AH19" t="b">
        <f t="shared" si="7"/>
        <v>1</v>
      </c>
    </row>
    <row r="20" spans="4:34" x14ac:dyDescent="0.4">
      <c r="D20" t="s">
        <v>46</v>
      </c>
      <c r="E20" t="s">
        <v>37</v>
      </c>
      <c r="F20" s="9">
        <v>46048.041666666664</v>
      </c>
      <c r="G20">
        <v>1.8528</v>
      </c>
      <c r="H20" s="9">
        <v>46050.041666666664</v>
      </c>
      <c r="I20">
        <v>1.9164000000000001</v>
      </c>
      <c r="J20">
        <v>900.5</v>
      </c>
      <c r="K20" s="12">
        <v>1668.63</v>
      </c>
      <c r="L20">
        <v>2.5499999999999998</v>
      </c>
      <c r="M20">
        <v>54.73</v>
      </c>
      <c r="N20" s="13">
        <v>3.2800000000000003E-2</v>
      </c>
      <c r="O20" t="s">
        <v>38</v>
      </c>
      <c r="Q20">
        <f t="shared" si="8"/>
        <v>57.271800000000091</v>
      </c>
      <c r="R20">
        <f t="shared" si="9"/>
        <v>54.721800000000094</v>
      </c>
      <c r="S20">
        <f t="shared" si="10"/>
        <v>1725.7182</v>
      </c>
      <c r="U20">
        <f t="shared" si="11"/>
        <v>890.54404099999999</v>
      </c>
      <c r="V20">
        <f t="shared" si="12"/>
        <v>1649.9999991648001</v>
      </c>
      <c r="W20">
        <f t="shared" si="13"/>
        <v>56.638601007600087</v>
      </c>
      <c r="X20">
        <f t="shared" si="14"/>
        <v>3.3566385993372001</v>
      </c>
      <c r="Y20">
        <f t="shared" si="15"/>
        <v>53.281962408262885</v>
      </c>
      <c r="Z20">
        <f t="shared" si="16"/>
        <v>53183.536399332435</v>
      </c>
      <c r="AB20">
        <f t="shared" si="1"/>
        <v>1008.878824</v>
      </c>
      <c r="AC20">
        <f t="shared" si="2"/>
        <v>1869.2506851072001</v>
      </c>
      <c r="AD20">
        <f t="shared" si="3"/>
        <v>64.164693206400102</v>
      </c>
      <c r="AE20">
        <f t="shared" si="4"/>
        <v>3.8026660634208005</v>
      </c>
      <c r="AF20">
        <f t="shared" si="5"/>
        <v>60.362027142979301</v>
      </c>
      <c r="AG20">
        <f t="shared" si="6"/>
        <v>18752.868885525764</v>
      </c>
      <c r="AH20" t="b">
        <f t="shared" si="7"/>
        <v>1</v>
      </c>
    </row>
    <row r="21" spans="4:34" x14ac:dyDescent="0.4">
      <c r="D21" t="s">
        <v>40</v>
      </c>
      <c r="E21" t="s">
        <v>41</v>
      </c>
      <c r="F21" s="9">
        <v>46048.041666666664</v>
      </c>
      <c r="G21">
        <v>331.6</v>
      </c>
      <c r="H21" s="9">
        <v>46049.375</v>
      </c>
      <c r="I21">
        <v>384.07</v>
      </c>
      <c r="J21" s="12">
        <v>5.17</v>
      </c>
      <c r="K21" s="12">
        <v>1714.7</v>
      </c>
      <c r="L21">
        <v>2.78</v>
      </c>
      <c r="M21">
        <v>268.49</v>
      </c>
      <c r="N21" s="13">
        <v>0.15659999999999999</v>
      </c>
      <c r="O21" t="s">
        <v>38</v>
      </c>
      <c r="Q21">
        <f t="shared" si="8"/>
        <v>271.26989999999984</v>
      </c>
      <c r="R21">
        <f t="shared" si="9"/>
        <v>268.48989999999986</v>
      </c>
      <c r="S21">
        <f t="shared" si="10"/>
        <v>1985.6418999999999</v>
      </c>
      <c r="U21">
        <f t="shared" si="11"/>
        <v>4.9758750000000003</v>
      </c>
      <c r="V21">
        <f t="shared" si="12"/>
        <v>1650.0001500000003</v>
      </c>
      <c r="W21">
        <f t="shared" si="13"/>
        <v>261.08416124999985</v>
      </c>
      <c r="X21">
        <f t="shared" si="14"/>
        <v>3.561084461250001</v>
      </c>
      <c r="Y21">
        <f t="shared" si="15"/>
        <v>257.52307678874985</v>
      </c>
      <c r="Z21">
        <f t="shared" si="16"/>
        <v>53130.254436924173</v>
      </c>
      <c r="AB21">
        <f t="shared" si="1"/>
        <v>5.5504369999999996</v>
      </c>
      <c r="AC21">
        <f t="shared" si="2"/>
        <v>1840.5249091999999</v>
      </c>
      <c r="AD21">
        <f t="shared" si="3"/>
        <v>291.23142938999979</v>
      </c>
      <c r="AE21">
        <f t="shared" si="4"/>
        <v>3.9722812477900007</v>
      </c>
      <c r="AF21">
        <f t="shared" si="5"/>
        <v>287.25914814220977</v>
      </c>
      <c r="AG21">
        <f t="shared" si="6"/>
        <v>18692.506858382785</v>
      </c>
      <c r="AH21" t="b">
        <f t="shared" si="7"/>
        <v>1</v>
      </c>
    </row>
    <row r="22" spans="4:34" x14ac:dyDescent="0.4">
      <c r="D22" t="s">
        <v>43</v>
      </c>
      <c r="E22" t="s">
        <v>37</v>
      </c>
      <c r="F22" s="9">
        <v>46046.125</v>
      </c>
      <c r="G22">
        <v>1.4881</v>
      </c>
      <c r="H22" s="9">
        <v>46048.125</v>
      </c>
      <c r="I22">
        <v>1.4306000000000001</v>
      </c>
      <c r="J22" s="12">
        <v>1135.2</v>
      </c>
      <c r="K22" s="12">
        <v>1689.32</v>
      </c>
      <c r="L22">
        <v>2.48</v>
      </c>
      <c r="M22">
        <v>-67.760000000000005</v>
      </c>
      <c r="N22" s="13">
        <v>-4.0099999999999997E-2</v>
      </c>
      <c r="O22" t="s">
        <v>38</v>
      </c>
      <c r="Q22">
        <f t="shared" si="8"/>
        <v>-65.273999999999873</v>
      </c>
      <c r="R22">
        <f t="shared" si="9"/>
        <v>-67.753999999999877</v>
      </c>
      <c r="S22">
        <f t="shared" si="10"/>
        <v>1624.0171200000002</v>
      </c>
      <c r="U22">
        <f t="shared" si="11"/>
        <v>1108.796452</v>
      </c>
      <c r="V22">
        <f t="shared" si="12"/>
        <v>1650.0000002212</v>
      </c>
      <c r="W22">
        <f t="shared" si="13"/>
        <v>-63.755795989999875</v>
      </c>
      <c r="X22">
        <f t="shared" si="14"/>
        <v>3.2362442044524005</v>
      </c>
      <c r="Y22">
        <f t="shared" si="15"/>
        <v>-66.992040194452272</v>
      </c>
      <c r="Z22">
        <f t="shared" si="16"/>
        <v>52872.731360135425</v>
      </c>
      <c r="AB22">
        <f t="shared" si="1"/>
        <v>1241.8708369999999</v>
      </c>
      <c r="AC22">
        <f t="shared" si="2"/>
        <v>1848.0279925396999</v>
      </c>
      <c r="AD22">
        <f t="shared" si="3"/>
        <v>-71.407573127499859</v>
      </c>
      <c r="AE22">
        <f t="shared" si="4"/>
        <v>3.6246484119519002</v>
      </c>
      <c r="AF22">
        <f t="shared" si="5"/>
        <v>-75.032221539451754</v>
      </c>
      <c r="AG22">
        <f t="shared" si="6"/>
        <v>18405.247710240576</v>
      </c>
      <c r="AH22" t="b">
        <f t="shared" si="7"/>
        <v>1</v>
      </c>
    </row>
    <row r="23" spans="4:34" x14ac:dyDescent="0.4">
      <c r="D23" t="s">
        <v>48</v>
      </c>
      <c r="E23" t="s">
        <v>37</v>
      </c>
      <c r="F23" s="9">
        <v>46046.125</v>
      </c>
      <c r="G23">
        <v>6.1199999999999997E-2</v>
      </c>
      <c r="H23" s="9">
        <v>46048.125</v>
      </c>
      <c r="I23">
        <v>0.06</v>
      </c>
      <c r="J23" s="12">
        <v>27300.1</v>
      </c>
      <c r="K23" s="12">
        <v>1670.77</v>
      </c>
      <c r="L23">
        <v>2.48</v>
      </c>
      <c r="M23">
        <v>-35.24</v>
      </c>
      <c r="N23" s="13">
        <v>-2.1100000000000001E-2</v>
      </c>
      <c r="O23" t="s">
        <v>38</v>
      </c>
      <c r="Q23">
        <f t="shared" si="8"/>
        <v>-32.760119999999986</v>
      </c>
      <c r="R23">
        <f t="shared" si="9"/>
        <v>-35.240119999999983</v>
      </c>
      <c r="S23">
        <f t="shared" si="10"/>
        <v>1638.0059999999999</v>
      </c>
      <c r="U23">
        <f t="shared" si="11"/>
        <v>26960.784314</v>
      </c>
      <c r="V23">
        <f t="shared" si="12"/>
        <v>1650.0000000168</v>
      </c>
      <c r="W23">
        <f t="shared" si="13"/>
        <v>-32.352941176799995</v>
      </c>
      <c r="X23">
        <f t="shared" si="14"/>
        <v>3.2676470588568001</v>
      </c>
      <c r="Y23">
        <f t="shared" si="15"/>
        <v>-35.620588235656797</v>
      </c>
      <c r="Z23">
        <f t="shared" si="16"/>
        <v>52939.72340032988</v>
      </c>
      <c r="AB23">
        <f t="shared" si="1"/>
        <v>30261.865863999999</v>
      </c>
      <c r="AC23">
        <f t="shared" si="2"/>
        <v>1852.0261908767998</v>
      </c>
      <c r="AD23">
        <f t="shared" si="3"/>
        <v>-36.314239036799989</v>
      </c>
      <c r="AE23">
        <f t="shared" si="4"/>
        <v>3.6677381427168001</v>
      </c>
      <c r="AF23">
        <f t="shared" si="5"/>
        <v>-39.98197717951679</v>
      </c>
      <c r="AG23">
        <f t="shared" si="6"/>
        <v>18480.279931780027</v>
      </c>
      <c r="AH23" t="b">
        <f t="shared" si="7"/>
        <v>1</v>
      </c>
    </row>
    <row r="24" spans="4:34" x14ac:dyDescent="0.4">
      <c r="D24" t="s">
        <v>40</v>
      </c>
      <c r="E24" t="s">
        <v>41</v>
      </c>
      <c r="F24" s="9">
        <v>46046.375</v>
      </c>
      <c r="G24">
        <v>374.99</v>
      </c>
      <c r="H24" s="9">
        <v>46047.708333333336</v>
      </c>
      <c r="I24">
        <v>352.59</v>
      </c>
      <c r="J24">
        <v>4.734</v>
      </c>
      <c r="K24" s="12">
        <v>1775.37</v>
      </c>
      <c r="L24">
        <v>2.58</v>
      </c>
      <c r="M24">
        <v>-108.62</v>
      </c>
      <c r="N24" s="13">
        <v>-6.1199999999999997E-2</v>
      </c>
      <c r="O24" t="s">
        <v>38</v>
      </c>
      <c r="Q24">
        <f t="shared" si="8"/>
        <v>-106.04160000000016</v>
      </c>
      <c r="R24">
        <f t="shared" si="9"/>
        <v>-108.62160000000016</v>
      </c>
      <c r="S24">
        <f t="shared" si="10"/>
        <v>1669.1610599999999</v>
      </c>
      <c r="U24">
        <f t="shared" si="11"/>
        <v>4.4001169999999998</v>
      </c>
      <c r="V24">
        <f t="shared" si="12"/>
        <v>1649.9998738300001</v>
      </c>
      <c r="W24">
        <f t="shared" si="13"/>
        <v>-98.562620800000147</v>
      </c>
      <c r="X24">
        <f t="shared" si="14"/>
        <v>3.2014371268599993</v>
      </c>
      <c r="Y24">
        <f t="shared" si="15"/>
        <v>-101.76405792686015</v>
      </c>
      <c r="Z24">
        <f t="shared" si="16"/>
        <v>52975.343988565539</v>
      </c>
      <c r="AB24">
        <f t="shared" si="1"/>
        <v>4.9695179999999999</v>
      </c>
      <c r="AC24">
        <f t="shared" si="2"/>
        <v>1863.5195548199999</v>
      </c>
      <c r="AD24">
        <f t="shared" si="3"/>
        <v>-111.31720320000016</v>
      </c>
      <c r="AE24">
        <f t="shared" si="4"/>
        <v>3.6157219064399992</v>
      </c>
      <c r="AF24">
        <f t="shared" si="5"/>
        <v>-114.93292510644017</v>
      </c>
      <c r="AG24">
        <f t="shared" si="6"/>
        <v>18520.261908959543</v>
      </c>
      <c r="AH24" t="b">
        <f t="shared" si="7"/>
        <v>1</v>
      </c>
    </row>
    <row r="25" spans="4:34" x14ac:dyDescent="0.4">
      <c r="D25" t="s">
        <v>42</v>
      </c>
      <c r="E25" t="s">
        <v>37</v>
      </c>
      <c r="F25" s="9">
        <v>46046.083333333336</v>
      </c>
      <c r="G25" s="12">
        <v>2956.12</v>
      </c>
      <c r="H25" s="9">
        <v>46047.708333333336</v>
      </c>
      <c r="I25" s="12">
        <v>2904.76</v>
      </c>
      <c r="J25" s="12">
        <v>0.58050000000000002</v>
      </c>
      <c r="K25" s="12">
        <v>1716.09</v>
      </c>
      <c r="L25">
        <v>2.5499999999999998</v>
      </c>
      <c r="M25">
        <v>-32.36</v>
      </c>
      <c r="N25" s="13">
        <v>-1.89E-2</v>
      </c>
      <c r="O25" t="s">
        <v>49</v>
      </c>
      <c r="Q25">
        <f t="shared" si="8"/>
        <v>-29.814479999999811</v>
      </c>
      <c r="R25">
        <f t="shared" si="9"/>
        <v>-32.364479999999809</v>
      </c>
      <c r="S25">
        <f t="shared" si="10"/>
        <v>1686.2131800000002</v>
      </c>
      <c r="U25">
        <f t="shared" si="11"/>
        <v>0.55816399999999999</v>
      </c>
      <c r="V25">
        <f t="shared" si="12"/>
        <v>1649.9997636799999</v>
      </c>
      <c r="W25">
        <f t="shared" si="13"/>
        <v>-28.667303039999815</v>
      </c>
      <c r="X25">
        <f t="shared" si="14"/>
        <v>3.27133222432</v>
      </c>
      <c r="Y25">
        <f t="shared" si="15"/>
        <v>-31.938635264319814</v>
      </c>
      <c r="Z25">
        <f t="shared" si="16"/>
        <v>53077.108046492402</v>
      </c>
      <c r="AB25">
        <f t="shared" si="1"/>
        <v>0.63161599999999996</v>
      </c>
      <c r="AC25">
        <f t="shared" si="2"/>
        <v>1867.1326899199998</v>
      </c>
      <c r="AD25">
        <f t="shared" si="3"/>
        <v>-32.439797759999792</v>
      </c>
      <c r="AE25">
        <f t="shared" si="4"/>
        <v>3.7018255820799997</v>
      </c>
      <c r="AF25">
        <f t="shared" si="5"/>
        <v>-36.141623342079789</v>
      </c>
      <c r="AG25">
        <f t="shared" si="6"/>
        <v>18635.194834065984</v>
      </c>
      <c r="AH25" t="b">
        <f t="shared" si="7"/>
        <v>1</v>
      </c>
    </row>
    <row r="26" spans="4:34" x14ac:dyDescent="0.4">
      <c r="D26" t="s">
        <v>46</v>
      </c>
      <c r="E26" t="s">
        <v>37</v>
      </c>
      <c r="F26" s="9">
        <v>46045.666666666664</v>
      </c>
      <c r="G26">
        <v>1.9215</v>
      </c>
      <c r="H26" s="9">
        <v>46047.666666666664</v>
      </c>
      <c r="I26">
        <v>1.8885000000000001</v>
      </c>
      <c r="J26" s="12">
        <v>885.1</v>
      </c>
      <c r="K26" s="12">
        <v>1700.74</v>
      </c>
      <c r="L26">
        <v>2.5299999999999998</v>
      </c>
      <c r="M26">
        <v>-31.74</v>
      </c>
      <c r="N26" s="13">
        <v>-1.8700000000000001E-2</v>
      </c>
      <c r="O26" t="s">
        <v>38</v>
      </c>
      <c r="Q26">
        <f t="shared" si="8"/>
        <v>-29.208299999999927</v>
      </c>
      <c r="R26">
        <f t="shared" si="9"/>
        <v>-31.738299999999928</v>
      </c>
      <c r="S26">
        <f t="shared" si="10"/>
        <v>1671.51135</v>
      </c>
      <c r="U26">
        <f t="shared" si="11"/>
        <v>858.70413699999995</v>
      </c>
      <c r="V26">
        <f t="shared" si="12"/>
        <v>1649.9999992454998</v>
      </c>
      <c r="W26">
        <f t="shared" si="13"/>
        <v>-28.337236520999927</v>
      </c>
      <c r="X26">
        <f t="shared" si="14"/>
        <v>3.2716627619699996</v>
      </c>
      <c r="Y26">
        <f t="shared" si="15"/>
        <v>-31.608899282969926</v>
      </c>
      <c r="Z26">
        <f t="shared" si="16"/>
        <v>53109.046681756721</v>
      </c>
      <c r="AB26">
        <f t="shared" si="1"/>
        <v>973.57135700000003</v>
      </c>
      <c r="AC26">
        <f t="shared" si="2"/>
        <v>1870.7173624755001</v>
      </c>
      <c r="AD26">
        <f t="shared" si="3"/>
        <v>-32.127854780999918</v>
      </c>
      <c r="AE26">
        <f t="shared" si="4"/>
        <v>3.7093068701700003</v>
      </c>
      <c r="AF26">
        <f t="shared" si="5"/>
        <v>-35.837161651169922</v>
      </c>
      <c r="AG26">
        <f t="shared" si="6"/>
        <v>18671.336457408062</v>
      </c>
      <c r="AH26" t="b">
        <f t="shared" si="7"/>
        <v>1</v>
      </c>
    </row>
    <row r="27" spans="4:34" x14ac:dyDescent="0.4">
      <c r="D27" t="s">
        <v>45</v>
      </c>
      <c r="E27" t="s">
        <v>37</v>
      </c>
      <c r="F27" s="9">
        <v>46045.666666666664</v>
      </c>
      <c r="G27" s="12">
        <v>89761.61</v>
      </c>
      <c r="H27" s="9">
        <v>46047.666666666664</v>
      </c>
      <c r="I27" s="12">
        <v>88717.88</v>
      </c>
      <c r="J27" s="12">
        <v>1.9970000000000002E-2</v>
      </c>
      <c r="K27" s="12">
        <v>1792.65</v>
      </c>
      <c r="L27">
        <v>2.67</v>
      </c>
      <c r="M27">
        <v>-23.52</v>
      </c>
      <c r="N27" s="13">
        <v>-1.3100000000000001E-2</v>
      </c>
      <c r="O27" t="s">
        <v>38</v>
      </c>
      <c r="Q27">
        <f t="shared" si="8"/>
        <v>-20.843288099999921</v>
      </c>
      <c r="R27">
        <f t="shared" si="9"/>
        <v>-23.513288099999919</v>
      </c>
      <c r="S27">
        <f t="shared" si="10"/>
        <v>1771.6960636000003</v>
      </c>
      <c r="U27">
        <f t="shared" si="11"/>
        <v>1.8381999999999999E-2</v>
      </c>
      <c r="V27">
        <f t="shared" si="12"/>
        <v>1649.9979150199999</v>
      </c>
      <c r="W27">
        <f t="shared" si="13"/>
        <v>-19.185844859999925</v>
      </c>
      <c r="X27">
        <f t="shared" si="14"/>
        <v>3.2808099851799999</v>
      </c>
      <c r="Y27">
        <f t="shared" si="15"/>
        <v>-22.466654845179924</v>
      </c>
      <c r="Z27">
        <f t="shared" si="16"/>
        <v>53140.655581039689</v>
      </c>
      <c r="AB27">
        <f t="shared" si="1"/>
        <v>2.0868999999999999E-2</v>
      </c>
      <c r="AC27">
        <f t="shared" si="2"/>
        <v>1873.2350390899999</v>
      </c>
      <c r="AD27">
        <f t="shared" si="3"/>
        <v>-21.781601369999912</v>
      </c>
      <c r="AE27">
        <f t="shared" si="4"/>
        <v>3.7246884768099999</v>
      </c>
      <c r="AF27">
        <f t="shared" si="5"/>
        <v>-25.506289846809914</v>
      </c>
      <c r="AG27">
        <f t="shared" si="6"/>
        <v>18707.173619059231</v>
      </c>
      <c r="AH27" t="b">
        <f t="shared" si="7"/>
        <v>1</v>
      </c>
    </row>
    <row r="28" spans="4:34" x14ac:dyDescent="0.4">
      <c r="D28" t="s">
        <v>44</v>
      </c>
      <c r="E28" t="s">
        <v>37</v>
      </c>
      <c r="F28" s="9">
        <v>46045.583333333336</v>
      </c>
      <c r="G28">
        <v>887.94</v>
      </c>
      <c r="H28" s="9">
        <v>46047.583333333336</v>
      </c>
      <c r="I28">
        <v>880.91</v>
      </c>
      <c r="J28">
        <v>2.0179999999999998</v>
      </c>
      <c r="K28" s="12">
        <v>1791.92</v>
      </c>
      <c r="L28">
        <v>2.68</v>
      </c>
      <c r="M28" s="12">
        <v>-16.86</v>
      </c>
      <c r="N28" s="13">
        <v>-9.4000000000000004E-3</v>
      </c>
      <c r="O28" t="s">
        <v>38</v>
      </c>
      <c r="Q28">
        <f t="shared" si="8"/>
        <v>-14.186540000000173</v>
      </c>
      <c r="R28">
        <f t="shared" si="9"/>
        <v>-16.866540000000175</v>
      </c>
      <c r="S28">
        <f t="shared" si="10"/>
        <v>1777.6763799999997</v>
      </c>
      <c r="U28">
        <f t="shared" si="11"/>
        <v>1.8582339999999999</v>
      </c>
      <c r="V28">
        <f t="shared" si="12"/>
        <v>1650.0002979600001</v>
      </c>
      <c r="W28">
        <f t="shared" si="13"/>
        <v>-13.06338502000016</v>
      </c>
      <c r="X28">
        <f t="shared" si="14"/>
        <v>3.2869372109000001</v>
      </c>
      <c r="Y28">
        <f t="shared" si="15"/>
        <v>-16.350322230900161</v>
      </c>
      <c r="Z28">
        <f t="shared" si="16"/>
        <v>53163.122235884868</v>
      </c>
      <c r="AB28">
        <f t="shared" si="1"/>
        <v>2.1117710000000001</v>
      </c>
      <c r="AC28">
        <f t="shared" si="2"/>
        <v>1875.1259417400001</v>
      </c>
      <c r="AD28">
        <f t="shared" si="3"/>
        <v>-14.845750130000184</v>
      </c>
      <c r="AE28">
        <f t="shared" si="4"/>
        <v>3.7354061333500002</v>
      </c>
      <c r="AF28">
        <f t="shared" si="5"/>
        <v>-18.581156263350184</v>
      </c>
      <c r="AG28">
        <f t="shared" si="6"/>
        <v>18732.679908906041</v>
      </c>
      <c r="AH28" t="b">
        <f t="shared" si="7"/>
        <v>1</v>
      </c>
    </row>
    <row r="29" spans="4:34" x14ac:dyDescent="0.4">
      <c r="D29" t="s">
        <v>40</v>
      </c>
      <c r="E29" t="s">
        <v>41</v>
      </c>
      <c r="F29" s="9">
        <v>46044.833333333336</v>
      </c>
      <c r="G29">
        <v>365.28</v>
      </c>
      <c r="H29" s="9">
        <v>46046.166666666664</v>
      </c>
      <c r="I29">
        <v>381.99</v>
      </c>
      <c r="J29" s="12">
        <v>4.8099999999999996</v>
      </c>
      <c r="K29" s="12">
        <v>1757.16</v>
      </c>
      <c r="L29">
        <v>2.7</v>
      </c>
      <c r="M29">
        <v>77.680000000000007</v>
      </c>
      <c r="N29" s="13">
        <v>4.4200000000000003E-2</v>
      </c>
      <c r="O29" t="s">
        <v>38</v>
      </c>
      <c r="Q29">
        <f t="shared" si="8"/>
        <v>80.375100000000174</v>
      </c>
      <c r="R29">
        <f t="shared" si="9"/>
        <v>77.675100000000171</v>
      </c>
      <c r="S29">
        <f t="shared" si="10"/>
        <v>1837.3718999999999</v>
      </c>
      <c r="U29">
        <f t="shared" si="11"/>
        <v>4.5170830000000004</v>
      </c>
      <c r="V29">
        <f t="shared" si="12"/>
        <v>1650.00007824</v>
      </c>
      <c r="W29">
        <f t="shared" si="13"/>
        <v>75.480456930000173</v>
      </c>
      <c r="X29">
        <f t="shared" si="14"/>
        <v>3.3754806134100002</v>
      </c>
      <c r="Y29">
        <f t="shared" si="15"/>
        <v>72.104976316590168</v>
      </c>
      <c r="Z29">
        <f t="shared" si="16"/>
        <v>53179.472558115769</v>
      </c>
      <c r="AB29">
        <f t="shared" si="1"/>
        <v>5.111059</v>
      </c>
      <c r="AC29">
        <f t="shared" si="2"/>
        <v>1866.9676315199999</v>
      </c>
      <c r="AD29">
        <f t="shared" si="3"/>
        <v>85.405795890000192</v>
      </c>
      <c r="AE29">
        <f t="shared" si="4"/>
        <v>3.8193410589300001</v>
      </c>
      <c r="AF29">
        <f t="shared" si="5"/>
        <v>81.586454831070199</v>
      </c>
      <c r="AG29">
        <f t="shared" si="6"/>
        <v>18751.26106516939</v>
      </c>
      <c r="AH29" t="b">
        <f t="shared" si="7"/>
        <v>1</v>
      </c>
    </row>
    <row r="30" spans="4:34" x14ac:dyDescent="0.4">
      <c r="D30" t="s">
        <v>36</v>
      </c>
      <c r="E30" t="s">
        <v>37</v>
      </c>
      <c r="F30" s="9">
        <v>46044.083333333336</v>
      </c>
      <c r="G30" s="12">
        <v>130.25</v>
      </c>
      <c r="H30" s="9">
        <v>46046.083333333336</v>
      </c>
      <c r="I30" s="12">
        <v>127.55</v>
      </c>
      <c r="J30">
        <v>12.988</v>
      </c>
      <c r="K30" s="12">
        <v>1691.75</v>
      </c>
      <c r="L30">
        <v>2.5099999999999998</v>
      </c>
      <c r="M30">
        <v>-37.58</v>
      </c>
      <c r="N30" s="13">
        <v>-2.2200000000000001E-2</v>
      </c>
      <c r="O30" t="s">
        <v>38</v>
      </c>
      <c r="Q30">
        <f t="shared" si="8"/>
        <v>-35.067600000000034</v>
      </c>
      <c r="R30">
        <f t="shared" si="9"/>
        <v>-37.577600000000032</v>
      </c>
      <c r="S30">
        <f t="shared" si="10"/>
        <v>1656.6193999999998</v>
      </c>
      <c r="U30">
        <f t="shared" si="11"/>
        <v>12.667946000000001</v>
      </c>
      <c r="V30">
        <f t="shared" si="12"/>
        <v>1649.9999665</v>
      </c>
      <c r="W30">
        <f t="shared" si="13"/>
        <v>-34.203454200000039</v>
      </c>
      <c r="X30">
        <f t="shared" si="14"/>
        <v>3.2657964788000005</v>
      </c>
      <c r="Y30">
        <f t="shared" si="15"/>
        <v>-37.469250678800037</v>
      </c>
      <c r="Z30">
        <f t="shared" si="16"/>
        <v>53107.367581799183</v>
      </c>
      <c r="AB30">
        <f t="shared" si="1"/>
        <v>14.366346999999999</v>
      </c>
      <c r="AC30">
        <f t="shared" si="2"/>
        <v>1871.21669675</v>
      </c>
      <c r="AD30">
        <f t="shared" si="3"/>
        <v>-38.789136900000038</v>
      </c>
      <c r="AE30">
        <f t="shared" si="4"/>
        <v>3.7036442566000001</v>
      </c>
      <c r="AF30">
        <f t="shared" si="5"/>
        <v>-42.492781156600039</v>
      </c>
      <c r="AG30">
        <f t="shared" si="6"/>
        <v>18669.674610338319</v>
      </c>
      <c r="AH30" t="b">
        <f t="shared" si="7"/>
        <v>1</v>
      </c>
    </row>
    <row r="31" spans="4:34" x14ac:dyDescent="0.4">
      <c r="D31" t="s">
        <v>50</v>
      </c>
      <c r="E31" t="s">
        <v>51</v>
      </c>
      <c r="F31" s="9">
        <v>46045.083333333336</v>
      </c>
      <c r="G31">
        <v>239.7</v>
      </c>
      <c r="H31" s="9">
        <v>46046.083333333336</v>
      </c>
      <c r="I31">
        <v>235.8</v>
      </c>
      <c r="J31" s="12">
        <v>7.3464999999999998</v>
      </c>
      <c r="K31" s="12">
        <v>1760.96</v>
      </c>
      <c r="L31">
        <v>2.62</v>
      </c>
      <c r="M31">
        <v>-31.27</v>
      </c>
      <c r="N31" s="13">
        <v>-1.78E-2</v>
      </c>
      <c r="O31" t="s">
        <v>38</v>
      </c>
      <c r="Q31">
        <f t="shared" si="8"/>
        <v>-28.651349999999834</v>
      </c>
      <c r="R31">
        <f t="shared" si="9"/>
        <v>-31.271349999999835</v>
      </c>
      <c r="S31">
        <f t="shared" si="10"/>
        <v>1732.3047000000001</v>
      </c>
      <c r="U31">
        <f t="shared" si="11"/>
        <v>6.8836050000000002</v>
      </c>
      <c r="V31">
        <f t="shared" si="12"/>
        <v>1650.0001184999999</v>
      </c>
      <c r="W31">
        <f t="shared" si="13"/>
        <v>-26.846059499999843</v>
      </c>
      <c r="X31">
        <f t="shared" si="14"/>
        <v>3.2731541775000004</v>
      </c>
      <c r="Y31">
        <f t="shared" si="15"/>
        <v>-30.119213677499843</v>
      </c>
      <c r="Z31">
        <f t="shared" si="16"/>
        <v>53144.83683247798</v>
      </c>
      <c r="AB31">
        <f t="shared" si="1"/>
        <v>7.8207709999999997</v>
      </c>
      <c r="AC31">
        <f t="shared" si="2"/>
        <v>1874.6388086999998</v>
      </c>
      <c r="AD31">
        <f t="shared" si="3"/>
        <v>-30.501006899999823</v>
      </c>
      <c r="AE31">
        <f t="shared" si="4"/>
        <v>3.7187766105</v>
      </c>
      <c r="AF31">
        <f t="shared" si="5"/>
        <v>-34.219783510499823</v>
      </c>
      <c r="AG31">
        <f t="shared" si="6"/>
        <v>18712.167391494921</v>
      </c>
      <c r="AH31" t="b">
        <f t="shared" si="7"/>
        <v>1</v>
      </c>
    </row>
    <row r="32" spans="4:34" x14ac:dyDescent="0.4">
      <c r="D32" t="s">
        <v>43</v>
      </c>
      <c r="E32" t="s">
        <v>37</v>
      </c>
      <c r="F32" s="9">
        <v>46044.041666666664</v>
      </c>
      <c r="G32">
        <v>1.5277000000000001</v>
      </c>
      <c r="H32" s="9">
        <v>46046.041666666664</v>
      </c>
      <c r="I32">
        <v>1.4813000000000001</v>
      </c>
      <c r="J32" s="12">
        <v>1104.7</v>
      </c>
      <c r="K32" s="12">
        <v>1687.76</v>
      </c>
      <c r="L32">
        <v>2.4900000000000002</v>
      </c>
      <c r="M32">
        <v>-53.75</v>
      </c>
      <c r="N32" s="13">
        <v>-3.1800000000000002E-2</v>
      </c>
      <c r="O32" t="s">
        <v>38</v>
      </c>
      <c r="Q32">
        <f t="shared" si="8"/>
        <v>-51.25808</v>
      </c>
      <c r="R32">
        <f t="shared" si="9"/>
        <v>-53.748080000000002</v>
      </c>
      <c r="S32">
        <f t="shared" si="10"/>
        <v>1636.3921100000002</v>
      </c>
      <c r="U32">
        <f t="shared" si="11"/>
        <v>1080.054985</v>
      </c>
      <c r="V32">
        <f t="shared" si="12"/>
        <v>1650.0000005845</v>
      </c>
      <c r="W32">
        <f t="shared" si="13"/>
        <v>-50.114551303999995</v>
      </c>
      <c r="X32">
        <f t="shared" si="14"/>
        <v>3.2498854498650003</v>
      </c>
      <c r="Y32">
        <f t="shared" si="15"/>
        <v>-53.364436753864993</v>
      </c>
      <c r="Z32">
        <f t="shared" si="16"/>
        <v>53174.956046155479</v>
      </c>
      <c r="AB32">
        <f t="shared" si="1"/>
        <v>1231.0802920000001</v>
      </c>
      <c r="AC32">
        <f t="shared" si="2"/>
        <v>1880.7213620884002</v>
      </c>
      <c r="AD32">
        <f t="shared" si="3"/>
        <v>-57.1221255488</v>
      </c>
      <c r="AE32">
        <f t="shared" si="4"/>
        <v>3.7043205986280006</v>
      </c>
      <c r="AF32">
        <f t="shared" si="5"/>
        <v>-60.826446147428001</v>
      </c>
      <c r="AG32">
        <f t="shared" si="6"/>
        <v>18746.38717500542</v>
      </c>
      <c r="AH32" t="b">
        <f t="shared" si="7"/>
        <v>1</v>
      </c>
    </row>
    <row r="33" spans="4:34" x14ac:dyDescent="0.4">
      <c r="D33" t="s">
        <v>46</v>
      </c>
      <c r="E33" t="s">
        <v>37</v>
      </c>
      <c r="F33" s="9">
        <v>46043.625</v>
      </c>
      <c r="G33">
        <v>1.9430000000000001</v>
      </c>
      <c r="H33" s="9">
        <v>46045.625</v>
      </c>
      <c r="I33">
        <v>1.8966000000000001</v>
      </c>
      <c r="J33" s="12">
        <v>872.6</v>
      </c>
      <c r="K33" s="12">
        <v>1695.63</v>
      </c>
      <c r="L33">
        <v>2.5099999999999998</v>
      </c>
      <c r="M33">
        <v>-43</v>
      </c>
      <c r="N33" s="13">
        <v>-2.5399999999999999E-2</v>
      </c>
      <c r="O33" t="s">
        <v>38</v>
      </c>
      <c r="Q33">
        <f t="shared" si="8"/>
        <v>-40.488639999999997</v>
      </c>
      <c r="R33">
        <f t="shared" si="9"/>
        <v>-42.998639999999995</v>
      </c>
      <c r="S33">
        <f t="shared" si="10"/>
        <v>1654.97316</v>
      </c>
      <c r="U33">
        <f t="shared" si="11"/>
        <v>849.20226500000001</v>
      </c>
      <c r="V33">
        <f t="shared" si="12"/>
        <v>1650.0000008950001</v>
      </c>
      <c r="W33">
        <f t="shared" si="13"/>
        <v>-39.402985095999995</v>
      </c>
      <c r="X33">
        <f t="shared" si="14"/>
        <v>3.2605970166940001</v>
      </c>
      <c r="Y33">
        <f t="shared" si="15"/>
        <v>-42.663582112693994</v>
      </c>
      <c r="Z33">
        <f t="shared" si="16"/>
        <v>53228.320482909345</v>
      </c>
      <c r="AB33">
        <f t="shared" si="1"/>
        <v>970.456457</v>
      </c>
      <c r="AC33">
        <f t="shared" si="2"/>
        <v>1885.5968959510001</v>
      </c>
      <c r="AD33">
        <f t="shared" si="3"/>
        <v>-45.029179604799999</v>
      </c>
      <c r="AE33">
        <f t="shared" si="4"/>
        <v>3.7261646122971999</v>
      </c>
      <c r="AF33">
        <f t="shared" si="5"/>
        <v>-48.755344217097196</v>
      </c>
      <c r="AG33">
        <f t="shared" si="6"/>
        <v>18807.213621152849</v>
      </c>
      <c r="AH33" t="b">
        <f t="shared" si="7"/>
        <v>1</v>
      </c>
    </row>
    <row r="34" spans="4:34" x14ac:dyDescent="0.4">
      <c r="D34" t="s">
        <v>40</v>
      </c>
      <c r="E34" t="s">
        <v>41</v>
      </c>
      <c r="F34" s="9">
        <v>46043.416666666664</v>
      </c>
      <c r="G34">
        <v>358.46</v>
      </c>
      <c r="H34" s="9">
        <v>46044.75</v>
      </c>
      <c r="I34">
        <v>366.07</v>
      </c>
      <c r="J34">
        <v>24.907</v>
      </c>
      <c r="K34" s="12">
        <v>8928.42</v>
      </c>
      <c r="L34">
        <v>13.53</v>
      </c>
      <c r="M34">
        <v>176.01</v>
      </c>
      <c r="N34" s="13">
        <v>1.9699999999999999E-2</v>
      </c>
      <c r="O34" t="s">
        <v>38</v>
      </c>
      <c r="Q34">
        <f t="shared" si="8"/>
        <v>189.54227000000034</v>
      </c>
      <c r="R34">
        <f t="shared" si="9"/>
        <v>176.01227000000034</v>
      </c>
      <c r="S34">
        <f t="shared" si="10"/>
        <v>9117.7054900000003</v>
      </c>
      <c r="U34">
        <f t="shared" si="11"/>
        <v>4.6030239999999996</v>
      </c>
      <c r="V34">
        <f t="shared" si="12"/>
        <v>1649.9999830399997</v>
      </c>
      <c r="W34">
        <f t="shared" si="13"/>
        <v>35.029012640000062</v>
      </c>
      <c r="X34">
        <f t="shared" si="14"/>
        <v>3.3350289787199996</v>
      </c>
      <c r="Y34">
        <f t="shared" si="15"/>
        <v>31.693983661280061</v>
      </c>
      <c r="Z34">
        <f t="shared" si="16"/>
        <v>53270.984065022036</v>
      </c>
      <c r="AB34">
        <f t="shared" si="1"/>
        <v>5.2501870000000004</v>
      </c>
      <c r="AC34">
        <f t="shared" si="2"/>
        <v>1881.9820320200001</v>
      </c>
      <c r="AD34">
        <f t="shared" si="3"/>
        <v>39.953923070000073</v>
      </c>
      <c r="AE34">
        <f t="shared" si="4"/>
        <v>3.8039179871100002</v>
      </c>
      <c r="AF34">
        <f t="shared" si="5"/>
        <v>36.150005082890075</v>
      </c>
      <c r="AG34">
        <f t="shared" si="6"/>
        <v>18855.968965369946</v>
      </c>
      <c r="AH34" t="b">
        <f t="shared" si="7"/>
        <v>1</v>
      </c>
    </row>
    <row r="35" spans="4:34" x14ac:dyDescent="0.4">
      <c r="D35" t="s">
        <v>52</v>
      </c>
      <c r="E35" t="s">
        <v>37</v>
      </c>
      <c r="F35" s="9">
        <v>46041.166666666664</v>
      </c>
      <c r="G35">
        <v>3.8730000000000002</v>
      </c>
      <c r="H35" s="9">
        <v>46043.166666666664</v>
      </c>
      <c r="I35">
        <v>3.6819999999999999</v>
      </c>
      <c r="J35">
        <v>725.35</v>
      </c>
      <c r="K35" s="12">
        <v>2809.31</v>
      </c>
      <c r="L35">
        <v>4.1100000000000003</v>
      </c>
      <c r="M35">
        <v>-142.65</v>
      </c>
      <c r="N35" s="13">
        <v>-5.0799999999999998E-2</v>
      </c>
      <c r="O35" t="s">
        <v>38</v>
      </c>
      <c r="Q35">
        <f t="shared" si="8"/>
        <v>-138.54185000000021</v>
      </c>
      <c r="R35">
        <f t="shared" si="9"/>
        <v>-142.65185000000022</v>
      </c>
      <c r="S35">
        <f t="shared" si="10"/>
        <v>2670.7386999999999</v>
      </c>
      <c r="U35">
        <f t="shared" si="11"/>
        <v>426.02633600000001</v>
      </c>
      <c r="V35">
        <f t="shared" si="12"/>
        <v>1649.9999993280001</v>
      </c>
      <c r="W35">
        <f t="shared" si="13"/>
        <v>-81.371030176000119</v>
      </c>
      <c r="X35">
        <f t="shared" si="14"/>
        <v>3.21862896848</v>
      </c>
      <c r="Y35">
        <f t="shared" si="15"/>
        <v>-84.589659144480123</v>
      </c>
      <c r="Z35">
        <f t="shared" si="16"/>
        <v>53239.290081360756</v>
      </c>
      <c r="AB35">
        <f t="shared" si="1"/>
        <v>488.42754200000002</v>
      </c>
      <c r="AC35">
        <f t="shared" si="2"/>
        <v>1891.6798701660002</v>
      </c>
      <c r="AD35">
        <f t="shared" si="3"/>
        <v>-93.289660522000133</v>
      </c>
      <c r="AE35">
        <f t="shared" si="4"/>
        <v>3.6900700798100003</v>
      </c>
      <c r="AF35">
        <f t="shared" si="5"/>
        <v>-96.979730601810132</v>
      </c>
      <c r="AG35">
        <f t="shared" si="6"/>
        <v>18819.818960287055</v>
      </c>
      <c r="AH35" t="b">
        <f t="shared" si="7"/>
        <v>1</v>
      </c>
    </row>
    <row r="36" spans="4:34" x14ac:dyDescent="0.4">
      <c r="D36" t="s">
        <v>48</v>
      </c>
      <c r="E36" t="s">
        <v>37</v>
      </c>
      <c r="F36" s="9">
        <v>46040.041666666664</v>
      </c>
      <c r="G36">
        <v>7.2300000000000003E-2</v>
      </c>
      <c r="H36" s="9">
        <v>46042.041666666664</v>
      </c>
      <c r="I36">
        <v>6.59E-2</v>
      </c>
      <c r="J36" s="12">
        <v>60258.9</v>
      </c>
      <c r="K36" s="12">
        <v>4356.72</v>
      </c>
      <c r="L36">
        <v>6.25</v>
      </c>
      <c r="M36">
        <v>-391.9</v>
      </c>
      <c r="N36" s="13">
        <v>-0.09</v>
      </c>
      <c r="O36" t="s">
        <v>38</v>
      </c>
      <c r="Q36">
        <f t="shared" si="8"/>
        <v>-385.6569600000002</v>
      </c>
      <c r="R36">
        <f t="shared" si="9"/>
        <v>-391.9069600000002</v>
      </c>
      <c r="S36">
        <f t="shared" si="10"/>
        <v>3971.06151</v>
      </c>
      <c r="U36">
        <f t="shared" si="11"/>
        <v>22821.576763000001</v>
      </c>
      <c r="V36">
        <f t="shared" si="12"/>
        <v>1649.9999999649001</v>
      </c>
      <c r="W36">
        <f t="shared" si="13"/>
        <v>-146.05809128320007</v>
      </c>
      <c r="X36">
        <f t="shared" si="14"/>
        <v>3.1539419086466003</v>
      </c>
      <c r="Y36">
        <f t="shared" si="15"/>
        <v>-149.21203319184667</v>
      </c>
      <c r="Z36">
        <f t="shared" si="16"/>
        <v>53323.879740505239</v>
      </c>
      <c r="AB36">
        <f t="shared" si="1"/>
        <v>26403.080654000001</v>
      </c>
      <c r="AC36">
        <f t="shared" si="2"/>
        <v>1908.9427312842001</v>
      </c>
      <c r="AD36">
        <f t="shared" si="3"/>
        <v>-168.9797161856001</v>
      </c>
      <c r="AE36">
        <f t="shared" si="4"/>
        <v>3.6489057463828001</v>
      </c>
      <c r="AF36">
        <f t="shared" si="5"/>
        <v>-172.62862193198291</v>
      </c>
      <c r="AG36">
        <f t="shared" si="6"/>
        <v>18916.798690888867</v>
      </c>
      <c r="AH36" t="b">
        <f t="shared" si="7"/>
        <v>1</v>
      </c>
    </row>
    <row r="37" spans="4:34" x14ac:dyDescent="0.4">
      <c r="D37" t="s">
        <v>53</v>
      </c>
      <c r="E37" t="s">
        <v>37</v>
      </c>
      <c r="F37" s="9">
        <v>46039.083333333336</v>
      </c>
      <c r="G37" s="12">
        <v>938.27</v>
      </c>
      <c r="H37" s="9">
        <v>46041.083333333336</v>
      </c>
      <c r="I37" s="12">
        <v>919.67</v>
      </c>
      <c r="J37">
        <v>10.57</v>
      </c>
      <c r="K37" s="12">
        <v>9917.64</v>
      </c>
      <c r="L37">
        <v>14.73</v>
      </c>
      <c r="M37">
        <v>-211.33</v>
      </c>
      <c r="N37" s="13">
        <v>-2.1299999999999999E-2</v>
      </c>
      <c r="O37" t="s">
        <v>38</v>
      </c>
      <c r="Q37">
        <f t="shared" si="8"/>
        <v>-196.60200000000026</v>
      </c>
      <c r="R37">
        <f t="shared" si="9"/>
        <v>-211.33200000000025</v>
      </c>
      <c r="S37">
        <f t="shared" si="10"/>
        <v>9720.9118999999992</v>
      </c>
      <c r="U37">
        <f t="shared" si="11"/>
        <v>1.758556</v>
      </c>
      <c r="V37">
        <f t="shared" si="12"/>
        <v>1650.0003381199999</v>
      </c>
      <c r="W37">
        <f t="shared" si="13"/>
        <v>-32.709141600000038</v>
      </c>
      <c r="X37">
        <f t="shared" si="14"/>
        <v>3.2672915346400004</v>
      </c>
      <c r="Y37">
        <f t="shared" si="15"/>
        <v>-35.97643313464004</v>
      </c>
      <c r="Z37">
        <f t="shared" si="16"/>
        <v>53473.091773697088</v>
      </c>
      <c r="AB37">
        <f t="shared" si="1"/>
        <v>2.03898</v>
      </c>
      <c r="AC37">
        <f t="shared" si="2"/>
        <v>1913.1137646</v>
      </c>
      <c r="AD37">
        <f t="shared" si="3"/>
        <v>-37.925028000000047</v>
      </c>
      <c r="AE37">
        <f t="shared" si="4"/>
        <v>3.7883025012000004</v>
      </c>
      <c r="AF37">
        <f t="shared" si="5"/>
        <v>-41.713330501200048</v>
      </c>
      <c r="AG37">
        <f t="shared" si="6"/>
        <v>19089.427312820852</v>
      </c>
      <c r="AH37" t="b">
        <f t="shared" si="7"/>
        <v>1</v>
      </c>
    </row>
    <row r="38" spans="4:34" x14ac:dyDescent="0.4">
      <c r="D38" t="s">
        <v>54</v>
      </c>
      <c r="E38" t="s">
        <v>37</v>
      </c>
      <c r="F38" s="9">
        <v>46038.75</v>
      </c>
      <c r="G38">
        <v>143.28</v>
      </c>
      <c r="H38" s="9">
        <v>46040.75</v>
      </c>
      <c r="I38">
        <v>142.34</v>
      </c>
      <c r="J38" s="12">
        <v>36.030999999999999</v>
      </c>
      <c r="K38" s="12">
        <v>5162.6000000000004</v>
      </c>
      <c r="L38">
        <v>7.72</v>
      </c>
      <c r="M38">
        <v>-41.59</v>
      </c>
      <c r="N38" s="13">
        <v>-8.0999999999999996E-3</v>
      </c>
      <c r="O38" t="s">
        <v>38</v>
      </c>
      <c r="Q38">
        <f t="shared" si="8"/>
        <v>-33.869139999999916</v>
      </c>
      <c r="R38">
        <f t="shared" si="9"/>
        <v>-41.589139999999915</v>
      </c>
      <c r="S38">
        <f t="shared" si="10"/>
        <v>5128.65254</v>
      </c>
      <c r="U38">
        <f t="shared" si="11"/>
        <v>11.515912999999999</v>
      </c>
      <c r="V38">
        <f t="shared" si="12"/>
        <v>1650.00001464</v>
      </c>
      <c r="W38">
        <f t="shared" si="13"/>
        <v>-10.824958219999973</v>
      </c>
      <c r="X38">
        <f t="shared" si="14"/>
        <v>3.2891750710599998</v>
      </c>
      <c r="Y38">
        <f t="shared" si="15"/>
        <v>-14.114133291059971</v>
      </c>
      <c r="Z38">
        <f t="shared" si="16"/>
        <v>53509.068206831726</v>
      </c>
      <c r="AB38">
        <f t="shared" si="1"/>
        <v>13.363707</v>
      </c>
      <c r="AC38">
        <f t="shared" si="2"/>
        <v>1914.75193896</v>
      </c>
      <c r="AD38">
        <f t="shared" si="3"/>
        <v>-12.561884579999969</v>
      </c>
      <c r="AE38">
        <f t="shared" si="4"/>
        <v>3.81694199334</v>
      </c>
      <c r="AF38">
        <f t="shared" si="5"/>
        <v>-16.378826573339968</v>
      </c>
      <c r="AG38">
        <f t="shared" si="6"/>
        <v>19131.140643322051</v>
      </c>
      <c r="AH38" t="b">
        <f t="shared" si="7"/>
        <v>1</v>
      </c>
    </row>
    <row r="39" spans="4:34" x14ac:dyDescent="0.4">
      <c r="D39" t="s">
        <v>55</v>
      </c>
      <c r="E39" t="s">
        <v>37</v>
      </c>
      <c r="F39" s="9">
        <v>46038.75</v>
      </c>
      <c r="G39" s="12">
        <v>4.0849999999999997E-5</v>
      </c>
      <c r="H39" s="9">
        <v>46040.75</v>
      </c>
      <c r="I39" s="12">
        <v>4.104E-5</v>
      </c>
      <c r="J39" s="12">
        <v>160315557.12</v>
      </c>
      <c r="K39" s="12">
        <v>6548.89</v>
      </c>
      <c r="L39">
        <v>9.85</v>
      </c>
      <c r="M39">
        <v>20.61</v>
      </c>
      <c r="N39" s="13">
        <v>3.0999999999999999E-3</v>
      </c>
      <c r="O39" t="s">
        <v>38</v>
      </c>
      <c r="Q39">
        <f t="shared" si="8"/>
        <v>30.459955852800523</v>
      </c>
      <c r="R39">
        <f t="shared" si="9"/>
        <v>20.609955852800525</v>
      </c>
      <c r="S39">
        <f t="shared" si="10"/>
        <v>6579.3504642048001</v>
      </c>
      <c r="U39">
        <f t="shared" si="11"/>
        <v>40391676.866585001</v>
      </c>
      <c r="V39">
        <f t="shared" si="12"/>
        <v>1649.9999999999973</v>
      </c>
      <c r="W39">
        <f t="shared" si="13"/>
        <v>7.6744186046512821</v>
      </c>
      <c r="X39">
        <f t="shared" si="14"/>
        <v>3.3076744186046452</v>
      </c>
      <c r="Y39">
        <f t="shared" si="15"/>
        <v>4.3667441860466365</v>
      </c>
      <c r="Z39">
        <f t="shared" si="16"/>
        <v>53523.182340122788</v>
      </c>
      <c r="AB39">
        <f t="shared" si="1"/>
        <v>46860351.033892997</v>
      </c>
      <c r="AC39">
        <f t="shared" si="2"/>
        <v>1914.2453397345287</v>
      </c>
      <c r="AD39">
        <f t="shared" si="3"/>
        <v>8.903466696439823</v>
      </c>
      <c r="AE39">
        <f t="shared" si="4"/>
        <v>3.8373941461654968</v>
      </c>
      <c r="AF39">
        <f t="shared" si="5"/>
        <v>5.0660725502743258</v>
      </c>
      <c r="AG39">
        <f t="shared" si="6"/>
        <v>19147.519469895389</v>
      </c>
      <c r="AH39" t="b">
        <f t="shared" si="7"/>
        <v>1</v>
      </c>
    </row>
    <row r="40" spans="4:34" x14ac:dyDescent="0.4">
      <c r="D40" t="s">
        <v>56</v>
      </c>
      <c r="E40" t="s">
        <v>37</v>
      </c>
      <c r="F40" s="9">
        <v>46037.958333333336</v>
      </c>
      <c r="G40" s="12">
        <v>3309.06</v>
      </c>
      <c r="H40" s="9">
        <v>46040.458333333336</v>
      </c>
      <c r="I40" s="12">
        <v>3325.02</v>
      </c>
      <c r="J40">
        <v>1.8093999999999999</v>
      </c>
      <c r="K40" s="12">
        <v>5987.57</v>
      </c>
      <c r="L40">
        <v>9</v>
      </c>
      <c r="M40">
        <v>19.88</v>
      </c>
      <c r="N40" s="13">
        <v>3.3E-3</v>
      </c>
      <c r="O40" t="s">
        <v>57</v>
      </c>
      <c r="Q40">
        <f t="shared" si="8"/>
        <v>28.878024000000064</v>
      </c>
      <c r="R40">
        <f t="shared" si="9"/>
        <v>19.878024000000064</v>
      </c>
      <c r="S40">
        <f t="shared" si="10"/>
        <v>6016.2911879999992</v>
      </c>
      <c r="U40">
        <f t="shared" si="11"/>
        <v>0.49863099999999999</v>
      </c>
      <c r="V40">
        <f t="shared" si="12"/>
        <v>1649.99989686</v>
      </c>
      <c r="W40">
        <f t="shared" si="13"/>
        <v>7.9581507600000183</v>
      </c>
      <c r="X40">
        <f t="shared" si="14"/>
        <v>3.30795794448</v>
      </c>
      <c r="Y40">
        <f t="shared" si="15"/>
        <v>4.6501928155200183</v>
      </c>
      <c r="Z40">
        <f t="shared" si="16"/>
        <v>53518.815595936743</v>
      </c>
      <c r="AB40">
        <f t="shared" si="1"/>
        <v>0.57832300000000003</v>
      </c>
      <c r="AC40">
        <f t="shared" si="2"/>
        <v>1913.7055063800001</v>
      </c>
      <c r="AD40">
        <f t="shared" si="3"/>
        <v>9.2300350800000217</v>
      </c>
      <c r="AE40">
        <f t="shared" si="4"/>
        <v>3.8366410478400002</v>
      </c>
      <c r="AF40">
        <f t="shared" si="5"/>
        <v>5.3933940321600211</v>
      </c>
      <c r="AG40">
        <f t="shared" si="6"/>
        <v>19142.453397345114</v>
      </c>
      <c r="AH40" t="b">
        <f t="shared" si="7"/>
        <v>1</v>
      </c>
    </row>
    <row r="41" spans="4:34" x14ac:dyDescent="0.4">
      <c r="D41" t="s">
        <v>58</v>
      </c>
      <c r="E41" t="s">
        <v>37</v>
      </c>
      <c r="F41" s="9">
        <v>46037.416666666664</v>
      </c>
      <c r="G41">
        <v>14.06</v>
      </c>
      <c r="H41" s="9">
        <v>46039.416666666664</v>
      </c>
      <c r="I41">
        <v>13.73</v>
      </c>
      <c r="J41" s="12">
        <v>529.44000000000005</v>
      </c>
      <c r="K41" s="12">
        <v>7444.02</v>
      </c>
      <c r="L41">
        <v>11.03</v>
      </c>
      <c r="M41">
        <v>-185.75</v>
      </c>
      <c r="N41" s="13">
        <v>-2.5000000000000001E-2</v>
      </c>
      <c r="O41" t="s">
        <v>38</v>
      </c>
      <c r="Q41">
        <f t="shared" si="8"/>
        <v>-174.71520000000007</v>
      </c>
      <c r="R41">
        <f t="shared" si="9"/>
        <v>-185.74520000000007</v>
      </c>
      <c r="S41">
        <f t="shared" si="10"/>
        <v>7269.2112000000006</v>
      </c>
      <c r="U41">
        <f t="shared" si="11"/>
        <v>117.354196</v>
      </c>
      <c r="V41">
        <f t="shared" si="12"/>
        <v>1649.99999576</v>
      </c>
      <c r="W41">
        <f t="shared" si="13"/>
        <v>-38.726884680000012</v>
      </c>
      <c r="X41">
        <f t="shared" si="14"/>
        <v>3.26127310684</v>
      </c>
      <c r="Y41">
        <f t="shared" si="15"/>
        <v>-41.988157786840013</v>
      </c>
      <c r="Z41">
        <f t="shared" si="16"/>
        <v>53514.165403121224</v>
      </c>
      <c r="AB41">
        <f t="shared" si="1"/>
        <v>136.45720499999999</v>
      </c>
      <c r="AC41">
        <f t="shared" si="2"/>
        <v>1918.5883022999999</v>
      </c>
      <c r="AD41">
        <f t="shared" si="3"/>
        <v>-45.030877650000008</v>
      </c>
      <c r="AE41">
        <f t="shared" si="4"/>
        <v>3.7921457269499994</v>
      </c>
      <c r="AF41">
        <f t="shared" si="5"/>
        <v>-48.823023376950005</v>
      </c>
      <c r="AG41">
        <f t="shared" si="6"/>
        <v>19137.060003312956</v>
      </c>
      <c r="AH41" t="b">
        <f t="shared" si="7"/>
        <v>1</v>
      </c>
    </row>
    <row r="42" spans="4:34" x14ac:dyDescent="0.4">
      <c r="D42" t="s">
        <v>48</v>
      </c>
      <c r="E42" t="s">
        <v>37</v>
      </c>
      <c r="F42" s="9">
        <v>46037.333333333336</v>
      </c>
      <c r="G42">
        <v>7.2499999999999995E-2</v>
      </c>
      <c r="H42" s="9">
        <v>46039.333333333336</v>
      </c>
      <c r="I42">
        <v>7.2800000000000004E-2</v>
      </c>
      <c r="J42" s="12">
        <v>60076.800000000003</v>
      </c>
      <c r="K42" s="12">
        <v>4355.57</v>
      </c>
      <c r="L42">
        <v>6.55</v>
      </c>
      <c r="M42">
        <v>11.48</v>
      </c>
      <c r="N42" s="13">
        <v>2.5999999999999999E-3</v>
      </c>
      <c r="O42" t="s">
        <v>38</v>
      </c>
      <c r="Q42">
        <f t="shared" si="8"/>
        <v>18.023040000000517</v>
      </c>
      <c r="R42">
        <f t="shared" si="9"/>
        <v>11.473040000000516</v>
      </c>
      <c r="S42">
        <f t="shared" si="10"/>
        <v>4373.5910400000002</v>
      </c>
      <c r="U42">
        <f t="shared" si="11"/>
        <v>22758.62069</v>
      </c>
      <c r="V42">
        <f t="shared" si="12"/>
        <v>1650.000000025</v>
      </c>
      <c r="W42">
        <f t="shared" si="13"/>
        <v>6.8275862070001958</v>
      </c>
      <c r="X42">
        <f t="shared" si="14"/>
        <v>3.3068275862569996</v>
      </c>
      <c r="Y42">
        <f t="shared" si="15"/>
        <v>3.5207586207431962</v>
      </c>
      <c r="Z42">
        <f t="shared" si="16"/>
        <v>53556.15356090806</v>
      </c>
      <c r="AB42">
        <f t="shared" si="1"/>
        <v>26457.64142</v>
      </c>
      <c r="AC42">
        <f t="shared" si="2"/>
        <v>1918.1790029499998</v>
      </c>
      <c r="AD42">
        <f t="shared" si="3"/>
        <v>7.9372924260002273</v>
      </c>
      <c r="AE42">
        <f t="shared" si="4"/>
        <v>3.8442952983259997</v>
      </c>
      <c r="AF42">
        <f t="shared" si="5"/>
        <v>4.0929971276742272</v>
      </c>
      <c r="AG42">
        <f t="shared" si="6"/>
        <v>19185.883026689906</v>
      </c>
      <c r="AH42" t="b">
        <f t="shared" si="7"/>
        <v>1</v>
      </c>
    </row>
    <row r="43" spans="4:34" x14ac:dyDescent="0.4">
      <c r="D43" t="s">
        <v>52</v>
      </c>
      <c r="E43" t="s">
        <v>37</v>
      </c>
      <c r="F43" s="9">
        <v>46037.208333333336</v>
      </c>
      <c r="G43" s="12">
        <v>4.524</v>
      </c>
      <c r="H43" s="9">
        <v>46039.208333333336</v>
      </c>
      <c r="I43" s="12">
        <v>4.1260000000000003</v>
      </c>
      <c r="J43">
        <v>626.58000000000004</v>
      </c>
      <c r="K43" s="12">
        <v>2834.66</v>
      </c>
      <c r="L43">
        <v>4.0599999999999996</v>
      </c>
      <c r="M43">
        <v>-253.44</v>
      </c>
      <c r="N43" s="13">
        <v>-8.9399999999999993E-2</v>
      </c>
      <c r="O43" t="s">
        <v>38</v>
      </c>
      <c r="Q43">
        <f t="shared" si="8"/>
        <v>-249.37883999999983</v>
      </c>
      <c r="R43">
        <f t="shared" si="9"/>
        <v>-253.43883999999983</v>
      </c>
      <c r="S43">
        <f t="shared" si="10"/>
        <v>2585.2690800000005</v>
      </c>
      <c r="U43">
        <f t="shared" si="11"/>
        <v>364.72148499999997</v>
      </c>
      <c r="V43">
        <f t="shared" si="12"/>
        <v>1649.9999981399999</v>
      </c>
      <c r="W43">
        <f t="shared" si="13"/>
        <v>-145.15915102999986</v>
      </c>
      <c r="X43">
        <f t="shared" si="14"/>
        <v>3.1548408452499999</v>
      </c>
      <c r="Y43">
        <f t="shared" si="15"/>
        <v>-148.31399187524985</v>
      </c>
      <c r="Z43">
        <f t="shared" si="16"/>
        <v>53552.63280228732</v>
      </c>
      <c r="AB43">
        <f t="shared" si="1"/>
        <v>427.84645899999998</v>
      </c>
      <c r="AC43">
        <f t="shared" si="2"/>
        <v>1935.5773805159999</v>
      </c>
      <c r="AD43">
        <f t="shared" si="3"/>
        <v>-170.28289068199985</v>
      </c>
      <c r="AE43">
        <f t="shared" si="4"/>
        <v>3.7008718703499999</v>
      </c>
      <c r="AF43">
        <f t="shared" si="5"/>
        <v>-173.98376255234984</v>
      </c>
      <c r="AG43">
        <f t="shared" si="6"/>
        <v>19181.790029562231</v>
      </c>
      <c r="AH43" t="b">
        <f t="shared" si="7"/>
        <v>1</v>
      </c>
    </row>
    <row r="44" spans="4:34" x14ac:dyDescent="0.4">
      <c r="D44" t="s">
        <v>53</v>
      </c>
      <c r="E44" t="s">
        <v>37</v>
      </c>
      <c r="F44" s="9">
        <v>46037</v>
      </c>
      <c r="G44">
        <v>948.6</v>
      </c>
      <c r="H44" s="9">
        <v>46039</v>
      </c>
      <c r="I44">
        <v>937.95</v>
      </c>
      <c r="J44">
        <v>10.468</v>
      </c>
      <c r="K44" s="12">
        <v>9930.27</v>
      </c>
      <c r="L44">
        <v>14.81</v>
      </c>
      <c r="M44">
        <v>-126.3</v>
      </c>
      <c r="N44" s="13">
        <v>-1.2699999999999999E-2</v>
      </c>
      <c r="O44" t="s">
        <v>38</v>
      </c>
      <c r="Q44">
        <f t="shared" si="8"/>
        <v>-111.48419999999976</v>
      </c>
      <c r="R44">
        <f t="shared" si="9"/>
        <v>-126.29419999999976</v>
      </c>
      <c r="S44">
        <f t="shared" si="10"/>
        <v>9818.4606000000003</v>
      </c>
      <c r="U44">
        <f t="shared" si="11"/>
        <v>1.7394050000000001</v>
      </c>
      <c r="V44">
        <f t="shared" si="12"/>
        <v>1649.999583</v>
      </c>
      <c r="W44">
        <f t="shared" si="13"/>
        <v>-18.524663249999961</v>
      </c>
      <c r="X44">
        <f t="shared" si="14"/>
        <v>3.2814745027500005</v>
      </c>
      <c r="Y44">
        <f t="shared" si="15"/>
        <v>-21.806137752749962</v>
      </c>
      <c r="Z44">
        <f t="shared" si="16"/>
        <v>53700.94679416257</v>
      </c>
      <c r="AB44">
        <f t="shared" si="1"/>
        <v>2.0431569999999999</v>
      </c>
      <c r="AC44">
        <f t="shared" si="2"/>
        <v>1938.1387302000001</v>
      </c>
      <c r="AD44">
        <f t="shared" si="3"/>
        <v>-21.759622049999951</v>
      </c>
      <c r="AE44">
        <f t="shared" si="4"/>
        <v>3.8545178383500001</v>
      </c>
      <c r="AF44">
        <f t="shared" si="5"/>
        <v>-25.61413988834995</v>
      </c>
      <c r="AG44">
        <f t="shared" si="6"/>
        <v>19355.773792114582</v>
      </c>
      <c r="AH44" t="b">
        <f t="shared" si="7"/>
        <v>1</v>
      </c>
    </row>
    <row r="45" spans="4:34" x14ac:dyDescent="0.4">
      <c r="D45" t="s">
        <v>59</v>
      </c>
      <c r="E45" t="s">
        <v>37</v>
      </c>
      <c r="F45" s="9">
        <v>46036.333333333336</v>
      </c>
      <c r="G45" s="12">
        <v>95197</v>
      </c>
      <c r="H45" s="9">
        <v>46038.833333333336</v>
      </c>
      <c r="I45" s="12">
        <v>94979.22</v>
      </c>
      <c r="J45" s="12">
        <v>0.11368</v>
      </c>
      <c r="K45" s="12">
        <v>10822.5</v>
      </c>
      <c r="L45">
        <v>16.21</v>
      </c>
      <c r="M45">
        <v>-40.97</v>
      </c>
      <c r="N45" s="13">
        <v>-3.8E-3</v>
      </c>
      <c r="O45" t="s">
        <v>57</v>
      </c>
      <c r="Q45">
        <f t="shared" si="8"/>
        <v>-24.75723039999987</v>
      </c>
      <c r="R45">
        <f t="shared" si="9"/>
        <v>-40.96723039999987</v>
      </c>
      <c r="S45">
        <f t="shared" si="10"/>
        <v>10797.237729600001</v>
      </c>
      <c r="U45">
        <f t="shared" si="11"/>
        <v>1.7332E-2</v>
      </c>
      <c r="V45">
        <f t="shared" si="12"/>
        <v>1649.9544040000001</v>
      </c>
      <c r="W45">
        <f t="shared" si="13"/>
        <v>-3.7745629599999799</v>
      </c>
      <c r="X45">
        <f t="shared" si="14"/>
        <v>3.2961342450400002</v>
      </c>
      <c r="Y45">
        <f t="shared" si="15"/>
        <v>-7.0706972050399806</v>
      </c>
      <c r="Z45">
        <f t="shared" si="16"/>
        <v>53722.752931915318</v>
      </c>
      <c r="AB45">
        <f t="shared" si="1"/>
        <v>2.0368000000000001E-2</v>
      </c>
      <c r="AC45">
        <f t="shared" si="2"/>
        <v>1938.9724960000001</v>
      </c>
      <c r="AD45">
        <f t="shared" si="3"/>
        <v>-4.4357430399999762</v>
      </c>
      <c r="AE45">
        <f t="shared" si="4"/>
        <v>3.87350924896</v>
      </c>
      <c r="AF45">
        <f t="shared" si="5"/>
        <v>-8.3092522889599767</v>
      </c>
      <c r="AG45">
        <f t="shared" si="6"/>
        <v>19381.38793200293</v>
      </c>
      <c r="AH45" t="b">
        <f t="shared" si="7"/>
        <v>1</v>
      </c>
    </row>
    <row r="46" spans="4:34" x14ac:dyDescent="0.4">
      <c r="D46" t="s">
        <v>40</v>
      </c>
      <c r="E46" t="s">
        <v>41</v>
      </c>
      <c r="F46" s="9">
        <v>46037.25</v>
      </c>
      <c r="G46">
        <v>431.68</v>
      </c>
      <c r="H46" s="9">
        <v>46038.583333333336</v>
      </c>
      <c r="I46">
        <v>408.8</v>
      </c>
      <c r="J46">
        <v>20.795999999999999</v>
      </c>
      <c r="K46" s="12">
        <v>8977.31</v>
      </c>
      <c r="L46">
        <v>13.11</v>
      </c>
      <c r="M46">
        <v>-488.92</v>
      </c>
      <c r="N46" s="13">
        <v>-5.45E-2</v>
      </c>
      <c r="O46" t="s">
        <v>38</v>
      </c>
      <c r="Q46">
        <f t="shared" si="8"/>
        <v>-475.81247999999988</v>
      </c>
      <c r="R46">
        <f t="shared" si="9"/>
        <v>-488.92247999999989</v>
      </c>
      <c r="S46">
        <f t="shared" si="10"/>
        <v>8501.4048000000003</v>
      </c>
      <c r="U46">
        <f t="shared" si="11"/>
        <v>3.822276</v>
      </c>
      <c r="V46">
        <f t="shared" si="12"/>
        <v>1650.0001036799999</v>
      </c>
      <c r="W46">
        <f t="shared" si="13"/>
        <v>-87.45367487999998</v>
      </c>
      <c r="X46">
        <f t="shared" si="14"/>
        <v>3.2125465324800002</v>
      </c>
      <c r="Y46">
        <f t="shared" si="15"/>
        <v>-90.666221412479985</v>
      </c>
      <c r="Z46">
        <f t="shared" si="16"/>
        <v>53729.823629120358</v>
      </c>
      <c r="AB46">
        <f t="shared" si="1"/>
        <v>4.5165009999999999</v>
      </c>
      <c r="AC46">
        <f t="shared" si="2"/>
        <v>1949.68315168</v>
      </c>
      <c r="AD46">
        <f t="shared" si="3"/>
        <v>-103.33754287999997</v>
      </c>
      <c r="AE46">
        <f t="shared" si="4"/>
        <v>3.79602876048</v>
      </c>
      <c r="AF46">
        <f t="shared" si="5"/>
        <v>-107.13357164047997</v>
      </c>
      <c r="AG46">
        <f t="shared" si="6"/>
        <v>19389.69718429189</v>
      </c>
      <c r="AH46" t="b">
        <f t="shared" si="7"/>
        <v>1</v>
      </c>
    </row>
    <row r="47" spans="4:34" x14ac:dyDescent="0.4">
      <c r="D47" t="s">
        <v>54</v>
      </c>
      <c r="E47" t="s">
        <v>37</v>
      </c>
      <c r="F47" s="9">
        <v>46036.083333333336</v>
      </c>
      <c r="G47">
        <v>145.65</v>
      </c>
      <c r="H47" s="9">
        <v>46038.083333333336</v>
      </c>
      <c r="I47">
        <v>142.35</v>
      </c>
      <c r="J47" s="12">
        <v>35.530999999999999</v>
      </c>
      <c r="K47" s="12">
        <v>5175.09</v>
      </c>
      <c r="L47">
        <v>7.67</v>
      </c>
      <c r="M47">
        <v>-124.93</v>
      </c>
      <c r="N47" s="13">
        <v>-2.41E-2</v>
      </c>
      <c r="O47" t="s">
        <v>38</v>
      </c>
      <c r="Q47">
        <f t="shared" si="8"/>
        <v>-117.2523000000004</v>
      </c>
      <c r="R47">
        <f t="shared" si="9"/>
        <v>-124.9223000000004</v>
      </c>
      <c r="S47">
        <f t="shared" si="10"/>
        <v>5057.8378499999999</v>
      </c>
      <c r="U47">
        <f t="shared" si="11"/>
        <v>11.328526999999999</v>
      </c>
      <c r="V47">
        <f t="shared" si="12"/>
        <v>1649.9999575499999</v>
      </c>
      <c r="W47">
        <f t="shared" si="13"/>
        <v>-37.384139100000127</v>
      </c>
      <c r="X47">
        <f t="shared" si="14"/>
        <v>3.2626157760000001</v>
      </c>
      <c r="Y47">
        <f t="shared" si="15"/>
        <v>-40.646754876000124</v>
      </c>
      <c r="Z47">
        <f t="shared" si="16"/>
        <v>53820.489850532838</v>
      </c>
      <c r="AB47">
        <f t="shared" si="1"/>
        <v>13.419141</v>
      </c>
      <c r="AC47">
        <f t="shared" si="2"/>
        <v>1954.4978866500001</v>
      </c>
      <c r="AD47">
        <f t="shared" si="3"/>
        <v>-44.28316530000015</v>
      </c>
      <c r="AE47">
        <f t="shared" si="4"/>
        <v>3.8647126080000005</v>
      </c>
      <c r="AF47">
        <f t="shared" si="5"/>
        <v>-48.147877908000147</v>
      </c>
      <c r="AG47">
        <f t="shared" si="6"/>
        <v>19496.830755932369</v>
      </c>
      <c r="AH47" t="b">
        <f t="shared" si="7"/>
        <v>1</v>
      </c>
    </row>
    <row r="48" spans="4:34" x14ac:dyDescent="0.4">
      <c r="D48" t="s">
        <v>60</v>
      </c>
      <c r="E48" t="s">
        <v>37</v>
      </c>
      <c r="F48" s="9">
        <v>46035.541666666664</v>
      </c>
      <c r="G48">
        <v>2.0619999999999998</v>
      </c>
      <c r="H48" s="9">
        <v>46038.041666666664</v>
      </c>
      <c r="I48">
        <v>2.0821000000000001</v>
      </c>
      <c r="J48" s="12">
        <v>1116.3</v>
      </c>
      <c r="K48" s="12">
        <v>2301.9299999999998</v>
      </c>
      <c r="L48">
        <v>3.47</v>
      </c>
      <c r="M48">
        <v>18.97</v>
      </c>
      <c r="N48" s="13">
        <v>8.2000000000000007E-3</v>
      </c>
      <c r="O48" t="s">
        <v>57</v>
      </c>
      <c r="Q48">
        <f t="shared" si="8"/>
        <v>22.437630000000254</v>
      </c>
      <c r="R48">
        <f t="shared" si="9"/>
        <v>18.967630000000256</v>
      </c>
      <c r="S48">
        <f t="shared" si="10"/>
        <v>2324.2482300000001</v>
      </c>
      <c r="U48">
        <f t="shared" si="11"/>
        <v>800.193986</v>
      </c>
      <c r="V48">
        <f t="shared" si="12"/>
        <v>1649.9999991319999</v>
      </c>
      <c r="W48">
        <f t="shared" si="13"/>
        <v>16.083899118600183</v>
      </c>
      <c r="X48">
        <f t="shared" si="14"/>
        <v>3.3160838973826001</v>
      </c>
      <c r="Y48">
        <f t="shared" si="15"/>
        <v>12.767815221217582</v>
      </c>
      <c r="Z48">
        <f t="shared" si="16"/>
        <v>53861.136605408836</v>
      </c>
      <c r="AB48">
        <f t="shared" si="1"/>
        <v>947.13221599999997</v>
      </c>
      <c r="AC48">
        <f t="shared" si="2"/>
        <v>1952.9866293919997</v>
      </c>
      <c r="AD48">
        <f t="shared" si="3"/>
        <v>19.037357541600215</v>
      </c>
      <c r="AE48">
        <f t="shared" si="4"/>
        <v>3.9250106163256002</v>
      </c>
      <c r="AF48">
        <f t="shared" si="5"/>
        <v>15.112346925274615</v>
      </c>
      <c r="AG48">
        <f t="shared" si="6"/>
        <v>19544.978633840368</v>
      </c>
      <c r="AH48" t="b">
        <f t="shared" si="7"/>
        <v>1</v>
      </c>
    </row>
    <row r="49" spans="4:34" x14ac:dyDescent="0.4">
      <c r="D49" t="s">
        <v>50</v>
      </c>
      <c r="E49" t="s">
        <v>37</v>
      </c>
      <c r="F49" s="9">
        <v>46035.958333333336</v>
      </c>
      <c r="G49">
        <v>296.3</v>
      </c>
      <c r="H49" s="9">
        <v>46037.958333333336</v>
      </c>
      <c r="I49">
        <v>278</v>
      </c>
      <c r="J49">
        <v>48.756999999999998</v>
      </c>
      <c r="K49" s="12">
        <v>14446.72</v>
      </c>
      <c r="L49">
        <v>21</v>
      </c>
      <c r="M49">
        <v>-913.25</v>
      </c>
      <c r="N49" s="13">
        <v>-6.3200000000000006E-2</v>
      </c>
      <c r="O49" t="s">
        <v>38</v>
      </c>
      <c r="Q49">
        <f t="shared" si="8"/>
        <v>-892.25310000000047</v>
      </c>
      <c r="R49">
        <f t="shared" si="9"/>
        <v>-913.25310000000047</v>
      </c>
      <c r="S49">
        <f t="shared" si="10"/>
        <v>13554.446</v>
      </c>
      <c r="U49">
        <f t="shared" si="11"/>
        <v>5.5686799999999996</v>
      </c>
      <c r="V49">
        <f t="shared" si="12"/>
        <v>1649.9998840000001</v>
      </c>
      <c r="W49">
        <f t="shared" si="13"/>
        <v>-101.90684400000006</v>
      </c>
      <c r="X49">
        <f t="shared" si="14"/>
        <v>3.1980929239999996</v>
      </c>
      <c r="Y49">
        <f t="shared" si="15"/>
        <v>-105.10493692400006</v>
      </c>
      <c r="Z49">
        <f t="shared" si="16"/>
        <v>53848.368790187618</v>
      </c>
      <c r="AB49">
        <f t="shared" si="1"/>
        <v>6.6335030000000001</v>
      </c>
      <c r="AC49">
        <f t="shared" si="2"/>
        <v>1965.5069389</v>
      </c>
      <c r="AD49">
        <f t="shared" si="3"/>
        <v>-121.39310490000008</v>
      </c>
      <c r="AE49">
        <f t="shared" si="4"/>
        <v>3.8096207728999998</v>
      </c>
      <c r="AF49">
        <f t="shared" si="5"/>
        <v>-125.20272567290009</v>
      </c>
      <c r="AG49">
        <f t="shared" si="6"/>
        <v>19529.866286915094</v>
      </c>
      <c r="AH49" t="b">
        <f t="shared" si="7"/>
        <v>1</v>
      </c>
    </row>
    <row r="50" spans="4:34" x14ac:dyDescent="0.4">
      <c r="D50" t="s">
        <v>55</v>
      </c>
      <c r="E50" t="s">
        <v>37</v>
      </c>
      <c r="F50" s="9">
        <v>46035.666666666664</v>
      </c>
      <c r="G50">
        <v>4.3109999999999999E-5</v>
      </c>
      <c r="H50" s="9">
        <v>46037.666666666664</v>
      </c>
      <c r="I50">
        <v>4.2370000000000003E-5</v>
      </c>
      <c r="J50" s="12">
        <v>152195051.37</v>
      </c>
      <c r="K50" s="12">
        <v>6561.13</v>
      </c>
      <c r="L50">
        <v>9.76</v>
      </c>
      <c r="M50">
        <v>-122.38</v>
      </c>
      <c r="N50" s="13">
        <v>-1.8700000000000001E-2</v>
      </c>
      <c r="O50" t="s">
        <v>38</v>
      </c>
      <c r="Q50">
        <f t="shared" si="8"/>
        <v>-112.62433801379944</v>
      </c>
      <c r="R50">
        <f t="shared" si="9"/>
        <v>-122.38433801379945</v>
      </c>
      <c r="S50">
        <f t="shared" si="10"/>
        <v>6448.5043265469003</v>
      </c>
      <c r="U50">
        <f t="shared" si="11"/>
        <v>38274182.324286997</v>
      </c>
      <c r="V50">
        <f t="shared" si="12"/>
        <v>1650.0000000000125</v>
      </c>
      <c r="W50">
        <f t="shared" si="13"/>
        <v>-28.322894919972235</v>
      </c>
      <c r="X50">
        <f t="shared" si="14"/>
        <v>3.271677105080053</v>
      </c>
      <c r="Y50">
        <f t="shared" si="15"/>
        <v>-31.594572025052287</v>
      </c>
      <c r="Z50">
        <f t="shared" si="16"/>
        <v>53953.473727111617</v>
      </c>
      <c r="AB50">
        <f t="shared" si="1"/>
        <v>45680299.666799001</v>
      </c>
      <c r="AC50">
        <f t="shared" si="2"/>
        <v>1969.2777186357048</v>
      </c>
      <c r="AD50">
        <f t="shared" si="3"/>
        <v>-33.803421753431095</v>
      </c>
      <c r="AE50">
        <f t="shared" si="4"/>
        <v>3.9047520155179791</v>
      </c>
      <c r="AF50">
        <f t="shared" si="5"/>
        <v>-37.708173768949074</v>
      </c>
      <c r="AG50">
        <f t="shared" si="6"/>
        <v>19655.069012587996</v>
      </c>
      <c r="AH50" t="b">
        <f t="shared" si="7"/>
        <v>1</v>
      </c>
    </row>
    <row r="51" spans="4:34" x14ac:dyDescent="0.4">
      <c r="D51" t="s">
        <v>43</v>
      </c>
      <c r="E51" t="s">
        <v>37</v>
      </c>
      <c r="F51" s="9">
        <v>46035.583333333336</v>
      </c>
      <c r="G51">
        <v>1.8013999999999999</v>
      </c>
      <c r="H51" s="9">
        <v>46037.583333333336</v>
      </c>
      <c r="I51">
        <v>1.8247</v>
      </c>
      <c r="J51" s="12">
        <v>1087.8</v>
      </c>
      <c r="K51" s="12">
        <v>1959.64</v>
      </c>
      <c r="L51">
        <v>2.96</v>
      </c>
      <c r="M51">
        <v>22.39</v>
      </c>
      <c r="N51" s="13">
        <v>1.14E-2</v>
      </c>
      <c r="O51" t="s">
        <v>38</v>
      </c>
      <c r="Q51">
        <f t="shared" si="8"/>
        <v>25.345740000000106</v>
      </c>
      <c r="R51">
        <f t="shared" si="9"/>
        <v>22.385740000000105</v>
      </c>
      <c r="S51">
        <f t="shared" si="10"/>
        <v>1984.9086599999998</v>
      </c>
      <c r="U51">
        <f t="shared" si="11"/>
        <v>915.95425799999998</v>
      </c>
      <c r="V51">
        <f t="shared" si="12"/>
        <v>1650.0000003611999</v>
      </c>
      <c r="W51">
        <f t="shared" si="13"/>
        <v>21.341734211400091</v>
      </c>
      <c r="X51">
        <f t="shared" si="14"/>
        <v>3.3213417349337999</v>
      </c>
      <c r="Y51">
        <f t="shared" si="15"/>
        <v>18.020392476466291</v>
      </c>
      <c r="Z51">
        <f t="shared" si="16"/>
        <v>53985.06829913667</v>
      </c>
      <c r="AB51">
        <f t="shared" si="1"/>
        <v>1092.0002930000001</v>
      </c>
      <c r="AC51">
        <f t="shared" si="2"/>
        <v>1967.1293278102</v>
      </c>
      <c r="AD51">
        <f t="shared" si="3"/>
        <v>25.443606826900108</v>
      </c>
      <c r="AE51">
        <f t="shared" si="4"/>
        <v>3.9597022624473004</v>
      </c>
      <c r="AF51">
        <f t="shared" si="5"/>
        <v>21.483904564452807</v>
      </c>
      <c r="AG51">
        <f t="shared" si="6"/>
        <v>19692.777186356943</v>
      </c>
      <c r="AH51" t="b">
        <f t="shared" si="7"/>
        <v>1</v>
      </c>
    </row>
    <row r="52" spans="4:34" x14ac:dyDescent="0.4">
      <c r="D52" t="s">
        <v>56</v>
      </c>
      <c r="E52" t="s">
        <v>37</v>
      </c>
      <c r="F52" s="9">
        <v>46035.041666666664</v>
      </c>
      <c r="G52" s="12">
        <v>3105.77</v>
      </c>
      <c r="H52" s="9">
        <v>46037.541666666664</v>
      </c>
      <c r="I52" s="12">
        <v>3369.09</v>
      </c>
      <c r="J52">
        <v>1.9118999999999999</v>
      </c>
      <c r="K52" s="12">
        <v>5938.16</v>
      </c>
      <c r="L52">
        <v>9.2799999999999994</v>
      </c>
      <c r="M52">
        <v>494.16</v>
      </c>
      <c r="N52" s="13">
        <v>8.3199999999999996E-2</v>
      </c>
      <c r="O52" t="s">
        <v>57</v>
      </c>
      <c r="Q52">
        <f t="shared" si="8"/>
        <v>503.44150800000028</v>
      </c>
      <c r="R52">
        <f t="shared" si="9"/>
        <v>494.16150800000031</v>
      </c>
      <c r="S52">
        <f t="shared" si="10"/>
        <v>6441.363171</v>
      </c>
      <c r="U52">
        <f t="shared" si="11"/>
        <v>0.53126899999999999</v>
      </c>
      <c r="V52">
        <f t="shared" si="12"/>
        <v>1649.9993221299999</v>
      </c>
      <c r="W52">
        <f t="shared" si="13"/>
        <v>139.8937530800001</v>
      </c>
      <c r="X52">
        <f t="shared" si="14"/>
        <v>3.4398923973400004</v>
      </c>
      <c r="Y52">
        <f t="shared" si="15"/>
        <v>136.45386068266009</v>
      </c>
      <c r="Z52">
        <f t="shared" si="16"/>
        <v>53967.047906660206</v>
      </c>
      <c r="AB52">
        <f t="shared" si="1"/>
        <v>0.62818399999999996</v>
      </c>
      <c r="AC52">
        <f t="shared" si="2"/>
        <v>1950.9950216799998</v>
      </c>
      <c r="AD52">
        <f t="shared" si="3"/>
        <v>165.4134108800001</v>
      </c>
      <c r="AE52">
        <f t="shared" si="4"/>
        <v>4.0674034542399999</v>
      </c>
      <c r="AF52">
        <f t="shared" si="5"/>
        <v>161.34600742576009</v>
      </c>
      <c r="AG52">
        <f t="shared" si="6"/>
        <v>19671.293281792492</v>
      </c>
      <c r="AH52" t="b">
        <f t="shared" si="7"/>
        <v>1</v>
      </c>
    </row>
    <row r="53" spans="4:34" x14ac:dyDescent="0.4">
      <c r="D53" t="s">
        <v>52</v>
      </c>
      <c r="E53" t="s">
        <v>37</v>
      </c>
      <c r="F53" s="9">
        <v>46035.166666666664</v>
      </c>
      <c r="G53">
        <v>3.141</v>
      </c>
      <c r="H53" s="9">
        <v>46037.166666666664</v>
      </c>
      <c r="I53">
        <v>4.3949999999999996</v>
      </c>
      <c r="J53" s="12">
        <v>867.97</v>
      </c>
      <c r="K53" s="12">
        <v>2726.3</v>
      </c>
      <c r="L53">
        <v>4.91</v>
      </c>
      <c r="M53" s="12">
        <v>1083.53</v>
      </c>
      <c r="N53" s="13">
        <v>0.39739999999999998</v>
      </c>
      <c r="O53" t="s">
        <v>38</v>
      </c>
      <c r="Q53">
        <f t="shared" si="8"/>
        <v>1088.4343799999997</v>
      </c>
      <c r="R53">
        <f t="shared" si="9"/>
        <v>1083.5243799999996</v>
      </c>
      <c r="S53">
        <f t="shared" si="10"/>
        <v>3814.7281499999999</v>
      </c>
      <c r="U53">
        <f t="shared" si="11"/>
        <v>525.31041100000004</v>
      </c>
      <c r="V53">
        <f t="shared" si="12"/>
        <v>1650.0000009510002</v>
      </c>
      <c r="W53">
        <f t="shared" si="13"/>
        <v>658.73925539399977</v>
      </c>
      <c r="X53">
        <f t="shared" si="14"/>
        <v>3.9587392572960005</v>
      </c>
      <c r="Y53">
        <f t="shared" si="15"/>
        <v>654.7805161367038</v>
      </c>
      <c r="Z53">
        <f t="shared" si="16"/>
        <v>53830.594045977545</v>
      </c>
      <c r="AB53">
        <f t="shared" si="1"/>
        <v>597.42987700000003</v>
      </c>
      <c r="AC53">
        <f t="shared" si="2"/>
        <v>1876.5272436570001</v>
      </c>
      <c r="AD53">
        <f t="shared" si="3"/>
        <v>749.1770657579998</v>
      </c>
      <c r="AE53">
        <f t="shared" si="4"/>
        <v>4.5022315530720007</v>
      </c>
      <c r="AF53">
        <f t="shared" si="5"/>
        <v>744.67483420492783</v>
      </c>
      <c r="AG53">
        <f t="shared" si="6"/>
        <v>19509.947274366732</v>
      </c>
      <c r="AH53" t="b">
        <f t="shared" si="7"/>
        <v>1</v>
      </c>
    </row>
    <row r="54" spans="4:34" x14ac:dyDescent="0.4">
      <c r="D54" t="s">
        <v>58</v>
      </c>
      <c r="E54" t="s">
        <v>37</v>
      </c>
      <c r="F54" s="9">
        <v>46035.166666666664</v>
      </c>
      <c r="G54" s="12">
        <v>13.11</v>
      </c>
      <c r="H54" s="9">
        <v>46037.166666666664</v>
      </c>
      <c r="I54" s="12">
        <v>13.76</v>
      </c>
      <c r="J54">
        <v>565.09</v>
      </c>
      <c r="K54" s="12">
        <v>7408.43</v>
      </c>
      <c r="L54">
        <v>11.39</v>
      </c>
      <c r="M54">
        <v>355.92</v>
      </c>
      <c r="N54" s="13">
        <v>4.8000000000000001E-2</v>
      </c>
      <c r="O54" t="s">
        <v>38</v>
      </c>
      <c r="Q54">
        <f t="shared" si="8"/>
        <v>367.30850000000021</v>
      </c>
      <c r="R54">
        <f t="shared" si="9"/>
        <v>355.91850000000022</v>
      </c>
      <c r="S54">
        <f t="shared" si="10"/>
        <v>7775.6384000000007</v>
      </c>
      <c r="U54">
        <f t="shared" si="11"/>
        <v>125.858124</v>
      </c>
      <c r="V54">
        <f t="shared" si="12"/>
        <v>1650.0000056399999</v>
      </c>
      <c r="W54">
        <f t="shared" si="13"/>
        <v>81.807780600000044</v>
      </c>
      <c r="X54">
        <f t="shared" si="14"/>
        <v>3.38180779188</v>
      </c>
      <c r="Y54">
        <f t="shared" si="15"/>
        <v>78.425972808120036</v>
      </c>
      <c r="Z54">
        <f t="shared" si="16"/>
        <v>53175.813529840838</v>
      </c>
      <c r="AB54">
        <f t="shared" si="1"/>
        <v>142.45996500000001</v>
      </c>
      <c r="AC54">
        <f t="shared" si="2"/>
        <v>1867.6501411500001</v>
      </c>
      <c r="AD54">
        <f t="shared" si="3"/>
        <v>92.598977250000061</v>
      </c>
      <c r="AE54">
        <f t="shared" si="4"/>
        <v>3.8278992595500001</v>
      </c>
      <c r="AF54">
        <f t="shared" si="5"/>
        <v>88.771077990450067</v>
      </c>
      <c r="AG54">
        <f t="shared" si="6"/>
        <v>18765.272440161803</v>
      </c>
      <c r="AH54" t="b">
        <f t="shared" si="7"/>
        <v>1</v>
      </c>
    </row>
    <row r="55" spans="4:34" x14ac:dyDescent="0.4">
      <c r="D55" t="s">
        <v>61</v>
      </c>
      <c r="E55" t="s">
        <v>37</v>
      </c>
      <c r="F55" s="9">
        <v>46035.166666666664</v>
      </c>
      <c r="G55">
        <v>0.38640000000000002</v>
      </c>
      <c r="H55" s="9">
        <v>46037.166666666664</v>
      </c>
      <c r="I55">
        <v>0.40029999999999999</v>
      </c>
      <c r="J55" s="12">
        <v>22254.400000000001</v>
      </c>
      <c r="K55" s="12">
        <v>8599.14</v>
      </c>
      <c r="L55">
        <v>13.13</v>
      </c>
      <c r="M55">
        <v>296.20999999999998</v>
      </c>
      <c r="N55" s="13">
        <v>3.44E-2</v>
      </c>
      <c r="O55" t="s">
        <v>38</v>
      </c>
      <c r="Q55">
        <f t="shared" si="8"/>
        <v>309.33615999999932</v>
      </c>
      <c r="R55">
        <f t="shared" si="9"/>
        <v>296.20615999999933</v>
      </c>
      <c r="S55">
        <f t="shared" si="10"/>
        <v>8908.4363200000007</v>
      </c>
      <c r="U55">
        <f t="shared" si="11"/>
        <v>4270.1863350000003</v>
      </c>
      <c r="V55">
        <f t="shared" si="12"/>
        <v>1649.9999998440003</v>
      </c>
      <c r="W55">
        <f t="shared" si="13"/>
        <v>59.355590056499871</v>
      </c>
      <c r="X55">
        <f t="shared" si="14"/>
        <v>3.3593555897445002</v>
      </c>
      <c r="Y55">
        <f t="shared" si="15"/>
        <v>55.996234466755368</v>
      </c>
      <c r="Z55">
        <f t="shared" si="16"/>
        <v>53097.387557032715</v>
      </c>
      <c r="AB55">
        <f t="shared" si="1"/>
        <v>4817.1151879999998</v>
      </c>
      <c r="AC55">
        <f t="shared" si="2"/>
        <v>1861.3333086432001</v>
      </c>
      <c r="AD55">
        <f t="shared" si="3"/>
        <v>66.957901113199839</v>
      </c>
      <c r="AE55">
        <f t="shared" si="4"/>
        <v>3.7896245183995996</v>
      </c>
      <c r="AF55">
        <f t="shared" si="5"/>
        <v>63.16827659480024</v>
      </c>
      <c r="AG55">
        <f t="shared" si="6"/>
        <v>18676.501362171352</v>
      </c>
      <c r="AH55" t="b">
        <f t="shared" si="7"/>
        <v>1</v>
      </c>
    </row>
    <row r="56" spans="4:34" x14ac:dyDescent="0.4">
      <c r="D56" t="s">
        <v>40</v>
      </c>
      <c r="E56" t="s">
        <v>41</v>
      </c>
      <c r="F56" s="9">
        <v>46035.833333333336</v>
      </c>
      <c r="G56" s="12">
        <v>398.8</v>
      </c>
      <c r="H56" s="9">
        <v>46037.166666666664</v>
      </c>
      <c r="I56" s="12">
        <v>425.83</v>
      </c>
      <c r="J56">
        <v>22.361999999999998</v>
      </c>
      <c r="K56" s="12">
        <v>8918.25</v>
      </c>
      <c r="L56">
        <v>13.83</v>
      </c>
      <c r="M56">
        <v>590.61</v>
      </c>
      <c r="N56" s="13">
        <v>6.6199999999999995E-2</v>
      </c>
      <c r="O56" t="s">
        <v>38</v>
      </c>
      <c r="Q56">
        <f t="shared" si="8"/>
        <v>604.44485999999938</v>
      </c>
      <c r="R56">
        <f t="shared" si="9"/>
        <v>590.61485999999934</v>
      </c>
      <c r="S56">
        <f t="shared" si="10"/>
        <v>9522.4104599999991</v>
      </c>
      <c r="U56">
        <f t="shared" si="11"/>
        <v>4.1374120000000003</v>
      </c>
      <c r="V56">
        <f t="shared" si="12"/>
        <v>1649.9999056000001</v>
      </c>
      <c r="W56">
        <f t="shared" si="13"/>
        <v>111.8342463599999</v>
      </c>
      <c r="X56">
        <f t="shared" si="14"/>
        <v>3.4118340575600001</v>
      </c>
      <c r="Y56">
        <f t="shared" si="15"/>
        <v>108.42241230243989</v>
      </c>
      <c r="Z56">
        <f t="shared" si="16"/>
        <v>53041.391322565956</v>
      </c>
      <c r="AB56">
        <f t="shared" si="1"/>
        <v>4.6368660000000004</v>
      </c>
      <c r="AC56">
        <f t="shared" si="2"/>
        <v>1849.1821608000002</v>
      </c>
      <c r="AD56">
        <f t="shared" si="3"/>
        <v>125.33448797999988</v>
      </c>
      <c r="AE56">
        <f t="shared" si="4"/>
        <v>3.8236988095800002</v>
      </c>
      <c r="AF56">
        <f t="shared" si="5"/>
        <v>121.51078917041988</v>
      </c>
      <c r="AG56">
        <f t="shared" si="6"/>
        <v>18613.333085576553</v>
      </c>
      <c r="AH56" t="b">
        <f t="shared" si="7"/>
        <v>1</v>
      </c>
    </row>
    <row r="57" spans="4:34" x14ac:dyDescent="0.4">
      <c r="D57" t="s">
        <v>48</v>
      </c>
      <c r="E57" t="s">
        <v>37</v>
      </c>
      <c r="F57" s="9">
        <v>46035.125</v>
      </c>
      <c r="G57">
        <v>6.88E-2</v>
      </c>
      <c r="H57" s="9">
        <v>46037.125</v>
      </c>
      <c r="I57">
        <v>7.2400000000000006E-2</v>
      </c>
      <c r="J57" s="12">
        <v>62987.8</v>
      </c>
      <c r="K57" s="12">
        <v>4333.57</v>
      </c>
      <c r="L57">
        <v>6.67</v>
      </c>
      <c r="M57">
        <v>220.09</v>
      </c>
      <c r="N57" s="13">
        <v>5.0799999999999998E-2</v>
      </c>
      <c r="O57" t="s">
        <v>38</v>
      </c>
      <c r="Q57">
        <f t="shared" si="8"/>
        <v>226.7560800000004</v>
      </c>
      <c r="R57">
        <f t="shared" si="9"/>
        <v>220.08608000000041</v>
      </c>
      <c r="S57">
        <f t="shared" si="10"/>
        <v>4560.3167200000007</v>
      </c>
      <c r="U57">
        <f t="shared" si="11"/>
        <v>23982.558140000001</v>
      </c>
      <c r="V57">
        <f t="shared" si="12"/>
        <v>1650.0000000320001</v>
      </c>
      <c r="W57">
        <f t="shared" si="13"/>
        <v>86.33720930400014</v>
      </c>
      <c r="X57">
        <f t="shared" si="14"/>
        <v>3.386337209368</v>
      </c>
      <c r="Y57">
        <f t="shared" si="15"/>
        <v>82.950872094632146</v>
      </c>
      <c r="Z57">
        <f t="shared" si="16"/>
        <v>52932.968910263517</v>
      </c>
      <c r="AB57">
        <f t="shared" si="1"/>
        <v>26743.201904000001</v>
      </c>
      <c r="AC57">
        <f t="shared" si="2"/>
        <v>1839.9322909952</v>
      </c>
      <c r="AD57">
        <f t="shared" si="3"/>
        <v>96.275526854400169</v>
      </c>
      <c r="AE57">
        <f t="shared" si="4"/>
        <v>3.7761401088448001</v>
      </c>
      <c r="AF57">
        <f t="shared" si="5"/>
        <v>92.49938674555537</v>
      </c>
      <c r="AG57">
        <f t="shared" si="6"/>
        <v>18491.822296406131</v>
      </c>
      <c r="AH57" t="b">
        <f t="shared" si="7"/>
        <v>1</v>
      </c>
    </row>
    <row r="58" spans="4:34" x14ac:dyDescent="0.4">
      <c r="D58" t="s">
        <v>53</v>
      </c>
      <c r="E58" t="s">
        <v>37</v>
      </c>
      <c r="F58" s="9">
        <v>46034.666666666664</v>
      </c>
      <c r="G58">
        <v>903.49</v>
      </c>
      <c r="H58" s="9">
        <v>46036.666666666664</v>
      </c>
      <c r="I58">
        <v>942.13</v>
      </c>
      <c r="J58">
        <v>10.945</v>
      </c>
      <c r="K58" s="12">
        <v>9889.49</v>
      </c>
      <c r="L58">
        <v>15.15</v>
      </c>
      <c r="M58">
        <v>407.76</v>
      </c>
      <c r="N58" s="13">
        <v>4.1200000000000001E-2</v>
      </c>
      <c r="O58" t="s">
        <v>38</v>
      </c>
      <c r="Q58">
        <f t="shared" si="8"/>
        <v>422.91479999999984</v>
      </c>
      <c r="R58">
        <f t="shared" si="9"/>
        <v>407.76479999999987</v>
      </c>
      <c r="S58">
        <f t="shared" si="10"/>
        <v>10311.61285</v>
      </c>
      <c r="U58">
        <f t="shared" si="11"/>
        <v>1.826252</v>
      </c>
      <c r="V58">
        <f t="shared" si="12"/>
        <v>1650.0004194799999</v>
      </c>
      <c r="W58">
        <f t="shared" si="13"/>
        <v>70.566377279999969</v>
      </c>
      <c r="X58">
        <f t="shared" si="14"/>
        <v>3.37056721624</v>
      </c>
      <c r="Y58">
        <f t="shared" si="15"/>
        <v>67.195810063759964</v>
      </c>
      <c r="Z58">
        <f t="shared" si="16"/>
        <v>52850.018038168884</v>
      </c>
      <c r="AB58">
        <f t="shared" si="1"/>
        <v>2.0282119999999999</v>
      </c>
      <c r="AC58">
        <f t="shared" si="2"/>
        <v>1832.46925988</v>
      </c>
      <c r="AD58">
        <f t="shared" si="3"/>
        <v>78.370111679999965</v>
      </c>
      <c r="AE58">
        <f t="shared" si="4"/>
        <v>3.7433086314399997</v>
      </c>
      <c r="AF58">
        <f t="shared" si="5"/>
        <v>74.626803048559964</v>
      </c>
      <c r="AG58">
        <f t="shared" si="6"/>
        <v>18399.322909660576</v>
      </c>
      <c r="AH58" t="b">
        <f t="shared" si="7"/>
        <v>1</v>
      </c>
    </row>
    <row r="59" spans="4:34" x14ac:dyDescent="0.4">
      <c r="D59" t="s">
        <v>59</v>
      </c>
      <c r="E59" t="s">
        <v>37</v>
      </c>
      <c r="F59" s="9">
        <v>46033.708333333336</v>
      </c>
      <c r="G59" s="12">
        <v>90930.99</v>
      </c>
      <c r="H59" s="9">
        <v>46036.208333333336</v>
      </c>
      <c r="I59" s="12">
        <v>95218.02</v>
      </c>
      <c r="J59">
        <v>0.11847000000000001</v>
      </c>
      <c r="K59" s="12">
        <v>10773.36</v>
      </c>
      <c r="L59">
        <v>16.54</v>
      </c>
      <c r="M59">
        <v>491.34</v>
      </c>
      <c r="N59" s="13">
        <v>4.5600000000000002E-2</v>
      </c>
      <c r="O59" t="s">
        <v>57</v>
      </c>
      <c r="Q59">
        <f t="shared" si="8"/>
        <v>507.88444409999988</v>
      </c>
      <c r="R59">
        <f t="shared" si="9"/>
        <v>491.34444409999986</v>
      </c>
      <c r="S59">
        <f t="shared" si="10"/>
        <v>11280.478829400001</v>
      </c>
      <c r="U59">
        <f t="shared" si="11"/>
        <v>1.8145999999999999E-2</v>
      </c>
      <c r="V59">
        <f t="shared" si="12"/>
        <v>1650.03374454</v>
      </c>
      <c r="W59">
        <f t="shared" si="13"/>
        <v>77.792446379999973</v>
      </c>
      <c r="X59">
        <f t="shared" si="14"/>
        <v>3.3778599354600001</v>
      </c>
      <c r="Y59">
        <f t="shared" si="15"/>
        <v>74.414586444539978</v>
      </c>
      <c r="Z59">
        <f t="shared" si="16"/>
        <v>52782.822228105128</v>
      </c>
      <c r="AB59">
        <f t="shared" si="1"/>
        <v>2.0062E-2</v>
      </c>
      <c r="AC59">
        <f t="shared" si="2"/>
        <v>1824.2575213800001</v>
      </c>
      <c r="AD59">
        <f t="shared" si="3"/>
        <v>86.006395859999984</v>
      </c>
      <c r="AE59">
        <f t="shared" si="4"/>
        <v>3.7345214386199999</v>
      </c>
      <c r="AF59">
        <f t="shared" si="5"/>
        <v>82.271874421379977</v>
      </c>
      <c r="AG59">
        <f t="shared" si="6"/>
        <v>18324.696106612017</v>
      </c>
      <c r="AH59" t="b">
        <f t="shared" si="7"/>
        <v>1</v>
      </c>
    </row>
    <row r="60" spans="4:34" x14ac:dyDescent="0.4">
      <c r="D60" t="s">
        <v>54</v>
      </c>
      <c r="E60" t="s">
        <v>37</v>
      </c>
      <c r="F60" s="9">
        <v>46034</v>
      </c>
      <c r="G60">
        <v>139.54</v>
      </c>
      <c r="H60" s="9">
        <v>46036</v>
      </c>
      <c r="I60">
        <v>145.44999999999999</v>
      </c>
      <c r="J60">
        <v>36.936</v>
      </c>
      <c r="K60" s="12">
        <v>5154.05</v>
      </c>
      <c r="L60">
        <v>7.89</v>
      </c>
      <c r="M60">
        <v>210.4</v>
      </c>
      <c r="N60" s="13">
        <v>4.0800000000000003E-2</v>
      </c>
      <c r="O60" t="s">
        <v>38</v>
      </c>
      <c r="Q60">
        <f t="shared" si="8"/>
        <v>218.29175999999987</v>
      </c>
      <c r="R60">
        <f t="shared" si="9"/>
        <v>210.40175999999988</v>
      </c>
      <c r="S60">
        <f t="shared" si="10"/>
        <v>5372.3411999999998</v>
      </c>
      <c r="U60">
        <f t="shared" si="11"/>
        <v>11.824566000000001</v>
      </c>
      <c r="V60">
        <f t="shared" si="12"/>
        <v>1649.9999396400001</v>
      </c>
      <c r="W60">
        <f t="shared" si="13"/>
        <v>69.88318505999996</v>
      </c>
      <c r="X60">
        <f t="shared" si="14"/>
        <v>3.3698830643400006</v>
      </c>
      <c r="Y60">
        <f t="shared" si="15"/>
        <v>66.513301995659958</v>
      </c>
      <c r="Z60">
        <f t="shared" si="16"/>
        <v>52708.407641660589</v>
      </c>
      <c r="AB60">
        <f t="shared" si="1"/>
        <v>13.020770000000001</v>
      </c>
      <c r="AC60">
        <f t="shared" si="2"/>
        <v>1816.9182458</v>
      </c>
      <c r="AD60">
        <f t="shared" si="3"/>
        <v>76.952750699999953</v>
      </c>
      <c r="AE60">
        <f t="shared" si="4"/>
        <v>3.7107892423000006</v>
      </c>
      <c r="AF60">
        <f t="shared" si="5"/>
        <v>73.241961457699958</v>
      </c>
      <c r="AG60">
        <f t="shared" si="6"/>
        <v>18242.424232190635</v>
      </c>
      <c r="AH60" t="b">
        <f t="shared" si="7"/>
        <v>1</v>
      </c>
    </row>
    <row r="61" spans="4:34" x14ac:dyDescent="0.4">
      <c r="D61" t="s">
        <v>50</v>
      </c>
      <c r="E61" t="s">
        <v>37</v>
      </c>
      <c r="F61" s="9">
        <v>46033.833333333336</v>
      </c>
      <c r="G61">
        <v>290.60000000000002</v>
      </c>
      <c r="H61" s="9">
        <v>46035.833333333336</v>
      </c>
      <c r="I61">
        <v>289.60000000000002</v>
      </c>
      <c r="J61" s="12">
        <v>49.737900000000003</v>
      </c>
      <c r="K61" s="12">
        <v>14453.86</v>
      </c>
      <c r="L61">
        <v>21.64</v>
      </c>
      <c r="M61" s="12">
        <v>-71.38</v>
      </c>
      <c r="N61" s="13">
        <v>-4.8999999999999998E-3</v>
      </c>
      <c r="O61" t="s">
        <v>38</v>
      </c>
      <c r="Q61">
        <f t="shared" si="8"/>
        <v>-49.737900000000003</v>
      </c>
      <c r="R61">
        <f t="shared" si="9"/>
        <v>-71.377900000000011</v>
      </c>
      <c r="S61">
        <f t="shared" si="10"/>
        <v>14404.095840000002</v>
      </c>
      <c r="U61">
        <f t="shared" si="11"/>
        <v>5.6779080000000004</v>
      </c>
      <c r="V61">
        <f t="shared" si="12"/>
        <v>1650.0000648000002</v>
      </c>
      <c r="W61">
        <f t="shared" si="13"/>
        <v>-5.6779080000000004</v>
      </c>
      <c r="X61">
        <f t="shared" si="14"/>
        <v>3.2943222216000003</v>
      </c>
      <c r="Y61">
        <f t="shared" si="15"/>
        <v>-8.9722302216000003</v>
      </c>
      <c r="Z61">
        <f t="shared" si="16"/>
        <v>52641.894339664927</v>
      </c>
      <c r="AB61">
        <f t="shared" si="1"/>
        <v>6.2557010000000002</v>
      </c>
      <c r="AC61">
        <f t="shared" si="2"/>
        <v>1817.9067106000002</v>
      </c>
      <c r="AD61">
        <f t="shared" si="3"/>
        <v>-6.2557010000000002</v>
      </c>
      <c r="AE61">
        <f t="shared" si="4"/>
        <v>3.6295577202000002</v>
      </c>
      <c r="AF61">
        <f t="shared" si="5"/>
        <v>-9.8852587201999995</v>
      </c>
      <c r="AG61">
        <f t="shared" si="6"/>
        <v>18169.182270732934</v>
      </c>
      <c r="AH61" t="b">
        <f t="shared" si="7"/>
        <v>1</v>
      </c>
    </row>
    <row r="62" spans="4:34" x14ac:dyDescent="0.4">
      <c r="D62" t="s">
        <v>40</v>
      </c>
      <c r="E62" t="s">
        <v>41</v>
      </c>
      <c r="F62" s="9">
        <v>46034.041666666664</v>
      </c>
      <c r="G62">
        <v>386.41</v>
      </c>
      <c r="H62" s="9">
        <v>46035.375</v>
      </c>
      <c r="I62">
        <v>404.57</v>
      </c>
      <c r="J62" s="12">
        <v>22.975000000000001</v>
      </c>
      <c r="K62" s="12">
        <v>8877.89</v>
      </c>
      <c r="L62">
        <v>13.63</v>
      </c>
      <c r="M62">
        <v>403.6</v>
      </c>
      <c r="N62" s="13">
        <v>4.5499999999999999E-2</v>
      </c>
      <c r="O62" t="s">
        <v>38</v>
      </c>
      <c r="Q62">
        <f t="shared" si="8"/>
        <v>417.22599999999932</v>
      </c>
      <c r="R62">
        <f t="shared" si="9"/>
        <v>403.59599999999932</v>
      </c>
      <c r="S62">
        <f t="shared" si="10"/>
        <v>9294.99575</v>
      </c>
      <c r="U62">
        <f t="shared" si="11"/>
        <v>4.2700760000000004</v>
      </c>
      <c r="V62">
        <f t="shared" si="12"/>
        <v>1650.0000671600003</v>
      </c>
      <c r="W62">
        <f t="shared" si="13"/>
        <v>77.544580159999867</v>
      </c>
      <c r="X62">
        <f t="shared" si="14"/>
        <v>3.3775447144800004</v>
      </c>
      <c r="Y62">
        <f t="shared" si="15"/>
        <v>74.167035445519872</v>
      </c>
      <c r="Z62">
        <f t="shared" si="16"/>
        <v>52650.86656988653</v>
      </c>
      <c r="AB62">
        <f t="shared" si="1"/>
        <v>4.6835529999999999</v>
      </c>
      <c r="AC62">
        <f t="shared" si="2"/>
        <v>1809.77171473</v>
      </c>
      <c r="AD62">
        <f t="shared" si="3"/>
        <v>85.053322479999849</v>
      </c>
      <c r="AE62">
        <f t="shared" si="4"/>
        <v>3.70459675194</v>
      </c>
      <c r="AF62">
        <f t="shared" si="5"/>
        <v>81.348725728059847</v>
      </c>
      <c r="AG62">
        <f t="shared" si="6"/>
        <v>18179.067529453132</v>
      </c>
      <c r="AH62" t="b">
        <f t="shared" si="7"/>
        <v>1</v>
      </c>
    </row>
    <row r="63" spans="4:34" x14ac:dyDescent="0.4">
      <c r="D63" t="s">
        <v>52</v>
      </c>
      <c r="E63" t="s">
        <v>37</v>
      </c>
      <c r="F63" s="9">
        <v>46033.083333333336</v>
      </c>
      <c r="G63">
        <v>3.194</v>
      </c>
      <c r="H63" s="9">
        <v>46035.083333333336</v>
      </c>
      <c r="I63">
        <v>3.121</v>
      </c>
      <c r="J63">
        <v>855.65</v>
      </c>
      <c r="K63" s="12">
        <v>2732.95</v>
      </c>
      <c r="L63">
        <v>4.05</v>
      </c>
      <c r="M63">
        <v>-66.52</v>
      </c>
      <c r="N63" s="13">
        <v>-2.4299999999999999E-2</v>
      </c>
      <c r="O63" t="s">
        <v>38</v>
      </c>
      <c r="Q63">
        <f t="shared" si="8"/>
        <v>-62.462449999999961</v>
      </c>
      <c r="R63">
        <f t="shared" si="9"/>
        <v>-66.512449999999959</v>
      </c>
      <c r="S63">
        <f t="shared" si="10"/>
        <v>2670.4836500000001</v>
      </c>
      <c r="U63">
        <f t="shared" si="11"/>
        <v>516.593613</v>
      </c>
      <c r="V63">
        <f t="shared" si="12"/>
        <v>1649.9999999219999</v>
      </c>
      <c r="W63">
        <f t="shared" si="13"/>
        <v>-37.711333748999976</v>
      </c>
      <c r="X63">
        <f t="shared" si="14"/>
        <v>3.2622886660949999</v>
      </c>
      <c r="Y63">
        <f t="shared" si="15"/>
        <v>-40.973622415094979</v>
      </c>
      <c r="Z63">
        <f t="shared" si="16"/>
        <v>52576.69953444101</v>
      </c>
      <c r="AB63">
        <f t="shared" si="1"/>
        <v>568.02666999999997</v>
      </c>
      <c r="AC63">
        <f t="shared" si="2"/>
        <v>1814.2771839799998</v>
      </c>
      <c r="AD63">
        <f t="shared" si="3"/>
        <v>-41.465946909999971</v>
      </c>
      <c r="AE63">
        <f t="shared" si="4"/>
        <v>3.5870884210499994</v>
      </c>
      <c r="AF63">
        <f t="shared" si="5"/>
        <v>-45.053035331049969</v>
      </c>
      <c r="AG63">
        <f t="shared" si="6"/>
        <v>18097.718803725071</v>
      </c>
      <c r="AH63" t="b">
        <f t="shared" si="7"/>
        <v>1</v>
      </c>
    </row>
    <row r="64" spans="4:34" x14ac:dyDescent="0.4">
      <c r="D64" t="s">
        <v>56</v>
      </c>
      <c r="E64" t="s">
        <v>37</v>
      </c>
      <c r="F64" s="9">
        <v>46034</v>
      </c>
      <c r="G64" s="12">
        <v>3119.63</v>
      </c>
      <c r="H64" s="9">
        <v>46034.625</v>
      </c>
      <c r="I64" s="12">
        <v>3089.4</v>
      </c>
      <c r="J64">
        <v>1.9056</v>
      </c>
      <c r="K64" s="12">
        <v>5944.81</v>
      </c>
      <c r="L64">
        <v>8.8699999999999992</v>
      </c>
      <c r="M64">
        <v>-66.48</v>
      </c>
      <c r="N64" s="13">
        <v>-1.12E-2</v>
      </c>
      <c r="O64" t="s">
        <v>49</v>
      </c>
      <c r="Q64">
        <f t="shared" si="8"/>
        <v>-57.606288000000035</v>
      </c>
      <c r="R64">
        <f t="shared" si="9"/>
        <v>-66.476288000000039</v>
      </c>
      <c r="S64">
        <f t="shared" si="10"/>
        <v>5887.1606400000001</v>
      </c>
      <c r="U64">
        <f t="shared" si="11"/>
        <v>0.52890899999999996</v>
      </c>
      <c r="V64">
        <f t="shared" si="12"/>
        <v>1650.00038367</v>
      </c>
      <c r="W64">
        <f t="shared" si="13"/>
        <v>-15.988919070000009</v>
      </c>
      <c r="X64">
        <f t="shared" si="14"/>
        <v>3.2840118482700005</v>
      </c>
      <c r="Y64">
        <f t="shared" si="15"/>
        <v>-19.27293091827001</v>
      </c>
      <c r="Z64">
        <f t="shared" si="16"/>
        <v>52617.673156856108</v>
      </c>
      <c r="AB64">
        <f t="shared" si="1"/>
        <v>0.58224799999999999</v>
      </c>
      <c r="AC64">
        <f t="shared" si="2"/>
        <v>1816.39832824</v>
      </c>
      <c r="AD64">
        <f t="shared" si="3"/>
        <v>-17.601357040000011</v>
      </c>
      <c r="AE64">
        <f t="shared" si="4"/>
        <v>3.6151952994400007</v>
      </c>
      <c r="AF64">
        <f t="shared" si="5"/>
        <v>-21.21655233944001</v>
      </c>
      <c r="AG64">
        <f t="shared" si="6"/>
        <v>18142.77183905612</v>
      </c>
      <c r="AH64" t="b">
        <f t="shared" si="7"/>
        <v>1</v>
      </c>
    </row>
    <row r="65" spans="4:34" x14ac:dyDescent="0.4">
      <c r="D65" t="s">
        <v>53</v>
      </c>
      <c r="E65" t="s">
        <v>37</v>
      </c>
      <c r="F65" s="9">
        <v>46032.583333333336</v>
      </c>
      <c r="G65">
        <v>901.76</v>
      </c>
      <c r="H65" s="9">
        <v>46034.583333333336</v>
      </c>
      <c r="I65">
        <v>899.12</v>
      </c>
      <c r="J65" s="12">
        <v>10.971</v>
      </c>
      <c r="K65" s="12">
        <v>9893.8700000000008</v>
      </c>
      <c r="L65">
        <v>14.82</v>
      </c>
      <c r="M65" s="12">
        <v>-43.78</v>
      </c>
      <c r="N65" s="13">
        <v>-4.4000000000000003E-3</v>
      </c>
      <c r="O65" t="s">
        <v>38</v>
      </c>
      <c r="Q65">
        <f t="shared" si="8"/>
        <v>-28.963439999999849</v>
      </c>
      <c r="R65">
        <f t="shared" si="9"/>
        <v>-43.78343999999985</v>
      </c>
      <c r="S65">
        <f t="shared" si="10"/>
        <v>9864.2455200000004</v>
      </c>
      <c r="U65">
        <f t="shared" si="11"/>
        <v>1.829755</v>
      </c>
      <c r="V65">
        <f t="shared" si="12"/>
        <v>1649.9998688000001</v>
      </c>
      <c r="W65">
        <f t="shared" si="13"/>
        <v>-4.8305531999999749</v>
      </c>
      <c r="X65">
        <f t="shared" si="14"/>
        <v>3.2951691844000002</v>
      </c>
      <c r="Y65">
        <f t="shared" si="15"/>
        <v>-8.1257223843999746</v>
      </c>
      <c r="Z65">
        <f t="shared" si="16"/>
        <v>52636.946087774377</v>
      </c>
      <c r="AB65">
        <f t="shared" si="1"/>
        <v>2.0152739999999998</v>
      </c>
      <c r="AC65">
        <f t="shared" si="2"/>
        <v>1817.2934822399998</v>
      </c>
      <c r="AD65">
        <f t="shared" si="3"/>
        <v>-5.3203233599999722</v>
      </c>
      <c r="AE65">
        <f t="shared" si="4"/>
        <v>3.6292666411199996</v>
      </c>
      <c r="AF65">
        <f t="shared" si="5"/>
        <v>-8.9495900011199723</v>
      </c>
      <c r="AG65">
        <f t="shared" si="6"/>
        <v>18163.98839139556</v>
      </c>
      <c r="AH65" t="b">
        <f t="shared" si="7"/>
        <v>1</v>
      </c>
    </row>
    <row r="66" spans="4:34" x14ac:dyDescent="0.4">
      <c r="D66" t="s">
        <v>55</v>
      </c>
      <c r="E66" t="s">
        <v>37</v>
      </c>
      <c r="F66" s="9">
        <v>46032.25</v>
      </c>
      <c r="G66">
        <v>4.2840000000000003E-5</v>
      </c>
      <c r="H66" s="9">
        <v>46034.25</v>
      </c>
      <c r="I66">
        <v>4.3569999999999998E-5</v>
      </c>
      <c r="J66" s="12">
        <v>152916824.28</v>
      </c>
      <c r="K66" s="12">
        <v>6550.96</v>
      </c>
      <c r="L66">
        <v>9.91</v>
      </c>
      <c r="M66" s="12">
        <v>101.72</v>
      </c>
      <c r="N66" s="13">
        <v>1.55E-2</v>
      </c>
      <c r="O66" t="s">
        <v>38</v>
      </c>
      <c r="Q66">
        <f t="shared" si="8"/>
        <v>111.62928172439919</v>
      </c>
      <c r="R66">
        <f t="shared" si="9"/>
        <v>101.7192817243992</v>
      </c>
      <c r="S66">
        <f t="shared" si="10"/>
        <v>6662.5860338796001</v>
      </c>
      <c r="U66">
        <f t="shared" si="11"/>
        <v>38515406.162464999</v>
      </c>
      <c r="V66">
        <f t="shared" si="12"/>
        <v>1650.0000000000007</v>
      </c>
      <c r="W66">
        <f t="shared" si="13"/>
        <v>28.116246498599246</v>
      </c>
      <c r="X66">
        <f t="shared" si="14"/>
        <v>3.3281162464986007</v>
      </c>
      <c r="Y66">
        <f t="shared" si="15"/>
        <v>24.788130252100643</v>
      </c>
      <c r="Z66">
        <f t="shared" si="16"/>
        <v>52645.071810158777</v>
      </c>
      <c r="AB66">
        <f t="shared" si="1"/>
        <v>42356856.983685002</v>
      </c>
      <c r="AC66">
        <f t="shared" si="2"/>
        <v>1814.5677531810657</v>
      </c>
      <c r="AD66">
        <f t="shared" si="3"/>
        <v>30.920505598089829</v>
      </c>
      <c r="AE66">
        <f t="shared" si="4"/>
        <v>3.6600560119602212</v>
      </c>
      <c r="AF66">
        <f t="shared" si="5"/>
        <v>27.260449586129607</v>
      </c>
      <c r="AG66">
        <f t="shared" si="6"/>
        <v>18172.937981396681</v>
      </c>
      <c r="AH66" t="b">
        <f t="shared" si="7"/>
        <v>1</v>
      </c>
    </row>
    <row r="67" spans="4:34" x14ac:dyDescent="0.4">
      <c r="D67" t="s">
        <v>50</v>
      </c>
      <c r="E67" t="s">
        <v>37</v>
      </c>
      <c r="F67" s="9">
        <v>46030.625</v>
      </c>
      <c r="G67">
        <v>271</v>
      </c>
      <c r="H67" s="9">
        <v>46032.625</v>
      </c>
      <c r="I67">
        <v>283.39999999999998</v>
      </c>
      <c r="J67">
        <v>53.1004</v>
      </c>
      <c r="K67" s="12">
        <v>14390.22</v>
      </c>
      <c r="L67">
        <v>22.08</v>
      </c>
      <c r="M67">
        <v>636.37</v>
      </c>
      <c r="N67" s="13">
        <v>4.4200000000000003E-2</v>
      </c>
      <c r="O67" t="s">
        <v>38</v>
      </c>
      <c r="Q67">
        <f t="shared" si="8"/>
        <v>658.44495999999879</v>
      </c>
      <c r="R67">
        <f t="shared" si="9"/>
        <v>636.36495999999875</v>
      </c>
      <c r="S67">
        <f t="shared" si="10"/>
        <v>15048.653359999998</v>
      </c>
      <c r="U67">
        <f t="shared" si="11"/>
        <v>6.0885610000000003</v>
      </c>
      <c r="V67">
        <f t="shared" si="12"/>
        <v>1650.000031</v>
      </c>
      <c r="W67">
        <f t="shared" si="13"/>
        <v>75.498156399999871</v>
      </c>
      <c r="X67">
        <f t="shared" si="14"/>
        <v>3.3754982184000002</v>
      </c>
      <c r="Y67">
        <f t="shared" si="15"/>
        <v>72.122658181599874</v>
      </c>
      <c r="Z67">
        <f t="shared" si="16"/>
        <v>52620.283679906679</v>
      </c>
      <c r="AB67">
        <f t="shared" si="1"/>
        <v>6.6666809999999996</v>
      </c>
      <c r="AC67">
        <f t="shared" si="2"/>
        <v>1806.6705509999999</v>
      </c>
      <c r="AD67">
        <f t="shared" si="3"/>
        <v>82.666844399999846</v>
      </c>
      <c r="AE67">
        <f t="shared" si="4"/>
        <v>3.6960079464</v>
      </c>
      <c r="AF67">
        <f t="shared" si="5"/>
        <v>78.970836453599844</v>
      </c>
      <c r="AG67">
        <f t="shared" si="6"/>
        <v>18145.67753181055</v>
      </c>
      <c r="AH67" t="b">
        <f t="shared" si="7"/>
        <v>1</v>
      </c>
    </row>
    <row r="68" spans="4:34" x14ac:dyDescent="0.4">
      <c r="D68" t="s">
        <v>54</v>
      </c>
      <c r="E68" t="s">
        <v>37</v>
      </c>
      <c r="F68" s="9">
        <v>46030.583333333336</v>
      </c>
      <c r="G68">
        <v>134.35</v>
      </c>
      <c r="H68" s="9">
        <v>46032.583333333336</v>
      </c>
      <c r="I68">
        <v>136.19999999999999</v>
      </c>
      <c r="J68">
        <v>38.314999999999998</v>
      </c>
      <c r="K68" s="12">
        <v>5147.74</v>
      </c>
      <c r="L68">
        <v>7.77</v>
      </c>
      <c r="M68" s="12">
        <v>63.11</v>
      </c>
      <c r="N68" s="13">
        <v>1.23E-2</v>
      </c>
      <c r="O68" t="s">
        <v>38</v>
      </c>
      <c r="Q68">
        <f t="shared" si="8"/>
        <v>70.882749999999774</v>
      </c>
      <c r="R68">
        <f t="shared" si="9"/>
        <v>63.112749999999778</v>
      </c>
      <c r="S68">
        <f t="shared" si="10"/>
        <v>5218.5029999999997</v>
      </c>
      <c r="U68">
        <f t="shared" si="11"/>
        <v>12.281355</v>
      </c>
      <c r="V68">
        <f t="shared" si="12"/>
        <v>1650.00004425</v>
      </c>
      <c r="W68">
        <f t="shared" si="13"/>
        <v>22.720506749999931</v>
      </c>
      <c r="X68">
        <f t="shared" si="14"/>
        <v>3.3227205952499994</v>
      </c>
      <c r="Y68">
        <f t="shared" si="15"/>
        <v>19.39778615474993</v>
      </c>
      <c r="Z68">
        <f t="shared" si="16"/>
        <v>52548.161021725078</v>
      </c>
      <c r="AB68">
        <f t="shared" si="1"/>
        <v>13.431702</v>
      </c>
      <c r="AC68">
        <f t="shared" si="2"/>
        <v>1804.5491636999998</v>
      </c>
      <c r="AD68">
        <f t="shared" si="3"/>
        <v>24.848648699999924</v>
      </c>
      <c r="AE68">
        <f t="shared" si="4"/>
        <v>3.6339469760999994</v>
      </c>
      <c r="AF68">
        <f t="shared" si="5"/>
        <v>21.214701723899925</v>
      </c>
      <c r="AG68">
        <f t="shared" si="6"/>
        <v>18066.706695356952</v>
      </c>
      <c r="AH68" t="b">
        <f t="shared" si="7"/>
        <v>1</v>
      </c>
    </row>
    <row r="69" spans="4:34" x14ac:dyDescent="0.4">
      <c r="D69" t="s">
        <v>60</v>
      </c>
      <c r="E69" t="s">
        <v>37</v>
      </c>
      <c r="F69" s="9">
        <v>46028.458333333336</v>
      </c>
      <c r="G69">
        <v>2.3607</v>
      </c>
      <c r="H69" s="9">
        <v>46030.958333333336</v>
      </c>
      <c r="I69">
        <v>2.1324999999999998</v>
      </c>
      <c r="J69" s="12">
        <v>984.7</v>
      </c>
      <c r="K69" s="12">
        <v>2324.7399999999998</v>
      </c>
      <c r="L69">
        <v>3.32</v>
      </c>
      <c r="M69">
        <v>-228.03</v>
      </c>
      <c r="N69" s="13">
        <v>-9.8100000000000007E-2</v>
      </c>
      <c r="O69" t="s">
        <v>57</v>
      </c>
      <c r="Q69">
        <f t="shared" si="8"/>
        <v>-224.7085400000002</v>
      </c>
      <c r="R69">
        <f t="shared" si="9"/>
        <v>-228.02854000000019</v>
      </c>
      <c r="S69">
        <f t="shared" si="10"/>
        <v>2099.87275</v>
      </c>
      <c r="U69">
        <f t="shared" si="11"/>
        <v>698.94522800000004</v>
      </c>
      <c r="V69">
        <f t="shared" si="12"/>
        <v>1649.9999997396001</v>
      </c>
      <c r="W69">
        <f t="shared" si="13"/>
        <v>-159.49930102960013</v>
      </c>
      <c r="X69">
        <f t="shared" si="14"/>
        <v>3.1405006984496002</v>
      </c>
      <c r="Y69">
        <f t="shared" si="15"/>
        <v>-162.63980172804975</v>
      </c>
      <c r="Z69">
        <f t="shared" si="16"/>
        <v>52528.763235570332</v>
      </c>
      <c r="AB69">
        <f t="shared" si="1"/>
        <v>772.02255200000002</v>
      </c>
      <c r="AC69">
        <f t="shared" si="2"/>
        <v>1822.5136385064</v>
      </c>
      <c r="AD69">
        <f t="shared" si="3"/>
        <v>-176.17554636640014</v>
      </c>
      <c r="AE69">
        <f t="shared" si="4"/>
        <v>3.4688517306464002</v>
      </c>
      <c r="AF69">
        <f t="shared" si="5"/>
        <v>-179.64439809704655</v>
      </c>
      <c r="AG69">
        <f t="shared" si="6"/>
        <v>18045.491993633052</v>
      </c>
      <c r="AH69" t="b">
        <f t="shared" si="7"/>
        <v>1</v>
      </c>
    </row>
    <row r="70" spans="4:34" x14ac:dyDescent="0.4">
      <c r="D70" t="s">
        <v>55</v>
      </c>
      <c r="E70" t="s">
        <v>37</v>
      </c>
      <c r="F70" s="9">
        <v>46028.625</v>
      </c>
      <c r="G70">
        <v>4.6709999999999998E-5</v>
      </c>
      <c r="H70" s="9">
        <v>46030.625</v>
      </c>
      <c r="I70">
        <v>4.2540000000000003E-5</v>
      </c>
      <c r="J70" s="12">
        <v>141531206.16</v>
      </c>
      <c r="K70" s="12">
        <v>6610.92</v>
      </c>
      <c r="L70">
        <v>9.4700000000000006</v>
      </c>
      <c r="M70" s="12">
        <v>-599.66</v>
      </c>
      <c r="N70" s="13">
        <v>-9.0700000000000003E-2</v>
      </c>
      <c r="O70" t="s">
        <v>38</v>
      </c>
      <c r="Q70">
        <f t="shared" si="8"/>
        <v>-590.18512968719938</v>
      </c>
      <c r="R70">
        <f t="shared" si="9"/>
        <v>-599.65512968719941</v>
      </c>
      <c r="S70">
        <f t="shared" si="10"/>
        <v>6020.7375100464005</v>
      </c>
      <c r="U70">
        <f t="shared" si="11"/>
        <v>35324341.682723001</v>
      </c>
      <c r="V70">
        <f t="shared" si="12"/>
        <v>1649.9999999999914</v>
      </c>
      <c r="W70">
        <f t="shared" si="13"/>
        <v>-147.30250481695475</v>
      </c>
      <c r="X70">
        <f t="shared" si="14"/>
        <v>3.1526974951830282</v>
      </c>
      <c r="Y70">
        <f t="shared" si="15"/>
        <v>-150.45520231213777</v>
      </c>
      <c r="Z70">
        <f t="shared" si="16"/>
        <v>52691.403037298383</v>
      </c>
      <c r="AB70">
        <f t="shared" si="1"/>
        <v>39376689.264568999</v>
      </c>
      <c r="AC70">
        <f t="shared" si="2"/>
        <v>1839.2851555480179</v>
      </c>
      <c r="AD70">
        <f t="shared" si="3"/>
        <v>-164.20079423325257</v>
      </c>
      <c r="AE70">
        <f t="shared" si="4"/>
        <v>3.5143695168627835</v>
      </c>
      <c r="AF70">
        <f t="shared" si="5"/>
        <v>-167.71516375011535</v>
      </c>
      <c r="AG70">
        <f t="shared" si="6"/>
        <v>18225.136391730099</v>
      </c>
      <c r="AH70" t="b">
        <f t="shared" si="7"/>
        <v>1</v>
      </c>
    </row>
    <row r="71" spans="4:34" x14ac:dyDescent="0.4">
      <c r="D71" t="s">
        <v>43</v>
      </c>
      <c r="E71" t="s">
        <v>37</v>
      </c>
      <c r="F71" s="9">
        <v>46028.5</v>
      </c>
      <c r="G71">
        <v>1.9795</v>
      </c>
      <c r="H71" s="9">
        <v>46030.5</v>
      </c>
      <c r="I71">
        <v>1.7833000000000001</v>
      </c>
      <c r="J71" s="12">
        <v>1000</v>
      </c>
      <c r="K71" s="12">
        <v>1979.55</v>
      </c>
      <c r="L71">
        <v>2.82</v>
      </c>
      <c r="M71">
        <v>-199.02</v>
      </c>
      <c r="N71" s="13">
        <v>-0.10050000000000001</v>
      </c>
      <c r="O71" t="s">
        <v>38</v>
      </c>
      <c r="Q71">
        <f t="shared" si="8"/>
        <v>-196.19999999999993</v>
      </c>
      <c r="R71">
        <f t="shared" si="9"/>
        <v>-199.01999999999992</v>
      </c>
      <c r="S71">
        <f t="shared" si="10"/>
        <v>1783.3000000000002</v>
      </c>
      <c r="U71">
        <f t="shared" si="11"/>
        <v>833.54382399999997</v>
      </c>
      <c r="V71">
        <f t="shared" si="12"/>
        <v>1649.9999996080001</v>
      </c>
      <c r="W71">
        <f t="shared" si="13"/>
        <v>-163.54129826879995</v>
      </c>
      <c r="X71">
        <f t="shared" si="14"/>
        <v>3.1364587009472005</v>
      </c>
      <c r="Y71">
        <f t="shared" si="15"/>
        <v>-166.67775696974715</v>
      </c>
      <c r="Z71">
        <f t="shared" si="16"/>
        <v>52841.858239610519</v>
      </c>
      <c r="AB71">
        <f t="shared" si="1"/>
        <v>938.64846299999999</v>
      </c>
      <c r="AC71">
        <f t="shared" si="2"/>
        <v>1858.0546325084999</v>
      </c>
      <c r="AD71">
        <f t="shared" si="3"/>
        <v>-184.16282844059992</v>
      </c>
      <c r="AE71">
        <f t="shared" si="4"/>
        <v>3.5319464365764004</v>
      </c>
      <c r="AF71">
        <f t="shared" si="5"/>
        <v>-187.69477487717631</v>
      </c>
      <c r="AG71">
        <f t="shared" si="6"/>
        <v>18392.851555480214</v>
      </c>
      <c r="AH71" t="b">
        <f t="shared" si="7"/>
        <v>1</v>
      </c>
    </row>
    <row r="72" spans="4:34" x14ac:dyDescent="0.4">
      <c r="D72" t="s">
        <v>61</v>
      </c>
      <c r="E72" t="s">
        <v>37</v>
      </c>
      <c r="F72" s="9">
        <v>46028.458333333336</v>
      </c>
      <c r="G72">
        <v>0.41909999999999997</v>
      </c>
      <c r="H72" s="9">
        <v>46030.458333333336</v>
      </c>
      <c r="I72">
        <v>0.3916</v>
      </c>
      <c r="J72" s="12">
        <v>20656.599999999999</v>
      </c>
      <c r="K72" s="12">
        <v>8657.2000000000007</v>
      </c>
      <c r="L72">
        <v>12.56</v>
      </c>
      <c r="M72">
        <v>-580.62</v>
      </c>
      <c r="N72" s="13">
        <v>-6.7100000000000007E-2</v>
      </c>
      <c r="O72" t="s">
        <v>38</v>
      </c>
      <c r="Q72">
        <f t="shared" si="8"/>
        <v>-568.05649999999935</v>
      </c>
      <c r="R72">
        <f t="shared" si="9"/>
        <v>-580.61649999999929</v>
      </c>
      <c r="S72">
        <f t="shared" si="10"/>
        <v>8089.1245599999993</v>
      </c>
      <c r="U72">
        <f t="shared" si="11"/>
        <v>3937.0078739999999</v>
      </c>
      <c r="V72">
        <f t="shared" si="12"/>
        <v>1649.9999999933998</v>
      </c>
      <c r="W72">
        <f t="shared" si="13"/>
        <v>-108.26771653499988</v>
      </c>
      <c r="X72">
        <f t="shared" si="14"/>
        <v>3.1917322834517998</v>
      </c>
      <c r="Y72">
        <f t="shared" si="15"/>
        <v>-111.45944881845168</v>
      </c>
      <c r="Z72">
        <f t="shared" si="16"/>
        <v>53008.535996580264</v>
      </c>
      <c r="AB72">
        <f t="shared" si="1"/>
        <v>4463.5919210000002</v>
      </c>
      <c r="AC72">
        <f t="shared" si="2"/>
        <v>1870.6913740911</v>
      </c>
      <c r="AD72">
        <f t="shared" si="3"/>
        <v>-122.74877782749986</v>
      </c>
      <c r="AE72">
        <f t="shared" si="4"/>
        <v>3.6186339703547001</v>
      </c>
      <c r="AF72">
        <f t="shared" si="5"/>
        <v>-126.36741179785456</v>
      </c>
      <c r="AG72">
        <f t="shared" si="6"/>
        <v>18580.546330357392</v>
      </c>
      <c r="AH72" t="b">
        <f t="shared" si="7"/>
        <v>1</v>
      </c>
    </row>
    <row r="73" spans="4:34" x14ac:dyDescent="0.4">
      <c r="D73" t="s">
        <v>48</v>
      </c>
      <c r="E73" t="s">
        <v>37</v>
      </c>
      <c r="F73" s="9">
        <v>46027.958333333336</v>
      </c>
      <c r="G73">
        <v>8.2000000000000003E-2</v>
      </c>
      <c r="H73" s="9">
        <v>46029.958333333336</v>
      </c>
      <c r="I73">
        <v>7.6600000000000001E-2</v>
      </c>
      <c r="J73" s="12">
        <v>53206.400000000001</v>
      </c>
      <c r="K73" s="12">
        <v>4362.93</v>
      </c>
      <c r="L73">
        <v>6.33</v>
      </c>
      <c r="M73">
        <v>-293.64</v>
      </c>
      <c r="N73" s="13">
        <v>-6.7299999999999999E-2</v>
      </c>
      <c r="O73" t="s">
        <v>38</v>
      </c>
      <c r="Q73">
        <f t="shared" si="8"/>
        <v>-287.31456000000014</v>
      </c>
      <c r="R73">
        <f t="shared" si="9"/>
        <v>-293.64456000000013</v>
      </c>
      <c r="S73">
        <f t="shared" si="10"/>
        <v>4075.61024</v>
      </c>
      <c r="U73">
        <f t="shared" si="11"/>
        <v>20121.951219999999</v>
      </c>
      <c r="V73">
        <f t="shared" si="12"/>
        <v>1650.00000004</v>
      </c>
      <c r="W73">
        <f t="shared" si="13"/>
        <v>-108.65853658800003</v>
      </c>
      <c r="X73">
        <f t="shared" si="14"/>
        <v>3.1913414634920003</v>
      </c>
      <c r="Y73">
        <f t="shared" si="15"/>
        <v>-111.84987805149203</v>
      </c>
      <c r="Z73">
        <f t="shared" si="16"/>
        <v>53119.995445398716</v>
      </c>
      <c r="AB73">
        <f t="shared" si="1"/>
        <v>22969.011327</v>
      </c>
      <c r="AC73">
        <f t="shared" si="2"/>
        <v>1883.458928814</v>
      </c>
      <c r="AD73">
        <f t="shared" si="3"/>
        <v>-124.03266116580005</v>
      </c>
      <c r="AE73">
        <f t="shared" si="4"/>
        <v>3.6428851964622009</v>
      </c>
      <c r="AF73">
        <f t="shared" si="5"/>
        <v>-127.67554636226225</v>
      </c>
      <c r="AG73">
        <f t="shared" si="6"/>
        <v>18706.913742155248</v>
      </c>
      <c r="AH73" t="b">
        <f t="shared" si="7"/>
        <v>1</v>
      </c>
    </row>
    <row r="74" spans="4:34" x14ac:dyDescent="0.4">
      <c r="D74" t="s">
        <v>53</v>
      </c>
      <c r="E74" t="s">
        <v>37</v>
      </c>
      <c r="F74" s="9">
        <v>46027.75</v>
      </c>
      <c r="G74">
        <v>906.7</v>
      </c>
      <c r="H74" s="9">
        <v>46029.75</v>
      </c>
      <c r="I74">
        <v>897.01</v>
      </c>
      <c r="J74">
        <v>10.925000000000001</v>
      </c>
      <c r="K74" s="12">
        <v>9905.94</v>
      </c>
      <c r="L74">
        <v>14.78</v>
      </c>
      <c r="M74">
        <v>-120.64</v>
      </c>
      <c r="N74" s="13">
        <v>-1.2200000000000001E-2</v>
      </c>
      <c r="O74" t="s">
        <v>38</v>
      </c>
      <c r="Q74">
        <f t="shared" si="8"/>
        <v>-105.8632500000006</v>
      </c>
      <c r="R74">
        <f t="shared" si="9"/>
        <v>-120.64325000000061</v>
      </c>
      <c r="S74">
        <f t="shared" si="10"/>
        <v>9799.8342499999999</v>
      </c>
      <c r="U74">
        <f t="shared" si="11"/>
        <v>1.8197859999999999</v>
      </c>
      <c r="V74">
        <f t="shared" si="12"/>
        <v>1649.9999662</v>
      </c>
      <c r="W74">
        <f t="shared" si="13"/>
        <v>-17.633726340000099</v>
      </c>
      <c r="X74">
        <f t="shared" si="14"/>
        <v>3.2823662060600003</v>
      </c>
      <c r="Y74">
        <f t="shared" si="15"/>
        <v>-20.916092546060099</v>
      </c>
      <c r="Z74">
        <f t="shared" si="16"/>
        <v>53231.845323450209</v>
      </c>
      <c r="AB74">
        <f t="shared" si="1"/>
        <v>2.0799050000000001</v>
      </c>
      <c r="AC74">
        <f t="shared" si="2"/>
        <v>1885.8498635000003</v>
      </c>
      <c r="AD74">
        <f t="shared" si="3"/>
        <v>-20.154279450000114</v>
      </c>
      <c r="AE74">
        <f t="shared" si="4"/>
        <v>3.7515454475500003</v>
      </c>
      <c r="AF74">
        <f t="shared" si="5"/>
        <v>-23.905824897550115</v>
      </c>
      <c r="AG74">
        <f t="shared" si="6"/>
        <v>18834.589288517509</v>
      </c>
      <c r="AH74" t="b">
        <f t="shared" si="7"/>
        <v>1</v>
      </c>
    </row>
    <row r="75" spans="4:34" x14ac:dyDescent="0.4">
      <c r="D75" t="s">
        <v>56</v>
      </c>
      <c r="E75" t="s">
        <v>37</v>
      </c>
      <c r="F75" s="9">
        <v>46028.166666666664</v>
      </c>
      <c r="G75" s="12">
        <v>3225.69</v>
      </c>
      <c r="H75" s="9">
        <v>46029.625</v>
      </c>
      <c r="I75" s="12">
        <v>3174.36</v>
      </c>
      <c r="J75">
        <v>1.8461000000000001</v>
      </c>
      <c r="K75" s="12">
        <v>5955.17</v>
      </c>
      <c r="L75">
        <v>8.86</v>
      </c>
      <c r="M75">
        <v>-103.63</v>
      </c>
      <c r="N75" s="13">
        <v>-1.7399999999999999E-2</v>
      </c>
      <c r="O75" t="s">
        <v>49</v>
      </c>
      <c r="Q75">
        <f t="shared" si="8"/>
        <v>-94.760312999999869</v>
      </c>
      <c r="R75">
        <f t="shared" si="9"/>
        <v>-103.62031299999987</v>
      </c>
      <c r="S75">
        <f t="shared" si="10"/>
        <v>5860.1859960000002</v>
      </c>
      <c r="U75">
        <f t="shared" si="11"/>
        <v>0.51151800000000003</v>
      </c>
      <c r="V75">
        <f t="shared" si="12"/>
        <v>1649.9984974200001</v>
      </c>
      <c r="W75">
        <f t="shared" si="13"/>
        <v>-26.256218939999965</v>
      </c>
      <c r="X75">
        <f t="shared" si="14"/>
        <v>3.2737407759000003</v>
      </c>
      <c r="Y75">
        <f t="shared" si="15"/>
        <v>-29.529959715899963</v>
      </c>
      <c r="Z75">
        <f t="shared" si="16"/>
        <v>53252.761415996269</v>
      </c>
      <c r="AB75">
        <f t="shared" si="1"/>
        <v>0.58568299999999995</v>
      </c>
      <c r="AC75">
        <f t="shared" si="2"/>
        <v>1889.2317962699999</v>
      </c>
      <c r="AD75">
        <f t="shared" si="3"/>
        <v>-30.063108389999954</v>
      </c>
      <c r="AE75">
        <f t="shared" si="4"/>
        <v>3.7484004841499998</v>
      </c>
      <c r="AF75">
        <f t="shared" si="5"/>
        <v>-33.811508874149951</v>
      </c>
      <c r="AG75">
        <f t="shared" si="6"/>
        <v>18858.495113415058</v>
      </c>
      <c r="AH75" t="b">
        <f t="shared" si="7"/>
        <v>1</v>
      </c>
    </row>
    <row r="76" spans="4:34" x14ac:dyDescent="0.4">
      <c r="D76" t="s">
        <v>58</v>
      </c>
      <c r="E76" t="s">
        <v>37</v>
      </c>
      <c r="F76" s="9">
        <v>46027.625</v>
      </c>
      <c r="G76">
        <v>13.61</v>
      </c>
      <c r="H76" s="9">
        <v>46029.625</v>
      </c>
      <c r="I76">
        <v>13.57</v>
      </c>
      <c r="J76">
        <v>544.57000000000005</v>
      </c>
      <c r="K76" s="12">
        <v>7411.72</v>
      </c>
      <c r="L76">
        <v>11.1</v>
      </c>
      <c r="M76">
        <v>-32.880000000000003</v>
      </c>
      <c r="N76" s="13">
        <v>-4.4000000000000003E-3</v>
      </c>
      <c r="O76" t="s">
        <v>38</v>
      </c>
      <c r="Q76">
        <f t="shared" si="8"/>
        <v>-21.782799999999536</v>
      </c>
      <c r="R76">
        <f t="shared" si="9"/>
        <v>-32.882799999999534</v>
      </c>
      <c r="S76">
        <f t="shared" si="10"/>
        <v>7389.8149000000012</v>
      </c>
      <c r="U76">
        <f t="shared" si="11"/>
        <v>121.234386</v>
      </c>
      <c r="V76">
        <f t="shared" si="12"/>
        <v>1649.99999346</v>
      </c>
      <c r="W76">
        <f t="shared" si="13"/>
        <v>-4.8493754399998963</v>
      </c>
      <c r="X76">
        <f t="shared" si="14"/>
        <v>3.29515061148</v>
      </c>
      <c r="Y76">
        <f t="shared" si="15"/>
        <v>-8.1445260514798967</v>
      </c>
      <c r="Z76">
        <f t="shared" si="16"/>
        <v>53282.291375712171</v>
      </c>
      <c r="AB76">
        <f t="shared" si="1"/>
        <v>138.880504</v>
      </c>
      <c r="AC76">
        <f t="shared" si="2"/>
        <v>1890.1636594399999</v>
      </c>
      <c r="AD76">
        <f t="shared" si="3"/>
        <v>-5.5552201599998821</v>
      </c>
      <c r="AE76">
        <f t="shared" si="4"/>
        <v>3.7747720987199997</v>
      </c>
      <c r="AF76">
        <f t="shared" si="5"/>
        <v>-9.3299922587198818</v>
      </c>
      <c r="AG76">
        <f t="shared" si="6"/>
        <v>18892.306622289208</v>
      </c>
      <c r="AH76" t="b">
        <f t="shared" si="7"/>
        <v>1</v>
      </c>
    </row>
    <row r="77" spans="4:34" x14ac:dyDescent="0.4">
      <c r="D77" t="s">
        <v>50</v>
      </c>
      <c r="E77" t="s">
        <v>37</v>
      </c>
      <c r="F77" s="9">
        <v>46027.625</v>
      </c>
      <c r="G77">
        <v>263.2</v>
      </c>
      <c r="H77" s="9">
        <v>46029.625</v>
      </c>
      <c r="I77">
        <v>274.89999999999998</v>
      </c>
      <c r="J77">
        <v>54.440399999999997</v>
      </c>
      <c r="K77" s="12">
        <v>14328.72</v>
      </c>
      <c r="L77">
        <v>21.97</v>
      </c>
      <c r="M77">
        <v>614.98</v>
      </c>
      <c r="N77" s="13">
        <v>4.2900000000000001E-2</v>
      </c>
      <c r="O77" t="s">
        <v>38</v>
      </c>
      <c r="Q77">
        <f t="shared" si="8"/>
        <v>636.9526799999993</v>
      </c>
      <c r="R77">
        <f t="shared" si="9"/>
        <v>614.98267999999928</v>
      </c>
      <c r="S77">
        <f t="shared" si="10"/>
        <v>14965.665959999998</v>
      </c>
      <c r="U77">
        <f t="shared" ref="U77:U140" si="17">ROUND(($Q$2)/G77,6)</f>
        <v>6.2689969999999997</v>
      </c>
      <c r="V77">
        <f t="shared" si="12"/>
        <v>1650.0000103999998</v>
      </c>
      <c r="W77">
        <f t="shared" ref="W77:W140" si="18">U77*(I77-G77)</f>
        <v>73.347264899999928</v>
      </c>
      <c r="X77">
        <f t="shared" ref="X77:X140" si="19">(G77+I77)*$R$2*U77</f>
        <v>3.3733472856999991</v>
      </c>
      <c r="Y77">
        <f t="shared" ref="Y77:Y140" si="20">W77-X77</f>
        <v>69.973917614299936</v>
      </c>
      <c r="Z77">
        <f t="shared" ref="Z77:Z140" si="21">Z78+Y77</f>
        <v>53290.435901763653</v>
      </c>
      <c r="AB77">
        <f t="shared" ref="AB77:AB140" si="22">ROUND(((AH77*AG78 +(1-AH77)*AI77)/$P$2)/G77,6)</f>
        <v>7.1511459999999998</v>
      </c>
      <c r="AC77">
        <f t="shared" ref="AC77:AC140" si="23">AB77*G77</f>
        <v>1882.1816271999999</v>
      </c>
      <c r="AD77">
        <f t="shared" ref="AD77:AD140" si="24">AB77*(I77-G77)</f>
        <v>83.668408199999917</v>
      </c>
      <c r="AE77">
        <f t="shared" ref="AE77:AE140" si="25">(G77+I77)*$R$2*AB77</f>
        <v>3.8480316625999991</v>
      </c>
      <c r="AF77">
        <f t="shared" ref="AF77:AF140" si="26">AD77-AE77</f>
        <v>79.820376537399923</v>
      </c>
      <c r="AG77">
        <f t="shared" ref="AG77:AG103" si="27">AG78*AH77 + (1-AH77)*AI77+AF77</f>
        <v>18901.63661454793</v>
      </c>
      <c r="AH77" t="b">
        <f t="shared" ref="AH77:AH140" si="28">ISBLANK(AI77)</f>
        <v>1</v>
      </c>
    </row>
    <row r="78" spans="4:34" x14ac:dyDescent="0.4">
      <c r="D78" t="s">
        <v>52</v>
      </c>
      <c r="E78" t="s">
        <v>37</v>
      </c>
      <c r="F78" s="9">
        <v>46027.5</v>
      </c>
      <c r="G78">
        <v>3.2090000000000001</v>
      </c>
      <c r="H78" s="9">
        <v>46029.5</v>
      </c>
      <c r="I78">
        <v>3.3260000000000001</v>
      </c>
      <c r="J78" s="12">
        <v>848.68</v>
      </c>
      <c r="K78" s="12">
        <v>2723.44</v>
      </c>
      <c r="L78">
        <v>4.16</v>
      </c>
      <c r="M78">
        <v>95.14</v>
      </c>
      <c r="N78" s="13">
        <v>3.49E-2</v>
      </c>
      <c r="O78" t="s">
        <v>38</v>
      </c>
      <c r="Q78">
        <f t="shared" ref="Q78:Q141" si="29">(I78-G78)*J78</f>
        <v>99.295559999999995</v>
      </c>
      <c r="R78">
        <f t="shared" ref="R78:R141" si="30">Q78-L78</f>
        <v>95.135559999999998</v>
      </c>
      <c r="S78">
        <f t="shared" ref="S78:S141" si="31">I78*J78</f>
        <v>2822.7096799999999</v>
      </c>
      <c r="U78">
        <f t="shared" si="17"/>
        <v>514.17887199999996</v>
      </c>
      <c r="V78">
        <f t="shared" ref="V78:V141" si="32">U78*G78</f>
        <v>1650.0000002479999</v>
      </c>
      <c r="W78">
        <f t="shared" si="18"/>
        <v>60.158928023999991</v>
      </c>
      <c r="X78">
        <f t="shared" si="19"/>
        <v>3.3601589285199998</v>
      </c>
      <c r="Y78">
        <f t="shared" si="20"/>
        <v>56.79876909547999</v>
      </c>
      <c r="Z78">
        <f t="shared" si="21"/>
        <v>53220.461984149355</v>
      </c>
      <c r="AB78">
        <f t="shared" si="22"/>
        <v>584.52001399999995</v>
      </c>
      <c r="AC78">
        <f t="shared" si="23"/>
        <v>1875.7247249259999</v>
      </c>
      <c r="AD78">
        <f t="shared" si="24"/>
        <v>68.388841637999988</v>
      </c>
      <c r="AE78">
        <f t="shared" si="25"/>
        <v>3.8198382914899995</v>
      </c>
      <c r="AF78">
        <f t="shared" si="26"/>
        <v>64.569003346509987</v>
      </c>
      <c r="AG78">
        <f t="shared" si="27"/>
        <v>18821.816238010531</v>
      </c>
      <c r="AH78" t="b">
        <f t="shared" si="28"/>
        <v>1</v>
      </c>
    </row>
    <row r="79" spans="4:34" x14ac:dyDescent="0.4">
      <c r="D79" t="s">
        <v>54</v>
      </c>
      <c r="E79" t="s">
        <v>37</v>
      </c>
      <c r="F79" s="9">
        <v>46027.458333333336</v>
      </c>
      <c r="G79" s="12">
        <v>135.77000000000001</v>
      </c>
      <c r="H79" s="9">
        <v>46029.458333333336</v>
      </c>
      <c r="I79" s="12">
        <v>137.5</v>
      </c>
      <c r="J79">
        <v>37.872</v>
      </c>
      <c r="K79" s="12">
        <v>5141.97</v>
      </c>
      <c r="L79">
        <v>7.76</v>
      </c>
      <c r="M79">
        <v>57.76</v>
      </c>
      <c r="N79" s="13">
        <v>1.12E-2</v>
      </c>
      <c r="O79" t="s">
        <v>38</v>
      </c>
      <c r="Q79">
        <f t="shared" si="29"/>
        <v>65.51855999999961</v>
      </c>
      <c r="R79">
        <f t="shared" si="30"/>
        <v>57.758559999999612</v>
      </c>
      <c r="S79">
        <f t="shared" si="31"/>
        <v>5207.3999999999996</v>
      </c>
      <c r="U79">
        <f t="shared" si="17"/>
        <v>12.152906</v>
      </c>
      <c r="V79">
        <f t="shared" si="32"/>
        <v>1650.00004762</v>
      </c>
      <c r="W79">
        <f t="shared" si="18"/>
        <v>21.024527379999874</v>
      </c>
      <c r="X79">
        <f t="shared" si="19"/>
        <v>3.32102462262</v>
      </c>
      <c r="Y79">
        <f t="shared" si="20"/>
        <v>17.703502757379873</v>
      </c>
      <c r="Z79">
        <f t="shared" si="21"/>
        <v>53163.663215053872</v>
      </c>
      <c r="AB79">
        <f t="shared" si="22"/>
        <v>13.800651</v>
      </c>
      <c r="AC79">
        <f t="shared" si="23"/>
        <v>1873.7143862700002</v>
      </c>
      <c r="AD79">
        <f t="shared" si="24"/>
        <v>23.875126229999861</v>
      </c>
      <c r="AE79">
        <f t="shared" si="25"/>
        <v>3.7713038987700003</v>
      </c>
      <c r="AF79">
        <f t="shared" si="26"/>
        <v>20.103822331229861</v>
      </c>
      <c r="AG79">
        <f t="shared" si="27"/>
        <v>18757.247234664021</v>
      </c>
      <c r="AH79" t="b">
        <f t="shared" si="28"/>
        <v>1</v>
      </c>
    </row>
    <row r="80" spans="4:34" x14ac:dyDescent="0.4">
      <c r="D80" t="s">
        <v>59</v>
      </c>
      <c r="E80" t="s">
        <v>37</v>
      </c>
      <c r="F80" s="9">
        <v>46026.75</v>
      </c>
      <c r="G80" s="12">
        <v>91319.01</v>
      </c>
      <c r="H80" s="9">
        <v>46029.25</v>
      </c>
      <c r="I80" s="12">
        <v>92491.99</v>
      </c>
      <c r="J80">
        <v>0.11784</v>
      </c>
      <c r="K80" s="12">
        <v>10761.16</v>
      </c>
      <c r="L80">
        <v>16.25</v>
      </c>
      <c r="M80" s="12">
        <v>121.98</v>
      </c>
      <c r="N80" s="13">
        <v>1.1299999999999999E-2</v>
      </c>
      <c r="O80" t="s">
        <v>57</v>
      </c>
      <c r="Q80">
        <f t="shared" si="29"/>
        <v>138.22396320000124</v>
      </c>
      <c r="R80">
        <f t="shared" si="30"/>
        <v>121.97396320000124</v>
      </c>
      <c r="S80">
        <f t="shared" si="31"/>
        <v>10899.2561016</v>
      </c>
      <c r="U80">
        <f t="shared" si="17"/>
        <v>1.8069000000000002E-2</v>
      </c>
      <c r="V80">
        <f t="shared" si="32"/>
        <v>1650.04319169</v>
      </c>
      <c r="W80">
        <f t="shared" si="18"/>
        <v>21.19457562000019</v>
      </c>
      <c r="X80">
        <f t="shared" si="19"/>
        <v>3.3212809590000005</v>
      </c>
      <c r="Y80">
        <f t="shared" si="20"/>
        <v>17.873294661000191</v>
      </c>
      <c r="Z80">
        <f t="shared" si="21"/>
        <v>53145.959712296491</v>
      </c>
      <c r="AB80">
        <f t="shared" si="22"/>
        <v>2.0496E-2</v>
      </c>
      <c r="AC80">
        <f t="shared" si="23"/>
        <v>1871.6744289599999</v>
      </c>
      <c r="AD80">
        <f t="shared" si="24"/>
        <v>24.041398080000214</v>
      </c>
      <c r="AE80">
        <f t="shared" si="25"/>
        <v>3.7673902560000001</v>
      </c>
      <c r="AF80">
        <f t="shared" si="26"/>
        <v>20.274007824000215</v>
      </c>
      <c r="AG80">
        <f t="shared" si="27"/>
        <v>18737.143412332789</v>
      </c>
      <c r="AH80" t="b">
        <f t="shared" si="28"/>
        <v>1</v>
      </c>
    </row>
    <row r="81" spans="4:34" x14ac:dyDescent="0.4">
      <c r="D81" t="s">
        <v>40</v>
      </c>
      <c r="E81" t="s">
        <v>41</v>
      </c>
      <c r="F81" s="9">
        <v>46027.75</v>
      </c>
      <c r="G81">
        <v>490.83</v>
      </c>
      <c r="H81" s="9">
        <v>46029.083333333336</v>
      </c>
      <c r="I81">
        <v>494.16</v>
      </c>
      <c r="J81">
        <v>18.077000000000002</v>
      </c>
      <c r="K81" s="12">
        <v>8873.2000000000007</v>
      </c>
      <c r="L81">
        <v>13.35</v>
      </c>
      <c r="M81">
        <v>46.84</v>
      </c>
      <c r="N81" s="13">
        <v>5.3E-3</v>
      </c>
      <c r="O81" t="s">
        <v>38</v>
      </c>
      <c r="Q81">
        <f t="shared" si="29"/>
        <v>60.196410000000746</v>
      </c>
      <c r="R81">
        <f t="shared" si="30"/>
        <v>46.846410000000745</v>
      </c>
      <c r="S81">
        <f t="shared" si="31"/>
        <v>8932.9303200000013</v>
      </c>
      <c r="U81">
        <f t="shared" si="17"/>
        <v>3.361653</v>
      </c>
      <c r="V81">
        <f t="shared" si="32"/>
        <v>1650.00014199</v>
      </c>
      <c r="W81">
        <f t="shared" si="18"/>
        <v>11.194304490000137</v>
      </c>
      <c r="X81">
        <f t="shared" si="19"/>
        <v>3.3111945884700003</v>
      </c>
      <c r="Y81">
        <f t="shared" si="20"/>
        <v>7.8831099015301369</v>
      </c>
      <c r="Z81">
        <f t="shared" si="21"/>
        <v>53128.086417635488</v>
      </c>
      <c r="AB81">
        <f t="shared" si="22"/>
        <v>3.8114889999999999</v>
      </c>
      <c r="AC81">
        <f t="shared" si="23"/>
        <v>1870.79314587</v>
      </c>
      <c r="AD81">
        <f t="shared" si="24"/>
        <v>12.692258370000156</v>
      </c>
      <c r="AE81">
        <f t="shared" si="25"/>
        <v>3.75427855011</v>
      </c>
      <c r="AF81">
        <f t="shared" si="26"/>
        <v>8.9379798198901561</v>
      </c>
      <c r="AG81">
        <f t="shared" si="27"/>
        <v>18716.86940450879</v>
      </c>
      <c r="AH81" t="b">
        <f t="shared" si="28"/>
        <v>1</v>
      </c>
    </row>
    <row r="82" spans="4:34" x14ac:dyDescent="0.4">
      <c r="D82" t="s">
        <v>43</v>
      </c>
      <c r="E82" t="s">
        <v>37</v>
      </c>
      <c r="F82" s="9">
        <v>46026.416666666664</v>
      </c>
      <c r="G82">
        <v>1.7068000000000001</v>
      </c>
      <c r="H82" s="9">
        <v>46028.416666666664</v>
      </c>
      <c r="I82">
        <v>1.9520999999999999</v>
      </c>
      <c r="J82" s="12">
        <v>1143.5</v>
      </c>
      <c r="K82" s="12">
        <v>1951.81</v>
      </c>
      <c r="L82">
        <v>3.14</v>
      </c>
      <c r="M82">
        <v>277.36</v>
      </c>
      <c r="N82" s="13">
        <v>0.1421</v>
      </c>
      <c r="O82" t="s">
        <v>38</v>
      </c>
      <c r="Q82">
        <f t="shared" si="29"/>
        <v>280.50054999999981</v>
      </c>
      <c r="R82">
        <f t="shared" si="30"/>
        <v>277.36054999999982</v>
      </c>
      <c r="S82">
        <f t="shared" si="31"/>
        <v>2232.2263499999999</v>
      </c>
      <c r="U82">
        <f t="shared" si="17"/>
        <v>966.72135000000003</v>
      </c>
      <c r="V82">
        <f t="shared" si="32"/>
        <v>1650.0000001800001</v>
      </c>
      <c r="W82">
        <f t="shared" si="18"/>
        <v>237.13674715499985</v>
      </c>
      <c r="X82">
        <f t="shared" si="19"/>
        <v>3.5371367475150004</v>
      </c>
      <c r="Y82">
        <f t="shared" si="20"/>
        <v>233.59961040748485</v>
      </c>
      <c r="Z82">
        <f t="shared" si="21"/>
        <v>53120.203307733958</v>
      </c>
      <c r="AB82">
        <f t="shared" si="22"/>
        <v>1080.7810119999999</v>
      </c>
      <c r="AC82">
        <f t="shared" si="23"/>
        <v>1844.6770312816</v>
      </c>
      <c r="AD82">
        <f t="shared" si="24"/>
        <v>265.11558224359982</v>
      </c>
      <c r="AE82">
        <f t="shared" si="25"/>
        <v>3.9544696448068</v>
      </c>
      <c r="AF82">
        <f t="shared" si="26"/>
        <v>261.16111259879301</v>
      </c>
      <c r="AG82">
        <f t="shared" si="27"/>
        <v>18707.931424688901</v>
      </c>
      <c r="AH82" t="b">
        <f t="shared" si="28"/>
        <v>1</v>
      </c>
    </row>
    <row r="83" spans="4:34" x14ac:dyDescent="0.4">
      <c r="D83" t="s">
        <v>61</v>
      </c>
      <c r="E83" t="s">
        <v>37</v>
      </c>
      <c r="F83" s="9">
        <v>46026.375</v>
      </c>
      <c r="G83">
        <v>0.39810000000000001</v>
      </c>
      <c r="H83" s="9">
        <v>46028.375</v>
      </c>
      <c r="I83">
        <v>0.41589999999999999</v>
      </c>
      <c r="J83" s="12">
        <v>21652.799999999999</v>
      </c>
      <c r="K83" s="12">
        <v>8619.98</v>
      </c>
      <c r="L83">
        <v>13.22</v>
      </c>
      <c r="M83" s="12">
        <v>372.2</v>
      </c>
      <c r="N83" s="13">
        <v>4.3200000000000002E-2</v>
      </c>
      <c r="O83" t="s">
        <v>38</v>
      </c>
      <c r="Q83">
        <f t="shared" si="29"/>
        <v>385.41983999999962</v>
      </c>
      <c r="R83">
        <f t="shared" si="30"/>
        <v>372.1998399999996</v>
      </c>
      <c r="S83">
        <f t="shared" si="31"/>
        <v>9005.399519999999</v>
      </c>
      <c r="U83">
        <f t="shared" si="17"/>
        <v>4144.6872649999996</v>
      </c>
      <c r="V83">
        <f t="shared" si="32"/>
        <v>1650.0000001965</v>
      </c>
      <c r="W83">
        <f t="shared" si="18"/>
        <v>73.775433316999923</v>
      </c>
      <c r="X83">
        <f t="shared" si="19"/>
        <v>3.3737754337099997</v>
      </c>
      <c r="Y83">
        <f t="shared" si="20"/>
        <v>70.401657883289928</v>
      </c>
      <c r="Z83">
        <f t="shared" si="21"/>
        <v>52886.603697326471</v>
      </c>
      <c r="AB83">
        <f t="shared" si="22"/>
        <v>4614.0157349999999</v>
      </c>
      <c r="AC83">
        <f t="shared" si="23"/>
        <v>1836.8396641035001</v>
      </c>
      <c r="AD83">
        <f t="shared" si="24"/>
        <v>82.129480082999919</v>
      </c>
      <c r="AE83">
        <f t="shared" si="25"/>
        <v>3.7558088082900003</v>
      </c>
      <c r="AF83">
        <f t="shared" si="26"/>
        <v>78.37367127470992</v>
      </c>
      <c r="AG83">
        <f t="shared" si="27"/>
        <v>18446.770312090106</v>
      </c>
      <c r="AH83" t="b">
        <f t="shared" si="28"/>
        <v>1</v>
      </c>
    </row>
    <row r="84" spans="4:34" x14ac:dyDescent="0.4">
      <c r="D84" t="s">
        <v>55</v>
      </c>
      <c r="E84" t="s">
        <v>37</v>
      </c>
      <c r="F84" s="9">
        <v>46026.333333333336</v>
      </c>
      <c r="G84">
        <v>4.3529999999999998E-5</v>
      </c>
      <c r="H84" s="9">
        <v>46028.333333333336</v>
      </c>
      <c r="I84">
        <v>4.5229999999999999E-5</v>
      </c>
      <c r="J84" s="12">
        <v>151302742.84</v>
      </c>
      <c r="K84" s="12">
        <v>6586.21</v>
      </c>
      <c r="L84">
        <v>10.07</v>
      </c>
      <c r="M84">
        <v>247.14</v>
      </c>
      <c r="N84" s="13">
        <v>3.7499999999999999E-2</v>
      </c>
      <c r="O84" t="s">
        <v>38</v>
      </c>
      <c r="Q84">
        <f t="shared" si="29"/>
        <v>257.21466282800009</v>
      </c>
      <c r="R84">
        <f t="shared" si="30"/>
        <v>247.14466282800009</v>
      </c>
      <c r="S84">
        <f t="shared" si="31"/>
        <v>6843.4230586532003</v>
      </c>
      <c r="U84">
        <f t="shared" si="17"/>
        <v>37904893.177119002</v>
      </c>
      <c r="V84">
        <f t="shared" si="32"/>
        <v>1649.99999999999</v>
      </c>
      <c r="W84">
        <f t="shared" si="18"/>
        <v>64.438318401102322</v>
      </c>
      <c r="X84">
        <f t="shared" si="19"/>
        <v>3.3644383184010822</v>
      </c>
      <c r="Y84">
        <f t="shared" si="20"/>
        <v>61.073880082701237</v>
      </c>
      <c r="Z84">
        <f t="shared" si="21"/>
        <v>52816.202039443182</v>
      </c>
      <c r="AB84">
        <f t="shared" si="22"/>
        <v>42041483.393321</v>
      </c>
      <c r="AC84">
        <f t="shared" si="23"/>
        <v>1830.065772111263</v>
      </c>
      <c r="AD84">
        <f t="shared" si="24"/>
        <v>71.470521768645725</v>
      </c>
      <c r="AE84">
        <f t="shared" si="25"/>
        <v>3.7316020659911717</v>
      </c>
      <c r="AF84">
        <f t="shared" si="26"/>
        <v>67.738919702654556</v>
      </c>
      <c r="AG84">
        <f t="shared" si="27"/>
        <v>18368.396640815397</v>
      </c>
      <c r="AH84" t="b">
        <f t="shared" si="28"/>
        <v>1</v>
      </c>
    </row>
    <row r="85" spans="4:34" x14ac:dyDescent="0.4">
      <c r="D85" t="s">
        <v>60</v>
      </c>
      <c r="E85" t="s">
        <v>37</v>
      </c>
      <c r="F85" s="9">
        <v>46025.625</v>
      </c>
      <c r="G85">
        <v>2.0105</v>
      </c>
      <c r="H85" s="9">
        <v>46028.125</v>
      </c>
      <c r="I85">
        <v>2.3934000000000002</v>
      </c>
      <c r="J85" s="12">
        <v>1134.8</v>
      </c>
      <c r="K85" s="12">
        <v>2281.66</v>
      </c>
      <c r="L85">
        <v>3.75</v>
      </c>
      <c r="M85">
        <v>430.77</v>
      </c>
      <c r="N85" s="13">
        <v>0.1888</v>
      </c>
      <c r="O85" t="s">
        <v>57</v>
      </c>
      <c r="Q85">
        <f t="shared" si="29"/>
        <v>434.51492000000025</v>
      </c>
      <c r="R85">
        <f t="shared" si="30"/>
        <v>430.76492000000025</v>
      </c>
      <c r="S85">
        <f t="shared" si="31"/>
        <v>2716.0303200000003</v>
      </c>
      <c r="U85">
        <f t="shared" si="17"/>
        <v>820.69137000000001</v>
      </c>
      <c r="V85">
        <f t="shared" si="32"/>
        <v>1649.9999993849999</v>
      </c>
      <c r="W85">
        <f t="shared" si="18"/>
        <v>314.2427255730002</v>
      </c>
      <c r="X85">
        <f t="shared" si="19"/>
        <v>3.6142427243430006</v>
      </c>
      <c r="Y85">
        <f t="shared" si="20"/>
        <v>310.6284828486572</v>
      </c>
      <c r="Z85">
        <f t="shared" si="21"/>
        <v>52755.12815936048</v>
      </c>
      <c r="AB85">
        <f t="shared" si="22"/>
        <v>893.43428600000004</v>
      </c>
      <c r="AC85">
        <f t="shared" si="23"/>
        <v>1796.249632003</v>
      </c>
      <c r="AD85">
        <f t="shared" si="24"/>
        <v>342.09598810940025</v>
      </c>
      <c r="AE85">
        <f t="shared" si="25"/>
        <v>3.9345952521154008</v>
      </c>
      <c r="AF85">
        <f t="shared" si="26"/>
        <v>338.16139285728485</v>
      </c>
      <c r="AG85">
        <f t="shared" si="27"/>
        <v>18300.657721112744</v>
      </c>
      <c r="AH85" t="b">
        <f t="shared" si="28"/>
        <v>1</v>
      </c>
    </row>
    <row r="86" spans="4:34" x14ac:dyDescent="0.4">
      <c r="D86" t="s">
        <v>56</v>
      </c>
      <c r="E86" t="s">
        <v>37</v>
      </c>
      <c r="F86" s="9">
        <v>46025.541666666664</v>
      </c>
      <c r="G86" s="12">
        <v>3104.01</v>
      </c>
      <c r="H86" s="9">
        <v>46028.041666666664</v>
      </c>
      <c r="I86" s="12">
        <v>3216.66</v>
      </c>
      <c r="J86" s="12">
        <v>1.9117999999999999</v>
      </c>
      <c r="K86" s="12">
        <v>5934.54</v>
      </c>
      <c r="L86">
        <v>9.06</v>
      </c>
      <c r="M86">
        <v>206.3</v>
      </c>
      <c r="N86" s="13">
        <v>3.4799999999999998E-2</v>
      </c>
      <c r="O86" t="s">
        <v>57</v>
      </c>
      <c r="Q86">
        <f t="shared" si="29"/>
        <v>215.36426999999929</v>
      </c>
      <c r="R86">
        <f t="shared" si="30"/>
        <v>206.30426999999929</v>
      </c>
      <c r="S86">
        <f t="shared" si="31"/>
        <v>6149.6105879999996</v>
      </c>
      <c r="U86">
        <f t="shared" si="17"/>
        <v>0.53156999999999999</v>
      </c>
      <c r="V86">
        <f t="shared" si="32"/>
        <v>1649.9985957000001</v>
      </c>
      <c r="W86">
        <f t="shared" si="18"/>
        <v>59.881360499999808</v>
      </c>
      <c r="X86">
        <f t="shared" si="19"/>
        <v>3.3598785518999996</v>
      </c>
      <c r="Y86">
        <f t="shared" si="20"/>
        <v>56.521481948099805</v>
      </c>
      <c r="Z86">
        <f t="shared" si="21"/>
        <v>52444.499676511819</v>
      </c>
      <c r="AB86">
        <f t="shared" si="22"/>
        <v>0.57671099999999997</v>
      </c>
      <c r="AC86">
        <f t="shared" si="23"/>
        <v>1790.1167111100001</v>
      </c>
      <c r="AD86">
        <f t="shared" si="24"/>
        <v>64.966494149999789</v>
      </c>
      <c r="AE86">
        <f t="shared" si="25"/>
        <v>3.6451999163699997</v>
      </c>
      <c r="AF86">
        <f t="shared" si="26"/>
        <v>61.321294233629793</v>
      </c>
      <c r="AG86">
        <f t="shared" si="27"/>
        <v>17962.49632825546</v>
      </c>
      <c r="AH86" t="b">
        <f t="shared" si="28"/>
        <v>1</v>
      </c>
    </row>
    <row r="87" spans="4:34" x14ac:dyDescent="0.4">
      <c r="D87" t="s">
        <v>48</v>
      </c>
      <c r="E87" t="s">
        <v>37</v>
      </c>
      <c r="F87" s="9">
        <v>46025.916666666664</v>
      </c>
      <c r="G87">
        <v>8.0199999999999994E-2</v>
      </c>
      <c r="H87" s="9">
        <v>46027.916666666664</v>
      </c>
      <c r="I87">
        <v>8.09E-2</v>
      </c>
      <c r="J87" s="12">
        <v>54361.3</v>
      </c>
      <c r="K87" s="12">
        <v>4359.78</v>
      </c>
      <c r="L87">
        <v>6.57</v>
      </c>
      <c r="M87" s="12">
        <v>31.48</v>
      </c>
      <c r="N87" s="13">
        <v>7.1999999999999998E-3</v>
      </c>
      <c r="O87" t="s">
        <v>38</v>
      </c>
      <c r="Q87">
        <f t="shared" si="29"/>
        <v>38.052910000000338</v>
      </c>
      <c r="R87">
        <f t="shared" si="30"/>
        <v>31.482910000000338</v>
      </c>
      <c r="S87">
        <f t="shared" si="31"/>
        <v>4397.82917</v>
      </c>
      <c r="U87">
        <f t="shared" si="17"/>
        <v>20573.566084999999</v>
      </c>
      <c r="V87">
        <f t="shared" si="32"/>
        <v>1650.0000000169998</v>
      </c>
      <c r="W87">
        <f t="shared" si="18"/>
        <v>14.401496259500126</v>
      </c>
      <c r="X87">
        <f t="shared" si="19"/>
        <v>3.3144014962934993</v>
      </c>
      <c r="Y87">
        <f t="shared" si="20"/>
        <v>11.087094763206627</v>
      </c>
      <c r="Z87">
        <f t="shared" si="21"/>
        <v>52387.978194563722</v>
      </c>
      <c r="AB87">
        <f t="shared" si="22"/>
        <v>22305.678931999999</v>
      </c>
      <c r="AC87">
        <f t="shared" si="23"/>
        <v>1788.9154503463997</v>
      </c>
      <c r="AD87">
        <f t="shared" si="24"/>
        <v>15.613975252400136</v>
      </c>
      <c r="AE87">
        <f t="shared" si="25"/>
        <v>3.5934448759451993</v>
      </c>
      <c r="AF87">
        <f t="shared" si="26"/>
        <v>12.020530376454937</v>
      </c>
      <c r="AG87">
        <f t="shared" si="27"/>
        <v>17901.175034021831</v>
      </c>
      <c r="AH87" t="b">
        <f t="shared" si="28"/>
        <v>1</v>
      </c>
    </row>
    <row r="88" spans="4:34" x14ac:dyDescent="0.4">
      <c r="D88" t="s">
        <v>53</v>
      </c>
      <c r="E88" t="s">
        <v>37</v>
      </c>
      <c r="F88" s="9">
        <v>46025.708333333336</v>
      </c>
      <c r="G88">
        <v>875.43</v>
      </c>
      <c r="H88" s="9">
        <v>46027.708333333336</v>
      </c>
      <c r="I88">
        <v>904.85</v>
      </c>
      <c r="J88" s="12">
        <v>11.279</v>
      </c>
      <c r="K88" s="12">
        <v>9874.26</v>
      </c>
      <c r="L88">
        <v>15.06</v>
      </c>
      <c r="M88">
        <v>316.77</v>
      </c>
      <c r="N88" s="13">
        <v>3.2099999999999997E-2</v>
      </c>
      <c r="O88" t="s">
        <v>38</v>
      </c>
      <c r="Q88">
        <f t="shared" si="29"/>
        <v>331.82818000000083</v>
      </c>
      <c r="R88">
        <f t="shared" si="30"/>
        <v>316.76818000000083</v>
      </c>
      <c r="S88">
        <f t="shared" si="31"/>
        <v>10205.80315</v>
      </c>
      <c r="U88">
        <f t="shared" si="17"/>
        <v>1.8847879999999999</v>
      </c>
      <c r="V88">
        <f t="shared" si="32"/>
        <v>1649.9999588399999</v>
      </c>
      <c r="W88">
        <f t="shared" si="18"/>
        <v>55.450462960000138</v>
      </c>
      <c r="X88">
        <f t="shared" si="19"/>
        <v>3.3554503806399998</v>
      </c>
      <c r="Y88">
        <f t="shared" si="20"/>
        <v>52.095012579360137</v>
      </c>
      <c r="Z88">
        <f t="shared" si="21"/>
        <v>52376.891099800516</v>
      </c>
      <c r="AB88">
        <f t="shared" si="22"/>
        <v>2.037039</v>
      </c>
      <c r="AC88">
        <f t="shared" si="23"/>
        <v>1783.2850517699999</v>
      </c>
      <c r="AD88">
        <f t="shared" si="24"/>
        <v>59.929687380000146</v>
      </c>
      <c r="AE88">
        <f t="shared" si="25"/>
        <v>3.6264997909200001</v>
      </c>
      <c r="AF88">
        <f t="shared" si="26"/>
        <v>56.303187589080146</v>
      </c>
      <c r="AG88">
        <f t="shared" si="27"/>
        <v>17889.154503645375</v>
      </c>
      <c r="AH88" t="b">
        <f t="shared" si="28"/>
        <v>1</v>
      </c>
    </row>
    <row r="89" spans="4:34" x14ac:dyDescent="0.4">
      <c r="D89" t="s">
        <v>58</v>
      </c>
      <c r="E89" t="s">
        <v>37</v>
      </c>
      <c r="F89" s="9">
        <v>46025.541666666664</v>
      </c>
      <c r="G89">
        <v>13.15</v>
      </c>
      <c r="H89" s="9">
        <v>46027.541666666664</v>
      </c>
      <c r="I89">
        <v>13.55</v>
      </c>
      <c r="J89">
        <v>562</v>
      </c>
      <c r="K89" s="12">
        <v>7390.36</v>
      </c>
      <c r="L89">
        <v>11.25</v>
      </c>
      <c r="M89">
        <v>213.55</v>
      </c>
      <c r="N89" s="13">
        <v>2.8899999999999999E-2</v>
      </c>
      <c r="O89" t="s">
        <v>38</v>
      </c>
      <c r="Q89">
        <f t="shared" si="29"/>
        <v>224.80000000000021</v>
      </c>
      <c r="R89">
        <f t="shared" si="30"/>
        <v>213.55000000000021</v>
      </c>
      <c r="S89">
        <f t="shared" si="31"/>
        <v>7615.1</v>
      </c>
      <c r="U89">
        <f t="shared" si="17"/>
        <v>125.475285</v>
      </c>
      <c r="V89">
        <f t="shared" si="32"/>
        <v>1649.9999977500001</v>
      </c>
      <c r="W89">
        <f t="shared" si="18"/>
        <v>50.190114000000044</v>
      </c>
      <c r="X89">
        <f t="shared" si="19"/>
        <v>3.3501901095000006</v>
      </c>
      <c r="Y89">
        <f t="shared" si="20"/>
        <v>46.839923890500046</v>
      </c>
      <c r="Z89">
        <f t="shared" si="21"/>
        <v>52324.796087221155</v>
      </c>
      <c r="AB89">
        <f t="shared" si="22"/>
        <v>135.22715600000001</v>
      </c>
      <c r="AC89">
        <f t="shared" si="23"/>
        <v>1778.2371014000003</v>
      </c>
      <c r="AD89">
        <f t="shared" si="24"/>
        <v>54.090862400000049</v>
      </c>
      <c r="AE89">
        <f t="shared" si="25"/>
        <v>3.6105650652000008</v>
      </c>
      <c r="AF89">
        <f t="shared" si="26"/>
        <v>50.480297334800049</v>
      </c>
      <c r="AG89">
        <f t="shared" si="27"/>
        <v>17832.851316056294</v>
      </c>
      <c r="AH89" t="b">
        <f t="shared" si="28"/>
        <v>1</v>
      </c>
    </row>
    <row r="90" spans="4:34" x14ac:dyDescent="0.4">
      <c r="D90" t="s">
        <v>50</v>
      </c>
      <c r="E90" t="s">
        <v>37</v>
      </c>
      <c r="F90" s="9">
        <v>46025.541666666664</v>
      </c>
      <c r="G90">
        <v>245.1</v>
      </c>
      <c r="H90" s="9">
        <v>46027.541666666664</v>
      </c>
      <c r="I90">
        <v>261.2</v>
      </c>
      <c r="J90" s="12">
        <v>58.088099999999997</v>
      </c>
      <c r="K90" s="12">
        <v>14237.41</v>
      </c>
      <c r="L90">
        <v>22.06</v>
      </c>
      <c r="M90">
        <v>913.16</v>
      </c>
      <c r="N90" s="13">
        <v>6.4100000000000004E-2</v>
      </c>
      <c r="O90" t="s">
        <v>38</v>
      </c>
      <c r="Q90">
        <f t="shared" si="29"/>
        <v>935.21840999999961</v>
      </c>
      <c r="R90">
        <f t="shared" si="30"/>
        <v>913.15840999999966</v>
      </c>
      <c r="S90">
        <f t="shared" si="31"/>
        <v>15172.611719999999</v>
      </c>
      <c r="U90">
        <f t="shared" si="17"/>
        <v>6.7319459999999998</v>
      </c>
      <c r="V90">
        <f t="shared" si="32"/>
        <v>1649.9999645999999</v>
      </c>
      <c r="W90">
        <f t="shared" si="18"/>
        <v>108.38433059999996</v>
      </c>
      <c r="X90">
        <f t="shared" si="19"/>
        <v>3.4083842597999996</v>
      </c>
      <c r="Y90">
        <f t="shared" si="20"/>
        <v>104.97594634019995</v>
      </c>
      <c r="Z90">
        <f t="shared" si="21"/>
        <v>52277.956163330658</v>
      </c>
      <c r="AB90">
        <f t="shared" si="22"/>
        <v>7.2092830000000001</v>
      </c>
      <c r="AC90">
        <f t="shared" si="23"/>
        <v>1766.9952633</v>
      </c>
      <c r="AD90">
        <f t="shared" si="24"/>
        <v>116.06945629999996</v>
      </c>
      <c r="AE90">
        <f t="shared" si="25"/>
        <v>3.6500599828999998</v>
      </c>
      <c r="AF90">
        <f t="shared" si="26"/>
        <v>112.41939631709995</v>
      </c>
      <c r="AG90">
        <f t="shared" si="27"/>
        <v>17782.371018721493</v>
      </c>
      <c r="AH90" t="b">
        <f t="shared" si="28"/>
        <v>1</v>
      </c>
    </row>
    <row r="91" spans="4:34" x14ac:dyDescent="0.4">
      <c r="D91" t="s">
        <v>52</v>
      </c>
      <c r="E91" t="s">
        <v>37</v>
      </c>
      <c r="F91" s="9">
        <v>46025.458333333336</v>
      </c>
      <c r="G91" s="12">
        <v>3.0920000000000001</v>
      </c>
      <c r="H91" s="9">
        <v>46027.458333333336</v>
      </c>
      <c r="I91" s="12">
        <v>3.2</v>
      </c>
      <c r="J91">
        <v>877.87</v>
      </c>
      <c r="K91" s="12">
        <v>2714.37</v>
      </c>
      <c r="L91">
        <v>4.1399999999999997</v>
      </c>
      <c r="M91">
        <v>90.67</v>
      </c>
      <c r="N91" s="13">
        <v>3.3399999999999999E-2</v>
      </c>
      <c r="O91" t="s">
        <v>38</v>
      </c>
      <c r="Q91">
        <f t="shared" si="29"/>
        <v>94.809960000000089</v>
      </c>
      <c r="R91">
        <f t="shared" si="30"/>
        <v>90.669960000000088</v>
      </c>
      <c r="S91">
        <f t="shared" si="31"/>
        <v>2809.1840000000002</v>
      </c>
      <c r="U91">
        <f t="shared" si="17"/>
        <v>533.63518799999997</v>
      </c>
      <c r="V91">
        <f t="shared" si="32"/>
        <v>1650.0000012959999</v>
      </c>
      <c r="W91">
        <f t="shared" si="18"/>
        <v>57.63260030400005</v>
      </c>
      <c r="X91">
        <f t="shared" si="19"/>
        <v>3.3576326028959995</v>
      </c>
      <c r="Y91">
        <f t="shared" si="20"/>
        <v>54.274967701104053</v>
      </c>
      <c r="Z91">
        <f t="shared" si="21"/>
        <v>52172.980216990458</v>
      </c>
      <c r="AB91">
        <f t="shared" si="22"/>
        <v>569.59957299999996</v>
      </c>
      <c r="AC91">
        <f t="shared" si="23"/>
        <v>1761.2018797159999</v>
      </c>
      <c r="AD91">
        <f t="shared" si="24"/>
        <v>61.516753884000053</v>
      </c>
      <c r="AE91">
        <f t="shared" si="25"/>
        <v>3.5839205133159995</v>
      </c>
      <c r="AF91">
        <f t="shared" si="26"/>
        <v>57.932833370684051</v>
      </c>
      <c r="AG91">
        <f t="shared" si="27"/>
        <v>17669.951622404395</v>
      </c>
      <c r="AH91" t="b">
        <f t="shared" si="28"/>
        <v>1</v>
      </c>
    </row>
    <row r="92" spans="4:34" x14ac:dyDescent="0.4">
      <c r="D92" t="s">
        <v>54</v>
      </c>
      <c r="E92" t="s">
        <v>37</v>
      </c>
      <c r="F92" s="9">
        <v>46025.416666666664</v>
      </c>
      <c r="G92">
        <v>131.13999999999999</v>
      </c>
      <c r="H92" s="9">
        <v>46027.416666666664</v>
      </c>
      <c r="I92">
        <v>135.38999999999999</v>
      </c>
      <c r="J92">
        <v>39.088999999999999</v>
      </c>
      <c r="K92" s="12">
        <v>5126.1400000000003</v>
      </c>
      <c r="L92">
        <v>7.81</v>
      </c>
      <c r="M92">
        <v>158.31</v>
      </c>
      <c r="N92" s="13">
        <v>3.09E-2</v>
      </c>
      <c r="O92" t="s">
        <v>38</v>
      </c>
      <c r="Q92">
        <f t="shared" si="29"/>
        <v>166.12824999999998</v>
      </c>
      <c r="R92">
        <f t="shared" si="30"/>
        <v>158.31824999999998</v>
      </c>
      <c r="S92">
        <f t="shared" si="31"/>
        <v>5292.2597099999994</v>
      </c>
      <c r="U92">
        <f t="shared" si="17"/>
        <v>12.581973</v>
      </c>
      <c r="V92">
        <f t="shared" si="32"/>
        <v>1649.9999392199998</v>
      </c>
      <c r="W92">
        <f t="shared" si="18"/>
        <v>53.47338525</v>
      </c>
      <c r="X92">
        <f t="shared" si="19"/>
        <v>3.3534732636899998</v>
      </c>
      <c r="Y92">
        <f t="shared" si="20"/>
        <v>50.119911986310001</v>
      </c>
      <c r="Z92">
        <f t="shared" si="21"/>
        <v>52118.705249289356</v>
      </c>
      <c r="AB92">
        <f t="shared" si="22"/>
        <v>13.389265999999999</v>
      </c>
      <c r="AC92">
        <f t="shared" si="23"/>
        <v>1755.8683432399996</v>
      </c>
      <c r="AD92">
        <f t="shared" si="24"/>
        <v>56.904380499999995</v>
      </c>
      <c r="AE92">
        <f t="shared" si="25"/>
        <v>3.5686410669799997</v>
      </c>
      <c r="AF92">
        <f t="shared" si="26"/>
        <v>53.335739433019995</v>
      </c>
      <c r="AG92">
        <f t="shared" si="27"/>
        <v>17612.018789033711</v>
      </c>
      <c r="AH92" t="b">
        <f t="shared" si="28"/>
        <v>1</v>
      </c>
    </row>
    <row r="93" spans="4:34" x14ac:dyDescent="0.4">
      <c r="D93" t="s">
        <v>40</v>
      </c>
      <c r="E93" t="s">
        <v>41</v>
      </c>
      <c r="F93" s="9">
        <v>46025.791666666664</v>
      </c>
      <c r="G93">
        <v>506.88</v>
      </c>
      <c r="H93" s="9">
        <v>46027.125</v>
      </c>
      <c r="I93">
        <v>506.08</v>
      </c>
      <c r="J93">
        <v>17.510000000000002</v>
      </c>
      <c r="K93" s="12">
        <v>8875.93</v>
      </c>
      <c r="L93">
        <v>13.3</v>
      </c>
      <c r="M93">
        <v>-27.31</v>
      </c>
      <c r="N93" s="13">
        <v>-3.0999999999999999E-3</v>
      </c>
      <c r="O93" t="s">
        <v>38</v>
      </c>
      <c r="Q93">
        <f t="shared" si="29"/>
        <v>-14.0080000000002</v>
      </c>
      <c r="R93">
        <f t="shared" si="30"/>
        <v>-27.308000000000199</v>
      </c>
      <c r="S93">
        <f t="shared" si="31"/>
        <v>8861.4608000000007</v>
      </c>
      <c r="U93">
        <f t="shared" si="17"/>
        <v>3.2552080000000001</v>
      </c>
      <c r="V93">
        <f t="shared" si="32"/>
        <v>1649.9998310400001</v>
      </c>
      <c r="W93">
        <f t="shared" si="18"/>
        <v>-2.6041664000000373</v>
      </c>
      <c r="X93">
        <f t="shared" si="19"/>
        <v>3.2973954956800005</v>
      </c>
      <c r="Y93">
        <f t="shared" si="20"/>
        <v>-5.9015618956800378</v>
      </c>
      <c r="Z93">
        <f t="shared" si="21"/>
        <v>52068.585337303048</v>
      </c>
      <c r="AB93">
        <f t="shared" si="22"/>
        <v>3.4653100000000001</v>
      </c>
      <c r="AC93">
        <f t="shared" si="23"/>
        <v>1756.4963328000001</v>
      </c>
      <c r="AD93">
        <f t="shared" si="24"/>
        <v>-2.7722480000000393</v>
      </c>
      <c r="AE93">
        <f t="shared" si="25"/>
        <v>3.5102204176000003</v>
      </c>
      <c r="AF93">
        <f t="shared" si="26"/>
        <v>-6.2824684176000396</v>
      </c>
      <c r="AG93">
        <f t="shared" si="27"/>
        <v>17558.683049600691</v>
      </c>
      <c r="AH93" t="b">
        <f t="shared" si="28"/>
        <v>1</v>
      </c>
    </row>
    <row r="94" spans="4:34" x14ac:dyDescent="0.4">
      <c r="D94" t="s">
        <v>59</v>
      </c>
      <c r="E94" t="s">
        <v>37</v>
      </c>
      <c r="F94" s="9">
        <v>46024.166666666664</v>
      </c>
      <c r="G94" s="12">
        <v>88859.99</v>
      </c>
      <c r="H94" s="9">
        <v>46026.666666666664</v>
      </c>
      <c r="I94" s="12">
        <v>91310.11</v>
      </c>
      <c r="J94">
        <v>0.12078</v>
      </c>
      <c r="K94" s="12">
        <v>10733.2</v>
      </c>
      <c r="L94">
        <v>16.32</v>
      </c>
      <c r="M94">
        <v>279.60000000000002</v>
      </c>
      <c r="N94" s="13">
        <v>2.6100000000000002E-2</v>
      </c>
      <c r="O94" t="s">
        <v>57</v>
      </c>
      <c r="Q94">
        <f t="shared" si="29"/>
        <v>295.92549359999941</v>
      </c>
      <c r="R94">
        <f t="shared" si="30"/>
        <v>279.60549359999942</v>
      </c>
      <c r="S94">
        <f t="shared" si="31"/>
        <v>11028.4350858</v>
      </c>
      <c r="U94">
        <f t="shared" si="17"/>
        <v>1.8568999999999999E-2</v>
      </c>
      <c r="V94">
        <f t="shared" si="32"/>
        <v>1650.0411543099999</v>
      </c>
      <c r="W94">
        <f t="shared" si="18"/>
        <v>45.496278279999913</v>
      </c>
      <c r="X94">
        <f t="shared" si="19"/>
        <v>3.3455785869000003</v>
      </c>
      <c r="Y94">
        <f t="shared" si="20"/>
        <v>42.150699693099909</v>
      </c>
      <c r="Z94">
        <f t="shared" si="21"/>
        <v>52074.486899198724</v>
      </c>
      <c r="AB94">
        <f t="shared" si="22"/>
        <v>1.9716999999999998E-2</v>
      </c>
      <c r="AC94">
        <f t="shared" si="23"/>
        <v>1752.0524228300001</v>
      </c>
      <c r="AD94">
        <f t="shared" si="24"/>
        <v>48.309016039999904</v>
      </c>
      <c r="AE94">
        <f t="shared" si="25"/>
        <v>3.5524138617000003</v>
      </c>
      <c r="AF94">
        <f t="shared" si="26"/>
        <v>44.7566021782999</v>
      </c>
      <c r="AG94">
        <f t="shared" si="27"/>
        <v>17564.965518018293</v>
      </c>
      <c r="AH94" t="b">
        <f t="shared" si="28"/>
        <v>1</v>
      </c>
    </row>
    <row r="95" spans="4:34" x14ac:dyDescent="0.4">
      <c r="D95" t="s">
        <v>55</v>
      </c>
      <c r="E95" t="s">
        <v>37</v>
      </c>
      <c r="F95" s="9">
        <v>46024.291666666664</v>
      </c>
      <c r="G95" s="12">
        <v>4.0370000000000001E-5</v>
      </c>
      <c r="H95" s="9">
        <v>46026.291666666664</v>
      </c>
      <c r="I95" s="12">
        <v>4.3080000000000001E-5</v>
      </c>
      <c r="J95" s="12">
        <v>162083187.75999999</v>
      </c>
      <c r="K95" s="12">
        <v>6543.3</v>
      </c>
      <c r="L95">
        <v>10.14</v>
      </c>
      <c r="M95">
        <v>429.1</v>
      </c>
      <c r="N95" s="13">
        <v>6.5600000000000006E-2</v>
      </c>
      <c r="O95" t="s">
        <v>38</v>
      </c>
      <c r="Q95">
        <f t="shared" si="29"/>
        <v>439.24543882959989</v>
      </c>
      <c r="R95">
        <f t="shared" si="30"/>
        <v>429.1054388295999</v>
      </c>
      <c r="S95">
        <f t="shared" si="31"/>
        <v>6982.5437287007999</v>
      </c>
      <c r="U95">
        <f t="shared" si="17"/>
        <v>40871934.604905002</v>
      </c>
      <c r="V95">
        <f t="shared" si="32"/>
        <v>1650.000000000015</v>
      </c>
      <c r="W95">
        <f t="shared" si="18"/>
        <v>110.76294277929253</v>
      </c>
      <c r="X95">
        <f t="shared" si="19"/>
        <v>3.4107629427793222</v>
      </c>
      <c r="Y95">
        <f t="shared" si="20"/>
        <v>107.3521798365132</v>
      </c>
      <c r="Z95">
        <f t="shared" si="21"/>
        <v>52032.336199505626</v>
      </c>
      <c r="AB95">
        <f t="shared" si="22"/>
        <v>43118543.240258001</v>
      </c>
      <c r="AC95">
        <f t="shared" si="23"/>
        <v>1740.6955906092155</v>
      </c>
      <c r="AD95">
        <f t="shared" si="24"/>
        <v>116.85125218109916</v>
      </c>
      <c r="AE95">
        <f t="shared" si="25"/>
        <v>3.59824243339953</v>
      </c>
      <c r="AF95">
        <f t="shared" si="26"/>
        <v>113.25300974769962</v>
      </c>
      <c r="AG95">
        <f t="shared" si="27"/>
        <v>17520.208915839994</v>
      </c>
      <c r="AH95" t="b">
        <f t="shared" si="28"/>
        <v>1</v>
      </c>
    </row>
    <row r="96" spans="4:34" x14ac:dyDescent="0.4">
      <c r="D96" t="s">
        <v>43</v>
      </c>
      <c r="E96" t="s">
        <v>37</v>
      </c>
      <c r="F96" s="9">
        <v>46024.125</v>
      </c>
      <c r="G96">
        <v>1.4735</v>
      </c>
      <c r="H96" s="9">
        <v>46026.125</v>
      </c>
      <c r="I96">
        <v>1.6852</v>
      </c>
      <c r="J96" s="12">
        <v>1306</v>
      </c>
      <c r="K96" s="12">
        <v>1924.47</v>
      </c>
      <c r="L96">
        <v>3.09</v>
      </c>
      <c r="M96">
        <v>273.39</v>
      </c>
      <c r="N96" s="13">
        <v>0.1421</v>
      </c>
      <c r="O96" t="s">
        <v>38</v>
      </c>
      <c r="Q96">
        <f t="shared" si="29"/>
        <v>276.48020000000002</v>
      </c>
      <c r="R96">
        <f t="shared" si="30"/>
        <v>273.39020000000005</v>
      </c>
      <c r="S96">
        <f t="shared" si="31"/>
        <v>2200.8712</v>
      </c>
      <c r="U96">
        <f t="shared" si="17"/>
        <v>1119.7828300000001</v>
      </c>
      <c r="V96">
        <f t="shared" si="32"/>
        <v>1650.0000000050002</v>
      </c>
      <c r="W96">
        <f t="shared" si="18"/>
        <v>237.05802511100003</v>
      </c>
      <c r="X96">
        <f t="shared" si="19"/>
        <v>3.5370580251210004</v>
      </c>
      <c r="Y96">
        <f t="shared" si="20"/>
        <v>233.52096708587902</v>
      </c>
      <c r="Z96">
        <f t="shared" si="21"/>
        <v>51924.984019669115</v>
      </c>
      <c r="AB96">
        <f t="shared" si="22"/>
        <v>1164.8481139999999</v>
      </c>
      <c r="AC96">
        <f t="shared" si="23"/>
        <v>1716.4036959789998</v>
      </c>
      <c r="AD96">
        <f t="shared" si="24"/>
        <v>246.59834573379999</v>
      </c>
      <c r="AE96">
        <f t="shared" si="25"/>
        <v>3.6794057376917997</v>
      </c>
      <c r="AF96">
        <f t="shared" si="26"/>
        <v>242.91893999610818</v>
      </c>
      <c r="AG96">
        <f t="shared" si="27"/>
        <v>17406.955906092295</v>
      </c>
      <c r="AH96" t="b">
        <f t="shared" si="28"/>
        <v>1</v>
      </c>
    </row>
    <row r="97" spans="4:35" x14ac:dyDescent="0.4">
      <c r="D97" t="s">
        <v>61</v>
      </c>
      <c r="E97" t="s">
        <v>37</v>
      </c>
      <c r="F97" s="9">
        <v>46024.125</v>
      </c>
      <c r="G97">
        <v>0.35780000000000001</v>
      </c>
      <c r="H97" s="9">
        <v>46026.125</v>
      </c>
      <c r="I97">
        <v>0.39360000000000001</v>
      </c>
      <c r="J97" s="12">
        <v>23856.6</v>
      </c>
      <c r="K97" s="12">
        <v>8535.92</v>
      </c>
      <c r="L97">
        <v>13.44</v>
      </c>
      <c r="M97">
        <v>840.62</v>
      </c>
      <c r="N97" s="13">
        <v>9.8500000000000004E-2</v>
      </c>
      <c r="O97" t="s">
        <v>38</v>
      </c>
      <c r="Q97">
        <f t="shared" si="29"/>
        <v>854.06627999999989</v>
      </c>
      <c r="R97">
        <f t="shared" si="30"/>
        <v>840.62627999999984</v>
      </c>
      <c r="S97">
        <f t="shared" si="31"/>
        <v>9389.9577599999993</v>
      </c>
      <c r="U97">
        <f t="shared" si="17"/>
        <v>4611.5148129999998</v>
      </c>
      <c r="V97">
        <f t="shared" si="32"/>
        <v>1650.0000000913999</v>
      </c>
      <c r="W97">
        <f t="shared" si="18"/>
        <v>165.09223030539999</v>
      </c>
      <c r="X97">
        <f t="shared" si="19"/>
        <v>3.4650922304881999</v>
      </c>
      <c r="Y97">
        <f t="shared" si="20"/>
        <v>161.62713807491178</v>
      </c>
      <c r="Z97">
        <f t="shared" si="21"/>
        <v>51691.463052583233</v>
      </c>
      <c r="AB97">
        <f t="shared" si="22"/>
        <v>4750.5690809999996</v>
      </c>
      <c r="AC97">
        <f t="shared" si="23"/>
        <v>1699.7536171817999</v>
      </c>
      <c r="AD97">
        <f t="shared" si="24"/>
        <v>170.07037309979998</v>
      </c>
      <c r="AE97">
        <f t="shared" si="25"/>
        <v>3.5695776074633998</v>
      </c>
      <c r="AF97">
        <f t="shared" si="26"/>
        <v>166.50079549233658</v>
      </c>
      <c r="AG97">
        <f t="shared" si="27"/>
        <v>17164.036966096188</v>
      </c>
      <c r="AH97" t="b">
        <f t="shared" si="28"/>
        <v>1</v>
      </c>
    </row>
    <row r="98" spans="4:35" x14ac:dyDescent="0.4">
      <c r="D98" t="s">
        <v>53</v>
      </c>
      <c r="E98" t="s">
        <v>37</v>
      </c>
      <c r="F98" s="9">
        <v>46023.666666666664</v>
      </c>
      <c r="G98">
        <v>858.46</v>
      </c>
      <c r="H98" s="9">
        <v>46025.666666666664</v>
      </c>
      <c r="I98">
        <v>873.17</v>
      </c>
      <c r="J98">
        <v>11.484</v>
      </c>
      <c r="K98" s="12">
        <v>9858.86</v>
      </c>
      <c r="L98">
        <v>14.91</v>
      </c>
      <c r="M98">
        <v>154.02000000000001</v>
      </c>
      <c r="N98" s="13">
        <v>1.5599999999999999E-2</v>
      </c>
      <c r="O98" t="s">
        <v>38</v>
      </c>
      <c r="Q98">
        <f t="shared" si="29"/>
        <v>168.92963999999913</v>
      </c>
      <c r="R98">
        <f t="shared" si="30"/>
        <v>154.01963999999913</v>
      </c>
      <c r="S98">
        <f t="shared" si="31"/>
        <v>10027.484279999999</v>
      </c>
      <c r="U98">
        <f t="shared" si="17"/>
        <v>1.9220459999999999</v>
      </c>
      <c r="V98">
        <f t="shared" si="32"/>
        <v>1649.9996091600001</v>
      </c>
      <c r="W98">
        <f t="shared" si="18"/>
        <v>28.273296659999851</v>
      </c>
      <c r="X98">
        <f t="shared" si="19"/>
        <v>3.3282725149800001</v>
      </c>
      <c r="Y98">
        <f t="shared" si="20"/>
        <v>24.94502414501985</v>
      </c>
      <c r="Z98">
        <f t="shared" si="21"/>
        <v>51529.835914508323</v>
      </c>
      <c r="AB98">
        <f t="shared" si="22"/>
        <v>1.977014</v>
      </c>
      <c r="AC98">
        <f t="shared" si="23"/>
        <v>1697.1874384400001</v>
      </c>
      <c r="AD98">
        <f t="shared" si="24"/>
        <v>29.081875939999847</v>
      </c>
      <c r="AE98">
        <f t="shared" si="25"/>
        <v>3.4234567528200004</v>
      </c>
      <c r="AF98">
        <f t="shared" si="26"/>
        <v>25.658419187179845</v>
      </c>
      <c r="AG98">
        <f t="shared" si="27"/>
        <v>16997.536170603853</v>
      </c>
      <c r="AH98" t="b">
        <f t="shared" si="28"/>
        <v>1</v>
      </c>
    </row>
    <row r="99" spans="4:35" x14ac:dyDescent="0.4">
      <c r="D99" t="s">
        <v>48</v>
      </c>
      <c r="E99" t="s">
        <v>37</v>
      </c>
      <c r="F99" s="9">
        <v>46023.625</v>
      </c>
      <c r="G99">
        <v>7.8200000000000006E-2</v>
      </c>
      <c r="H99" s="9">
        <v>46025.625</v>
      </c>
      <c r="I99">
        <v>8.0799999999999997E-2</v>
      </c>
      <c r="J99" s="12">
        <v>55575.3</v>
      </c>
      <c r="K99" s="12">
        <v>4345.99</v>
      </c>
      <c r="L99">
        <v>6.63</v>
      </c>
      <c r="M99">
        <v>137.87</v>
      </c>
      <c r="N99" s="13">
        <v>3.1699999999999999E-2</v>
      </c>
      <c r="O99" t="s">
        <v>38</v>
      </c>
      <c r="Q99">
        <f t="shared" si="29"/>
        <v>144.49577999999951</v>
      </c>
      <c r="R99">
        <f t="shared" si="30"/>
        <v>137.86577999999952</v>
      </c>
      <c r="S99">
        <f t="shared" si="31"/>
        <v>4490.4842399999998</v>
      </c>
      <c r="U99">
        <f t="shared" si="17"/>
        <v>21099.744245999998</v>
      </c>
      <c r="V99">
        <f t="shared" si="32"/>
        <v>1650.0000000371999</v>
      </c>
      <c r="W99">
        <f t="shared" si="18"/>
        <v>54.859335039599813</v>
      </c>
      <c r="X99">
        <f t="shared" si="19"/>
        <v>3.3548593351139999</v>
      </c>
      <c r="Y99">
        <f t="shared" si="20"/>
        <v>51.504475704485813</v>
      </c>
      <c r="Z99">
        <f t="shared" si="21"/>
        <v>51504.890890363306</v>
      </c>
      <c r="AB99">
        <f t="shared" si="22"/>
        <v>21635.633211</v>
      </c>
      <c r="AC99">
        <f t="shared" si="23"/>
        <v>1691.9065171002001</v>
      </c>
      <c r="AD99">
        <f t="shared" si="24"/>
        <v>56.252646348599811</v>
      </c>
      <c r="AE99">
        <f t="shared" si="25"/>
        <v>3.4400656805490004</v>
      </c>
      <c r="AF99">
        <f t="shared" si="26"/>
        <v>52.812580668050813</v>
      </c>
      <c r="AG99">
        <f t="shared" si="27"/>
        <v>16971.877751416672</v>
      </c>
      <c r="AH99" t="b">
        <f t="shared" si="28"/>
        <v>1</v>
      </c>
    </row>
    <row r="100" spans="4:35" x14ac:dyDescent="0.4">
      <c r="D100" t="s">
        <v>54</v>
      </c>
      <c r="E100" t="s">
        <v>37</v>
      </c>
      <c r="F100" s="9">
        <v>46023.375</v>
      </c>
      <c r="G100">
        <v>124.53</v>
      </c>
      <c r="H100" s="9">
        <v>46025.375</v>
      </c>
      <c r="I100">
        <v>130.66999999999999</v>
      </c>
      <c r="J100" s="12">
        <v>40.968000000000004</v>
      </c>
      <c r="K100" s="12">
        <v>5101.7700000000004</v>
      </c>
      <c r="L100">
        <v>7.84</v>
      </c>
      <c r="M100">
        <v>243.7</v>
      </c>
      <c r="N100" s="13">
        <v>4.7800000000000002E-2</v>
      </c>
      <c r="O100" t="s">
        <v>38</v>
      </c>
      <c r="Q100">
        <f t="shared" si="29"/>
        <v>251.54351999999946</v>
      </c>
      <c r="R100">
        <f t="shared" si="30"/>
        <v>243.70351999999946</v>
      </c>
      <c r="S100">
        <f t="shared" si="31"/>
        <v>5353.28856</v>
      </c>
      <c r="U100">
        <f t="shared" si="17"/>
        <v>13.249819</v>
      </c>
      <c r="V100">
        <f t="shared" si="32"/>
        <v>1649.99996007</v>
      </c>
      <c r="W100">
        <f t="shared" si="18"/>
        <v>81.353888659999825</v>
      </c>
      <c r="X100">
        <f t="shared" si="19"/>
        <v>3.3813538087999997</v>
      </c>
      <c r="Y100">
        <f t="shared" si="20"/>
        <v>77.972534851199825</v>
      </c>
      <c r="Z100">
        <f t="shared" si="21"/>
        <v>51453.386414658817</v>
      </c>
      <c r="AB100">
        <f t="shared" si="22"/>
        <v>13.522435</v>
      </c>
      <c r="AC100">
        <f t="shared" si="23"/>
        <v>1683.9488305499999</v>
      </c>
      <c r="AD100">
        <f t="shared" si="24"/>
        <v>83.027750899999816</v>
      </c>
      <c r="AE100">
        <f t="shared" si="25"/>
        <v>3.4509254119999997</v>
      </c>
      <c r="AF100">
        <f t="shared" si="26"/>
        <v>79.576825487999812</v>
      </c>
      <c r="AG100">
        <f t="shared" si="27"/>
        <v>16919.065170748621</v>
      </c>
      <c r="AH100" t="b">
        <f t="shared" si="28"/>
        <v>1</v>
      </c>
    </row>
    <row r="101" spans="4:35" x14ac:dyDescent="0.4">
      <c r="D101" t="s">
        <v>56</v>
      </c>
      <c r="E101" t="s">
        <v>37</v>
      </c>
      <c r="F101" s="9">
        <v>46025.041666666664</v>
      </c>
      <c r="G101" s="12">
        <v>3130.33</v>
      </c>
      <c r="H101" s="9">
        <v>46025.333333333336</v>
      </c>
      <c r="I101" s="12">
        <v>3083.03</v>
      </c>
      <c r="J101">
        <v>1.8989</v>
      </c>
      <c r="K101" s="12">
        <v>5944.41</v>
      </c>
      <c r="L101">
        <v>8.85</v>
      </c>
      <c r="M101">
        <v>-98.66</v>
      </c>
      <c r="N101" s="13">
        <v>-1.66E-2</v>
      </c>
      <c r="O101" t="s">
        <v>49</v>
      </c>
      <c r="Q101">
        <f t="shared" si="29"/>
        <v>-89.817969999999477</v>
      </c>
      <c r="R101">
        <f t="shared" si="30"/>
        <v>-98.667969999999471</v>
      </c>
      <c r="S101">
        <f t="shared" si="31"/>
        <v>5854.365667</v>
      </c>
      <c r="U101">
        <f t="shared" si="17"/>
        <v>0.52710100000000004</v>
      </c>
      <c r="V101">
        <f t="shared" si="32"/>
        <v>1650.0000733300001</v>
      </c>
      <c r="W101">
        <f t="shared" si="18"/>
        <v>-24.931877299999858</v>
      </c>
      <c r="X101">
        <f t="shared" si="19"/>
        <v>3.2750682693600006</v>
      </c>
      <c r="Y101">
        <f t="shared" si="20"/>
        <v>-28.20694556935986</v>
      </c>
      <c r="Z101">
        <f t="shared" si="21"/>
        <v>51375.413879807616</v>
      </c>
      <c r="AB101">
        <f t="shared" si="22"/>
        <v>0.53886699999999998</v>
      </c>
      <c r="AC101">
        <f t="shared" si="23"/>
        <v>1686.8315361099999</v>
      </c>
      <c r="AD101">
        <f t="shared" si="24"/>
        <v>-25.488409099999853</v>
      </c>
      <c r="AE101">
        <f t="shared" si="25"/>
        <v>3.3481746631200004</v>
      </c>
      <c r="AF101">
        <f t="shared" si="26"/>
        <v>-28.836583763119854</v>
      </c>
      <c r="AG101">
        <f t="shared" si="27"/>
        <v>16839.488345260623</v>
      </c>
      <c r="AH101" t="b">
        <f t="shared" si="28"/>
        <v>1</v>
      </c>
    </row>
    <row r="102" spans="4:35" x14ac:dyDescent="0.4">
      <c r="D102" t="s">
        <v>52</v>
      </c>
      <c r="E102" t="s">
        <v>37</v>
      </c>
      <c r="F102" s="9">
        <v>46023.25</v>
      </c>
      <c r="G102" s="12">
        <v>2.8769999999999998</v>
      </c>
      <c r="H102" s="9">
        <v>46025.25</v>
      </c>
      <c r="I102" s="12">
        <v>3.1549999999999998</v>
      </c>
      <c r="J102">
        <v>934.59</v>
      </c>
      <c r="K102" s="12">
        <v>2688.82</v>
      </c>
      <c r="L102">
        <v>4.2300000000000004</v>
      </c>
      <c r="M102">
        <v>255.59</v>
      </c>
      <c r="N102" s="13">
        <v>9.5100000000000004E-2</v>
      </c>
      <c r="O102" t="s">
        <v>38</v>
      </c>
      <c r="Q102">
        <f t="shared" si="29"/>
        <v>259.81602000000004</v>
      </c>
      <c r="R102">
        <f t="shared" si="30"/>
        <v>255.58602000000005</v>
      </c>
      <c r="S102">
        <f t="shared" si="31"/>
        <v>2948.6314499999999</v>
      </c>
      <c r="U102">
        <f t="shared" si="17"/>
        <v>573.51407700000004</v>
      </c>
      <c r="V102">
        <f t="shared" si="32"/>
        <v>1649.999999529</v>
      </c>
      <c r="W102">
        <f t="shared" si="18"/>
        <v>159.43691340600003</v>
      </c>
      <c r="X102">
        <f t="shared" si="19"/>
        <v>3.4594369124640001</v>
      </c>
      <c r="Y102">
        <f t="shared" si="20"/>
        <v>155.97747649353602</v>
      </c>
      <c r="Z102">
        <f t="shared" si="21"/>
        <v>51403.620825376973</v>
      </c>
      <c r="AB102">
        <f t="shared" si="22"/>
        <v>580.82582200000002</v>
      </c>
      <c r="AC102">
        <f t="shared" si="23"/>
        <v>1671.0358898939999</v>
      </c>
      <c r="AD102">
        <f t="shared" si="24"/>
        <v>161.46957851600001</v>
      </c>
      <c r="AE102">
        <f t="shared" si="25"/>
        <v>3.503541358304</v>
      </c>
      <c r="AF102">
        <f t="shared" si="26"/>
        <v>157.96603715769601</v>
      </c>
      <c r="AG102">
        <f t="shared" si="27"/>
        <v>16868.324929023744</v>
      </c>
      <c r="AH102" t="b">
        <f t="shared" si="28"/>
        <v>1</v>
      </c>
    </row>
    <row r="103" spans="4:35" x14ac:dyDescent="0.4">
      <c r="D103" t="s">
        <v>50</v>
      </c>
      <c r="E103" t="s">
        <v>37</v>
      </c>
      <c r="F103" s="9">
        <v>46023.041666666664</v>
      </c>
      <c r="G103">
        <v>220.6</v>
      </c>
      <c r="H103" s="9">
        <v>46025.041666666664</v>
      </c>
      <c r="I103">
        <v>249.4</v>
      </c>
      <c r="J103">
        <v>63.717700000000001</v>
      </c>
      <c r="K103" s="12">
        <v>14056.15</v>
      </c>
      <c r="L103">
        <v>22.46</v>
      </c>
      <c r="M103" s="12">
        <v>1812.61</v>
      </c>
      <c r="N103" s="13">
        <v>0.129</v>
      </c>
      <c r="O103" t="s">
        <v>38</v>
      </c>
      <c r="Q103">
        <f t="shared" si="29"/>
        <v>1835.0697600000008</v>
      </c>
      <c r="R103">
        <f t="shared" si="30"/>
        <v>1812.6097600000007</v>
      </c>
      <c r="S103">
        <f t="shared" si="31"/>
        <v>15891.194380000001</v>
      </c>
      <c r="U103">
        <f t="shared" si="17"/>
        <v>7.4796009999999997</v>
      </c>
      <c r="V103">
        <f t="shared" si="32"/>
        <v>1649.9999805999998</v>
      </c>
      <c r="W103">
        <f t="shared" si="18"/>
        <v>215.41250880000007</v>
      </c>
      <c r="X103">
        <f t="shared" si="19"/>
        <v>3.5154124700000002</v>
      </c>
      <c r="Y103">
        <f t="shared" si="20"/>
        <v>211.89709633000007</v>
      </c>
      <c r="Z103">
        <f t="shared" si="21"/>
        <v>51247.643348883437</v>
      </c>
      <c r="AB103">
        <f t="shared" si="22"/>
        <v>7.4789130000000004</v>
      </c>
      <c r="AC103">
        <f t="shared" si="23"/>
        <v>1649.8482078</v>
      </c>
      <c r="AD103">
        <f t="shared" si="24"/>
        <v>215.3926944000001</v>
      </c>
      <c r="AE103">
        <f t="shared" si="25"/>
        <v>3.5150891100000003</v>
      </c>
      <c r="AF103">
        <f t="shared" si="26"/>
        <v>211.8776052900001</v>
      </c>
      <c r="AG103">
        <f t="shared" si="27"/>
        <v>16710.358891866046</v>
      </c>
      <c r="AH103" t="b">
        <f t="shared" si="28"/>
        <v>1</v>
      </c>
    </row>
    <row r="104" spans="4:35" x14ac:dyDescent="0.4">
      <c r="D104" t="s">
        <v>60</v>
      </c>
      <c r="E104" t="s">
        <v>37</v>
      </c>
      <c r="F104" s="9">
        <v>46022.458333333336</v>
      </c>
      <c r="G104">
        <v>1.8703000000000001</v>
      </c>
      <c r="H104" s="9">
        <v>46024.958333333336</v>
      </c>
      <c r="I104">
        <v>2.0150000000000001</v>
      </c>
      <c r="J104" s="12">
        <v>1210.7</v>
      </c>
      <c r="K104" s="12">
        <v>2264.4899999999998</v>
      </c>
      <c r="L104">
        <v>3.53</v>
      </c>
      <c r="M104" s="12">
        <v>171.66</v>
      </c>
      <c r="N104" s="13">
        <v>7.5800000000000006E-2</v>
      </c>
      <c r="O104" t="s">
        <v>57</v>
      </c>
      <c r="Q104">
        <f t="shared" si="29"/>
        <v>175.18829000000008</v>
      </c>
      <c r="R104">
        <f t="shared" si="30"/>
        <v>171.65829000000008</v>
      </c>
      <c r="S104">
        <f t="shared" si="31"/>
        <v>2439.5605</v>
      </c>
      <c r="U104">
        <f t="shared" si="17"/>
        <v>882.21141</v>
      </c>
      <c r="V104">
        <f t="shared" si="32"/>
        <v>1650.0000001230001</v>
      </c>
      <c r="W104">
        <f t="shared" si="18"/>
        <v>127.65599102700004</v>
      </c>
      <c r="X104">
        <f t="shared" si="19"/>
        <v>3.4276559912729998</v>
      </c>
      <c r="Y104">
        <f t="shared" si="20"/>
        <v>124.22833503572704</v>
      </c>
      <c r="Z104">
        <f t="shared" si="21"/>
        <v>51035.746252553436</v>
      </c>
      <c r="AB104">
        <f t="shared" si="22"/>
        <v>875.53828899999996</v>
      </c>
      <c r="AC104">
        <f t="shared" si="23"/>
        <v>1637.5192619167001</v>
      </c>
      <c r="AD104">
        <f t="shared" si="24"/>
        <v>126.69039041830004</v>
      </c>
      <c r="AE104">
        <f t="shared" si="25"/>
        <v>3.4017289142517</v>
      </c>
      <c r="AF104">
        <f t="shared" si="26"/>
        <v>123.28866150404833</v>
      </c>
      <c r="AG104">
        <f t="shared" ref="AG77:AG140" si="33">AG105+AF104</f>
        <v>16498.481286576047</v>
      </c>
      <c r="AH104" t="b">
        <f t="shared" si="28"/>
        <v>1</v>
      </c>
    </row>
    <row r="105" spans="4:35" x14ac:dyDescent="0.4">
      <c r="D105" t="s">
        <v>40</v>
      </c>
      <c r="E105" t="s">
        <v>41</v>
      </c>
      <c r="F105" s="9">
        <v>46023.625</v>
      </c>
      <c r="G105" s="12">
        <v>527.44000000000005</v>
      </c>
      <c r="H105" s="9">
        <v>46024.958333333336</v>
      </c>
      <c r="I105" s="12">
        <v>488.56</v>
      </c>
      <c r="J105">
        <v>16.954999999999998</v>
      </c>
      <c r="K105" s="12">
        <v>8943.15</v>
      </c>
      <c r="L105">
        <v>12.92</v>
      </c>
      <c r="M105">
        <v>-672.13</v>
      </c>
      <c r="N105" s="13">
        <v>-7.5200000000000003E-2</v>
      </c>
      <c r="O105" t="s">
        <v>38</v>
      </c>
      <c r="Q105">
        <f t="shared" si="29"/>
        <v>-659.21040000000085</v>
      </c>
      <c r="R105">
        <f t="shared" si="30"/>
        <v>-672.1304000000008</v>
      </c>
      <c r="S105">
        <f t="shared" si="31"/>
        <v>8283.5347999999994</v>
      </c>
      <c r="U105">
        <f t="shared" si="17"/>
        <v>3.1283180000000002</v>
      </c>
      <c r="V105">
        <f t="shared" si="32"/>
        <v>1650.0000459200003</v>
      </c>
      <c r="W105">
        <f t="shared" si="18"/>
        <v>-121.62900384000017</v>
      </c>
      <c r="X105">
        <f t="shared" si="19"/>
        <v>3.178371088</v>
      </c>
      <c r="Y105">
        <f t="shared" si="20"/>
        <v>-124.80737492800017</v>
      </c>
      <c r="Z105">
        <f t="shared" si="21"/>
        <v>50911.517917517711</v>
      </c>
      <c r="AB105">
        <f t="shared" si="22"/>
        <v>3.1283180000000002</v>
      </c>
      <c r="AC105">
        <f t="shared" si="23"/>
        <v>1650.0000459200003</v>
      </c>
      <c r="AD105">
        <f t="shared" si="24"/>
        <v>-121.62900384000017</v>
      </c>
      <c r="AE105">
        <f t="shared" si="25"/>
        <v>3.178371088</v>
      </c>
      <c r="AF105">
        <f t="shared" si="26"/>
        <v>-124.80737492800017</v>
      </c>
      <c r="AG105">
        <f>AG106*AH105 + (1-AH105)*AI105+AF105</f>
        <v>16375.192625071999</v>
      </c>
      <c r="AH105" t="b">
        <f t="shared" si="28"/>
        <v>0</v>
      </c>
      <c r="AI105">
        <v>16500</v>
      </c>
    </row>
    <row r="106" spans="4:35" x14ac:dyDescent="0.4">
      <c r="D106" t="s">
        <v>56</v>
      </c>
      <c r="E106" t="s">
        <v>37</v>
      </c>
      <c r="F106" s="9">
        <v>46022</v>
      </c>
      <c r="G106" s="12">
        <v>2971.13</v>
      </c>
      <c r="H106" s="9">
        <v>46024.5</v>
      </c>
      <c r="I106" s="12">
        <v>3045.23</v>
      </c>
      <c r="J106">
        <v>1.996</v>
      </c>
      <c r="K106" s="12">
        <v>5930.52</v>
      </c>
      <c r="L106">
        <v>9.01</v>
      </c>
      <c r="M106">
        <v>138.9</v>
      </c>
      <c r="N106" s="13">
        <v>2.3400000000000001E-2</v>
      </c>
      <c r="O106" t="s">
        <v>57</v>
      </c>
      <c r="Q106">
        <f t="shared" si="29"/>
        <v>147.90359999999981</v>
      </c>
      <c r="R106">
        <f t="shared" si="30"/>
        <v>138.89359999999982</v>
      </c>
      <c r="S106">
        <f t="shared" si="31"/>
        <v>6078.2790800000002</v>
      </c>
      <c r="U106">
        <f t="shared" si="17"/>
        <v>0.55534399999999995</v>
      </c>
      <c r="V106">
        <f t="shared" si="32"/>
        <v>1649.9992187199998</v>
      </c>
      <c r="W106">
        <f t="shared" si="18"/>
        <v>41.150990399999948</v>
      </c>
      <c r="X106">
        <f t="shared" si="19"/>
        <v>3.34114942784</v>
      </c>
      <c r="Y106">
        <f t="shared" si="20"/>
        <v>37.809840972159947</v>
      </c>
      <c r="Z106">
        <f t="shared" si="21"/>
        <v>51036.325292445712</v>
      </c>
      <c r="AB106">
        <f t="shared" si="22"/>
        <v>0.63388599999999995</v>
      </c>
      <c r="AC106">
        <f t="shared" si="23"/>
        <v>1883.35771118</v>
      </c>
      <c r="AD106">
        <f t="shared" si="24"/>
        <v>46.97095259999994</v>
      </c>
      <c r="AE106">
        <f t="shared" si="25"/>
        <v>3.8136863749600001</v>
      </c>
      <c r="AF106">
        <f t="shared" si="26"/>
        <v>43.15726622503994</v>
      </c>
      <c r="AG106">
        <f t="shared" ref="AG106:AG169" si="34">AG107*AH106 + (1-AH106)*AI106+AF106</f>
        <v>18876.741465004183</v>
      </c>
      <c r="AH106" t="b">
        <f t="shared" si="28"/>
        <v>1</v>
      </c>
    </row>
    <row r="107" spans="4:35" x14ac:dyDescent="0.4">
      <c r="D107" t="s">
        <v>43</v>
      </c>
      <c r="E107" t="s">
        <v>37</v>
      </c>
      <c r="F107" s="9">
        <v>46022.083333333336</v>
      </c>
      <c r="G107">
        <v>1.4438</v>
      </c>
      <c r="H107" s="9">
        <v>46024.083333333336</v>
      </c>
      <c r="I107">
        <v>1.4650000000000001</v>
      </c>
      <c r="J107" s="12">
        <v>1331.1</v>
      </c>
      <c r="K107" s="12">
        <v>1921.94</v>
      </c>
      <c r="L107">
        <v>2.9</v>
      </c>
      <c r="M107">
        <v>25.32</v>
      </c>
      <c r="N107" s="13">
        <v>1.32E-2</v>
      </c>
      <c r="O107" t="s">
        <v>38</v>
      </c>
      <c r="Q107">
        <f t="shared" si="29"/>
        <v>28.219320000000142</v>
      </c>
      <c r="R107">
        <f t="shared" si="30"/>
        <v>25.319320000000143</v>
      </c>
      <c r="S107">
        <f t="shared" si="31"/>
        <v>1950.0615</v>
      </c>
      <c r="U107">
        <f t="shared" si="17"/>
        <v>1142.8175650000001</v>
      </c>
      <c r="V107">
        <f t="shared" si="32"/>
        <v>1650.000000347</v>
      </c>
      <c r="W107">
        <f t="shared" si="18"/>
        <v>24.227732378000123</v>
      </c>
      <c r="X107">
        <f t="shared" si="19"/>
        <v>3.3242277330720005</v>
      </c>
      <c r="Y107">
        <f t="shared" si="20"/>
        <v>20.903504644928123</v>
      </c>
      <c r="Z107">
        <f t="shared" si="21"/>
        <v>50998.515451473555</v>
      </c>
      <c r="AB107">
        <f t="shared" si="22"/>
        <v>1302.7950209999999</v>
      </c>
      <c r="AC107">
        <f t="shared" si="23"/>
        <v>1880.9754513197997</v>
      </c>
      <c r="AD107">
        <f t="shared" si="24"/>
        <v>27.619254445200138</v>
      </c>
      <c r="AE107">
        <f t="shared" si="25"/>
        <v>3.7895701570848002</v>
      </c>
      <c r="AF107">
        <f t="shared" si="26"/>
        <v>23.829684288115338</v>
      </c>
      <c r="AG107">
        <f t="shared" si="34"/>
        <v>18833.584198779143</v>
      </c>
      <c r="AH107" t="b">
        <f t="shared" si="28"/>
        <v>1</v>
      </c>
    </row>
    <row r="108" spans="4:35" x14ac:dyDescent="0.4">
      <c r="D108" t="s">
        <v>55</v>
      </c>
      <c r="E108" t="s">
        <v>37</v>
      </c>
      <c r="F108" s="9">
        <v>46022.083333333336</v>
      </c>
      <c r="G108" s="12">
        <v>3.735E-5</v>
      </c>
      <c r="H108" s="9">
        <v>46024.083333333336</v>
      </c>
      <c r="I108" s="12">
        <v>4.0380000000000003E-5</v>
      </c>
      <c r="J108" s="12">
        <v>173805846.40000001</v>
      </c>
      <c r="K108" s="12">
        <v>6491.65</v>
      </c>
      <c r="L108">
        <v>10.130000000000001</v>
      </c>
      <c r="M108">
        <v>516.5</v>
      </c>
      <c r="N108" s="13">
        <v>7.9600000000000004E-2</v>
      </c>
      <c r="O108" t="s">
        <v>38</v>
      </c>
      <c r="Q108">
        <f t="shared" si="29"/>
        <v>526.63171459200055</v>
      </c>
      <c r="R108">
        <f t="shared" si="30"/>
        <v>516.50171459200055</v>
      </c>
      <c r="S108">
        <f t="shared" si="31"/>
        <v>7018.2800776320009</v>
      </c>
      <c r="U108">
        <f t="shared" si="17"/>
        <v>44176706.827308998</v>
      </c>
      <c r="V108">
        <f t="shared" si="32"/>
        <v>1649.9999999999911</v>
      </c>
      <c r="W108">
        <f t="shared" si="18"/>
        <v>133.85542168674641</v>
      </c>
      <c r="X108">
        <f t="shared" si="19"/>
        <v>3.433855421686729</v>
      </c>
      <c r="Y108">
        <f t="shared" si="20"/>
        <v>130.42156626505968</v>
      </c>
      <c r="Z108">
        <f t="shared" si="21"/>
        <v>50977.611946828627</v>
      </c>
      <c r="AB108">
        <f t="shared" si="22"/>
        <v>49965841.657672003</v>
      </c>
      <c r="AC108">
        <f t="shared" si="23"/>
        <v>1866.2241859140493</v>
      </c>
      <c r="AD108">
        <f t="shared" si="24"/>
        <v>151.39650022274634</v>
      </c>
      <c r="AE108">
        <f t="shared" si="25"/>
        <v>3.8838448720508452</v>
      </c>
      <c r="AF108">
        <f t="shared" si="26"/>
        <v>147.5126553506955</v>
      </c>
      <c r="AG108">
        <f t="shared" si="34"/>
        <v>18809.754514491029</v>
      </c>
      <c r="AH108" t="b">
        <f t="shared" si="28"/>
        <v>1</v>
      </c>
    </row>
    <row r="109" spans="4:35" x14ac:dyDescent="0.4">
      <c r="D109" t="s">
        <v>58</v>
      </c>
      <c r="E109" t="s">
        <v>37</v>
      </c>
      <c r="F109" s="9">
        <v>46022</v>
      </c>
      <c r="G109" s="12">
        <v>12.41</v>
      </c>
      <c r="H109" s="9">
        <v>46024</v>
      </c>
      <c r="I109" s="12">
        <v>12.59</v>
      </c>
      <c r="J109">
        <v>594.74</v>
      </c>
      <c r="K109" s="12">
        <v>7380.77</v>
      </c>
      <c r="L109">
        <v>11.15</v>
      </c>
      <c r="M109">
        <v>95.9</v>
      </c>
      <c r="N109" s="13">
        <v>1.2999999999999999E-2</v>
      </c>
      <c r="O109" t="s">
        <v>38</v>
      </c>
      <c r="Q109">
        <f t="shared" si="29"/>
        <v>107.05319999999983</v>
      </c>
      <c r="R109">
        <f t="shared" si="30"/>
        <v>95.903199999999828</v>
      </c>
      <c r="S109">
        <f t="shared" si="31"/>
        <v>7487.7766000000001</v>
      </c>
      <c r="U109">
        <f t="shared" si="17"/>
        <v>132.95729299999999</v>
      </c>
      <c r="V109">
        <f t="shared" si="32"/>
        <v>1650.00000613</v>
      </c>
      <c r="W109">
        <f t="shared" si="18"/>
        <v>23.932312739999961</v>
      </c>
      <c r="X109">
        <f t="shared" si="19"/>
        <v>3.3239323249999999</v>
      </c>
      <c r="Y109">
        <f t="shared" si="20"/>
        <v>20.60838041499996</v>
      </c>
      <c r="Z109">
        <f t="shared" si="21"/>
        <v>50847.190380563567</v>
      </c>
      <c r="AB109">
        <f t="shared" si="22"/>
        <v>150.19308599999999</v>
      </c>
      <c r="AC109">
        <f t="shared" si="23"/>
        <v>1863.89619726</v>
      </c>
      <c r="AD109">
        <f t="shared" si="24"/>
        <v>27.034755479999955</v>
      </c>
      <c r="AE109">
        <f t="shared" si="25"/>
        <v>3.7548271500000001</v>
      </c>
      <c r="AF109">
        <f t="shared" si="26"/>
        <v>23.279928329999954</v>
      </c>
      <c r="AG109">
        <f t="shared" si="34"/>
        <v>18662.241859140333</v>
      </c>
      <c r="AH109" t="b">
        <f t="shared" si="28"/>
        <v>1</v>
      </c>
    </row>
    <row r="110" spans="4:35" x14ac:dyDescent="0.4">
      <c r="D110" t="s">
        <v>54</v>
      </c>
      <c r="E110" t="s">
        <v>37</v>
      </c>
      <c r="F110" s="9">
        <v>46021.291666666664</v>
      </c>
      <c r="G110">
        <v>123.78</v>
      </c>
      <c r="H110" s="9">
        <v>46023.291666666664</v>
      </c>
      <c r="I110">
        <v>124.71</v>
      </c>
      <c r="J110" s="12">
        <v>41.191000000000003</v>
      </c>
      <c r="K110" s="12">
        <v>5098.7</v>
      </c>
      <c r="L110">
        <v>7.68</v>
      </c>
      <c r="M110">
        <v>30.63</v>
      </c>
      <c r="N110" s="13">
        <v>6.0000000000000001E-3</v>
      </c>
      <c r="O110" t="s">
        <v>38</v>
      </c>
      <c r="Q110">
        <f t="shared" si="29"/>
        <v>38.307629999999698</v>
      </c>
      <c r="R110">
        <f t="shared" si="30"/>
        <v>30.627629999999698</v>
      </c>
      <c r="S110">
        <f t="shared" si="31"/>
        <v>5136.9296100000001</v>
      </c>
      <c r="U110">
        <f t="shared" si="17"/>
        <v>13.330102</v>
      </c>
      <c r="V110">
        <f t="shared" si="32"/>
        <v>1650.00002556</v>
      </c>
      <c r="W110">
        <f t="shared" si="18"/>
        <v>12.396994859999902</v>
      </c>
      <c r="X110">
        <f t="shared" si="19"/>
        <v>3.3123970459800001</v>
      </c>
      <c r="Y110">
        <f t="shared" si="20"/>
        <v>9.0845978140199009</v>
      </c>
      <c r="Z110">
        <f t="shared" si="21"/>
        <v>50826.58200014857</v>
      </c>
      <c r="AB110">
        <f t="shared" si="22"/>
        <v>15.049851</v>
      </c>
      <c r="AC110">
        <f t="shared" si="23"/>
        <v>1862.87055678</v>
      </c>
      <c r="AD110">
        <f t="shared" si="24"/>
        <v>13.996361429999888</v>
      </c>
      <c r="AE110">
        <f t="shared" si="25"/>
        <v>3.7397374749900005</v>
      </c>
      <c r="AF110">
        <f t="shared" si="26"/>
        <v>10.256623955009887</v>
      </c>
      <c r="AG110">
        <f t="shared" si="34"/>
        <v>18638.961930810332</v>
      </c>
      <c r="AH110" t="b">
        <f t="shared" si="28"/>
        <v>1</v>
      </c>
    </row>
    <row r="111" spans="4:35" x14ac:dyDescent="0.4">
      <c r="D111" t="s">
        <v>53</v>
      </c>
      <c r="E111" t="s">
        <v>37</v>
      </c>
      <c r="F111" s="9">
        <v>46021.291666666664</v>
      </c>
      <c r="G111">
        <v>852.74</v>
      </c>
      <c r="H111" s="9">
        <v>46023.291666666664</v>
      </c>
      <c r="I111">
        <v>860.66</v>
      </c>
      <c r="J111">
        <v>11.552</v>
      </c>
      <c r="K111" s="12">
        <v>9851.19</v>
      </c>
      <c r="L111">
        <v>14.84</v>
      </c>
      <c r="M111">
        <v>76.650000000000006</v>
      </c>
      <c r="N111" s="13">
        <v>7.7999999999999996E-3</v>
      </c>
      <c r="O111" t="s">
        <v>38</v>
      </c>
      <c r="Q111">
        <f t="shared" si="29"/>
        <v>91.491839999999527</v>
      </c>
      <c r="R111">
        <f t="shared" si="30"/>
        <v>76.651839999999524</v>
      </c>
      <c r="S111">
        <f t="shared" si="31"/>
        <v>9942.3443200000002</v>
      </c>
      <c r="U111">
        <f t="shared" si="17"/>
        <v>1.934939</v>
      </c>
      <c r="V111">
        <f t="shared" si="32"/>
        <v>1649.9998828600001</v>
      </c>
      <c r="W111">
        <f t="shared" si="18"/>
        <v>15.32471687999992</v>
      </c>
      <c r="X111">
        <f t="shared" si="19"/>
        <v>3.3153244825999999</v>
      </c>
      <c r="Y111">
        <f t="shared" si="20"/>
        <v>12.009392397399921</v>
      </c>
      <c r="Z111">
        <f t="shared" si="21"/>
        <v>50817.497402334549</v>
      </c>
      <c r="AB111">
        <f t="shared" si="22"/>
        <v>2.1829809999999998</v>
      </c>
      <c r="AC111">
        <f t="shared" si="23"/>
        <v>1861.51521794</v>
      </c>
      <c r="AD111">
        <f t="shared" si="24"/>
        <v>17.289209519999908</v>
      </c>
      <c r="AE111">
        <f t="shared" si="25"/>
        <v>3.7403196453999996</v>
      </c>
      <c r="AF111">
        <f t="shared" si="26"/>
        <v>13.548889874599908</v>
      </c>
      <c r="AG111">
        <f t="shared" si="34"/>
        <v>18628.705306855321</v>
      </c>
      <c r="AH111" t="b">
        <f t="shared" si="28"/>
        <v>1</v>
      </c>
    </row>
    <row r="112" spans="4:35" x14ac:dyDescent="0.4">
      <c r="D112" t="s">
        <v>50</v>
      </c>
      <c r="E112" t="s">
        <v>37</v>
      </c>
      <c r="F112" s="9">
        <v>46021.041666666664</v>
      </c>
      <c r="G112">
        <v>219.1</v>
      </c>
      <c r="H112" s="9">
        <v>46023.041666666664</v>
      </c>
      <c r="I112">
        <v>220.6</v>
      </c>
      <c r="J112">
        <v>64.119699999999995</v>
      </c>
      <c r="K112" s="12">
        <v>14048.64</v>
      </c>
      <c r="L112">
        <v>21.15</v>
      </c>
      <c r="M112">
        <v>75.03</v>
      </c>
      <c r="N112" s="13">
        <v>5.3E-3</v>
      </c>
      <c r="O112" t="s">
        <v>38</v>
      </c>
      <c r="Q112">
        <f t="shared" si="29"/>
        <v>96.179549999999992</v>
      </c>
      <c r="R112">
        <f t="shared" si="30"/>
        <v>75.02955</v>
      </c>
      <c r="S112">
        <f t="shared" si="31"/>
        <v>14144.805819999998</v>
      </c>
      <c r="U112">
        <f t="shared" si="17"/>
        <v>7.5308080000000004</v>
      </c>
      <c r="V112">
        <f t="shared" si="32"/>
        <v>1650.0000328000001</v>
      </c>
      <c r="W112">
        <f t="shared" si="18"/>
        <v>11.296212000000001</v>
      </c>
      <c r="X112">
        <f t="shared" si="19"/>
        <v>3.3112962775999999</v>
      </c>
      <c r="Y112">
        <f t="shared" si="20"/>
        <v>7.9849157224000002</v>
      </c>
      <c r="Z112">
        <f t="shared" si="21"/>
        <v>50805.488009937151</v>
      </c>
      <c r="AB112">
        <f t="shared" si="22"/>
        <v>8.4920819999999999</v>
      </c>
      <c r="AC112">
        <f t="shared" si="23"/>
        <v>1860.6151662</v>
      </c>
      <c r="AD112">
        <f t="shared" si="24"/>
        <v>12.738123</v>
      </c>
      <c r="AE112">
        <f t="shared" si="25"/>
        <v>3.7339684553999999</v>
      </c>
      <c r="AF112">
        <f t="shared" si="26"/>
        <v>9.0041545446000004</v>
      </c>
      <c r="AG112">
        <f t="shared" si="34"/>
        <v>18615.156416980721</v>
      </c>
      <c r="AH112" t="b">
        <f t="shared" si="28"/>
        <v>1</v>
      </c>
    </row>
    <row r="113" spans="4:34" x14ac:dyDescent="0.4">
      <c r="D113" t="s">
        <v>40</v>
      </c>
      <c r="E113" t="s">
        <v>41</v>
      </c>
      <c r="F113" s="9">
        <v>46021.375</v>
      </c>
      <c r="G113">
        <v>533.29</v>
      </c>
      <c r="H113" s="9">
        <v>46022.708333333336</v>
      </c>
      <c r="I113">
        <v>507.16</v>
      </c>
      <c r="J113" s="12">
        <v>16.853999999999999</v>
      </c>
      <c r="K113" s="12">
        <v>8988.5</v>
      </c>
      <c r="L113">
        <v>13.15</v>
      </c>
      <c r="M113">
        <v>-453.55</v>
      </c>
      <c r="N113" s="13">
        <v>-5.0500000000000003E-2</v>
      </c>
      <c r="O113" t="s">
        <v>38</v>
      </c>
      <c r="Q113">
        <f t="shared" si="29"/>
        <v>-440.39501999999896</v>
      </c>
      <c r="R113">
        <f t="shared" si="30"/>
        <v>-453.54501999999894</v>
      </c>
      <c r="S113">
        <f t="shared" si="31"/>
        <v>8547.6746399999993</v>
      </c>
      <c r="U113">
        <f t="shared" si="17"/>
        <v>3.094001</v>
      </c>
      <c r="V113">
        <f t="shared" si="32"/>
        <v>1649.9997932899998</v>
      </c>
      <c r="W113">
        <f t="shared" si="18"/>
        <v>-80.846246129999813</v>
      </c>
      <c r="X113">
        <f t="shared" si="19"/>
        <v>3.2191533404500001</v>
      </c>
      <c r="Y113">
        <f t="shared" si="20"/>
        <v>-84.065399470449819</v>
      </c>
      <c r="Z113">
        <f t="shared" si="21"/>
        <v>50797.50309421475</v>
      </c>
      <c r="AB113">
        <f t="shared" si="22"/>
        <v>3.5068039999999998</v>
      </c>
      <c r="AC113">
        <f t="shared" si="23"/>
        <v>1870.1435051599997</v>
      </c>
      <c r="AD113">
        <f t="shared" si="24"/>
        <v>-91.632788519999778</v>
      </c>
      <c r="AE113">
        <f t="shared" si="25"/>
        <v>3.6486542218000002</v>
      </c>
      <c r="AF113">
        <f t="shared" si="26"/>
        <v>-95.281442741799779</v>
      </c>
      <c r="AG113">
        <f t="shared" si="34"/>
        <v>18606.152262436121</v>
      </c>
      <c r="AH113" t="b">
        <f t="shared" si="28"/>
        <v>1</v>
      </c>
    </row>
    <row r="114" spans="4:34" x14ac:dyDescent="0.4">
      <c r="D114" t="s">
        <v>48</v>
      </c>
      <c r="E114" t="s">
        <v>37</v>
      </c>
      <c r="F114" s="9">
        <v>46020.666666666664</v>
      </c>
      <c r="G114">
        <v>8.0100000000000005E-2</v>
      </c>
      <c r="H114" s="9">
        <v>46022.666666666664</v>
      </c>
      <c r="I114">
        <v>7.8600000000000003E-2</v>
      </c>
      <c r="J114" s="12">
        <v>54366.9</v>
      </c>
      <c r="K114" s="12">
        <v>4354.8</v>
      </c>
      <c r="L114">
        <v>6.47</v>
      </c>
      <c r="M114">
        <v>-88.02</v>
      </c>
      <c r="N114" s="13">
        <v>-2.0199999999999999E-2</v>
      </c>
      <c r="O114" t="s">
        <v>38</v>
      </c>
      <c r="Q114">
        <f t="shared" si="29"/>
        <v>-81.55035000000008</v>
      </c>
      <c r="R114">
        <f t="shared" si="30"/>
        <v>-88.020350000000079</v>
      </c>
      <c r="S114">
        <f t="shared" si="31"/>
        <v>4273.2383399999999</v>
      </c>
      <c r="U114">
        <f t="shared" si="17"/>
        <v>20599.250936</v>
      </c>
      <c r="V114">
        <f t="shared" si="32"/>
        <v>1649.9999999736001</v>
      </c>
      <c r="W114">
        <f t="shared" si="18"/>
        <v>-30.898876404000028</v>
      </c>
      <c r="X114">
        <f t="shared" si="19"/>
        <v>3.2691011235432001</v>
      </c>
      <c r="Y114">
        <f t="shared" si="20"/>
        <v>-34.167977527543229</v>
      </c>
      <c r="Z114">
        <f t="shared" si="21"/>
        <v>50881.568493685198</v>
      </c>
      <c r="AB114">
        <f t="shared" si="22"/>
        <v>23396.055859</v>
      </c>
      <c r="AC114">
        <f t="shared" si="23"/>
        <v>1874.0240743059001</v>
      </c>
      <c r="AD114">
        <f t="shared" si="24"/>
        <v>-35.094083788500029</v>
      </c>
      <c r="AE114">
        <f t="shared" si="25"/>
        <v>3.7129540648233004</v>
      </c>
      <c r="AF114">
        <f t="shared" si="26"/>
        <v>-38.80703785332333</v>
      </c>
      <c r="AG114">
        <f t="shared" si="34"/>
        <v>18701.433705177922</v>
      </c>
      <c r="AH114" t="b">
        <f t="shared" si="28"/>
        <v>1</v>
      </c>
    </row>
    <row r="115" spans="4:34" x14ac:dyDescent="0.4">
      <c r="D115" t="s">
        <v>59</v>
      </c>
      <c r="E115" t="s">
        <v>37</v>
      </c>
      <c r="F115" s="9">
        <v>46019.958333333336</v>
      </c>
      <c r="G115" s="12">
        <v>87862.11</v>
      </c>
      <c r="H115" s="9">
        <v>46022.458333333336</v>
      </c>
      <c r="I115" s="12">
        <v>88761.02</v>
      </c>
      <c r="J115" s="12">
        <v>0.12205000000000001</v>
      </c>
      <c r="K115" s="12">
        <v>10723.85</v>
      </c>
      <c r="L115">
        <v>16.170000000000002</v>
      </c>
      <c r="M115">
        <v>93.54</v>
      </c>
      <c r="N115" s="13">
        <v>8.6999999999999994E-3</v>
      </c>
      <c r="O115" t="s">
        <v>57</v>
      </c>
      <c r="Q115">
        <f t="shared" si="29"/>
        <v>109.71196550000043</v>
      </c>
      <c r="R115">
        <f t="shared" si="30"/>
        <v>93.54196550000043</v>
      </c>
      <c r="S115">
        <f t="shared" si="31"/>
        <v>10833.282491000002</v>
      </c>
      <c r="U115">
        <f t="shared" si="17"/>
        <v>1.8779000000000001E-2</v>
      </c>
      <c r="V115">
        <f t="shared" si="32"/>
        <v>1649.96256369</v>
      </c>
      <c r="W115">
        <f t="shared" si="18"/>
        <v>16.880630890000067</v>
      </c>
      <c r="X115">
        <f t="shared" si="19"/>
        <v>3.3168057582700001</v>
      </c>
      <c r="Y115">
        <f t="shared" si="20"/>
        <v>13.563825131730066</v>
      </c>
      <c r="Z115">
        <f t="shared" si="21"/>
        <v>50915.736471212738</v>
      </c>
      <c r="AB115">
        <f t="shared" si="22"/>
        <v>2.1312000000000001E-2</v>
      </c>
      <c r="AC115">
        <f t="shared" si="23"/>
        <v>1872.51728832</v>
      </c>
      <c r="AD115">
        <f t="shared" si="24"/>
        <v>19.157569920000075</v>
      </c>
      <c r="AE115">
        <f t="shared" si="25"/>
        <v>3.7641921465600001</v>
      </c>
      <c r="AF115">
        <f t="shared" si="26"/>
        <v>15.393377773440076</v>
      </c>
      <c r="AG115">
        <f t="shared" si="34"/>
        <v>18740.240743031245</v>
      </c>
      <c r="AH115" t="b">
        <f t="shared" si="28"/>
        <v>1</v>
      </c>
    </row>
    <row r="116" spans="4:34" x14ac:dyDescent="0.4">
      <c r="D116" t="s">
        <v>60</v>
      </c>
      <c r="E116" t="s">
        <v>37</v>
      </c>
      <c r="F116" s="9">
        <v>46019.625</v>
      </c>
      <c r="G116">
        <v>1.8703000000000001</v>
      </c>
      <c r="H116" s="9">
        <v>46022.125</v>
      </c>
      <c r="I116">
        <v>1.8773</v>
      </c>
      <c r="J116" s="12">
        <v>1210.4000000000001</v>
      </c>
      <c r="K116" s="12">
        <v>2263.9899999999998</v>
      </c>
      <c r="L116">
        <v>3.4</v>
      </c>
      <c r="M116">
        <v>5.07</v>
      </c>
      <c r="N116" s="13">
        <v>2.2000000000000001E-3</v>
      </c>
      <c r="O116" t="s">
        <v>57</v>
      </c>
      <c r="Q116">
        <f t="shared" si="29"/>
        <v>8.4727999999998733</v>
      </c>
      <c r="R116">
        <f t="shared" si="30"/>
        <v>5.072799999999873</v>
      </c>
      <c r="S116">
        <f t="shared" si="31"/>
        <v>2272.2839200000003</v>
      </c>
      <c r="U116">
        <f t="shared" si="17"/>
        <v>882.21141</v>
      </c>
      <c r="V116">
        <f t="shared" si="32"/>
        <v>1650.0000001230001</v>
      </c>
      <c r="W116">
        <f t="shared" si="18"/>
        <v>6.1754798699999078</v>
      </c>
      <c r="X116">
        <f t="shared" si="19"/>
        <v>3.3061754801160004</v>
      </c>
      <c r="Y116">
        <f t="shared" si="20"/>
        <v>2.8693043898839075</v>
      </c>
      <c r="Z116">
        <f t="shared" si="21"/>
        <v>50902.17264608101</v>
      </c>
      <c r="AB116">
        <f t="shared" si="22"/>
        <v>1000.994051</v>
      </c>
      <c r="AC116">
        <f t="shared" si="23"/>
        <v>1872.1591735853001</v>
      </c>
      <c r="AD116">
        <f t="shared" si="24"/>
        <v>7.0069583569998954</v>
      </c>
      <c r="AE116">
        <f t="shared" si="25"/>
        <v>3.7513253055276001</v>
      </c>
      <c r="AF116">
        <f t="shared" si="26"/>
        <v>3.2556330514722953</v>
      </c>
      <c r="AG116">
        <f t="shared" si="34"/>
        <v>18724.847365257807</v>
      </c>
      <c r="AH116" t="b">
        <f t="shared" si="28"/>
        <v>1</v>
      </c>
    </row>
    <row r="117" spans="4:34" x14ac:dyDescent="0.4">
      <c r="D117" t="s">
        <v>61</v>
      </c>
      <c r="E117" t="s">
        <v>37</v>
      </c>
      <c r="F117" s="9">
        <v>46019.625</v>
      </c>
      <c r="G117">
        <v>0.37069999999999997</v>
      </c>
      <c r="H117" s="9">
        <v>46021.625</v>
      </c>
      <c r="I117">
        <v>0.35489999999999999</v>
      </c>
      <c r="J117" s="12">
        <v>23128.400000000001</v>
      </c>
      <c r="K117" s="12">
        <v>8573.7199999999993</v>
      </c>
      <c r="L117">
        <v>12.59</v>
      </c>
      <c r="M117">
        <v>-378.02</v>
      </c>
      <c r="N117" s="13">
        <v>-4.41E-2</v>
      </c>
      <c r="O117" t="s">
        <v>38</v>
      </c>
      <c r="Q117">
        <f t="shared" si="29"/>
        <v>-365.4287199999996</v>
      </c>
      <c r="R117">
        <f t="shared" si="30"/>
        <v>-378.01871999999958</v>
      </c>
      <c r="S117">
        <f t="shared" si="31"/>
        <v>8208.2691599999998</v>
      </c>
      <c r="U117">
        <f t="shared" si="17"/>
        <v>4451.0385759999999</v>
      </c>
      <c r="V117">
        <f t="shared" si="32"/>
        <v>1650.0000001231999</v>
      </c>
      <c r="W117">
        <f t="shared" si="18"/>
        <v>-70.326409500799912</v>
      </c>
      <c r="X117">
        <f t="shared" si="19"/>
        <v>3.2296735907456005</v>
      </c>
      <c r="Y117">
        <f t="shared" si="20"/>
        <v>-73.556083091545517</v>
      </c>
      <c r="Z117">
        <f t="shared" si="21"/>
        <v>50899.303341691128</v>
      </c>
      <c r="AB117">
        <f t="shared" si="22"/>
        <v>5072.9498979999998</v>
      </c>
      <c r="AC117">
        <f t="shared" si="23"/>
        <v>1880.5425271885997</v>
      </c>
      <c r="AD117">
        <f t="shared" si="24"/>
        <v>-80.152608388399898</v>
      </c>
      <c r="AE117">
        <f t="shared" si="25"/>
        <v>3.6809324459888004</v>
      </c>
      <c r="AF117">
        <f t="shared" si="26"/>
        <v>-83.8335408343887</v>
      </c>
      <c r="AG117">
        <f t="shared" si="34"/>
        <v>18721.591732206336</v>
      </c>
      <c r="AH117" t="b">
        <f t="shared" si="28"/>
        <v>1</v>
      </c>
    </row>
    <row r="118" spans="4:34" x14ac:dyDescent="0.4">
      <c r="D118" t="s">
        <v>58</v>
      </c>
      <c r="E118" t="s">
        <v>37</v>
      </c>
      <c r="F118" s="9">
        <v>46019.458333333336</v>
      </c>
      <c r="G118">
        <v>12.48</v>
      </c>
      <c r="H118" s="9">
        <v>46021.458333333336</v>
      </c>
      <c r="I118">
        <v>12.49</v>
      </c>
      <c r="J118">
        <v>591.44000000000005</v>
      </c>
      <c r="K118" s="12">
        <v>7381.29</v>
      </c>
      <c r="L118">
        <v>11.08</v>
      </c>
      <c r="M118">
        <v>-5.16</v>
      </c>
      <c r="N118" s="13">
        <v>-6.9999999999999999E-4</v>
      </c>
      <c r="O118" t="s">
        <v>38</v>
      </c>
      <c r="Q118">
        <f t="shared" si="29"/>
        <v>5.9143999999998744</v>
      </c>
      <c r="R118">
        <f t="shared" si="30"/>
        <v>-5.1656000000001256</v>
      </c>
      <c r="S118">
        <f t="shared" si="31"/>
        <v>7387.0856000000013</v>
      </c>
      <c r="U118">
        <f t="shared" si="17"/>
        <v>132.21153799999999</v>
      </c>
      <c r="V118">
        <f t="shared" si="32"/>
        <v>1649.99999424</v>
      </c>
      <c r="W118">
        <f t="shared" si="18"/>
        <v>1.3221153799999716</v>
      </c>
      <c r="X118">
        <f t="shared" si="19"/>
        <v>3.3013221038599996</v>
      </c>
      <c r="Y118">
        <f t="shared" si="20"/>
        <v>-1.9792067238600279</v>
      </c>
      <c r="Z118">
        <f t="shared" si="21"/>
        <v>50972.85942478267</v>
      </c>
      <c r="AB118">
        <f t="shared" si="22"/>
        <v>150.702574</v>
      </c>
      <c r="AC118">
        <f t="shared" si="23"/>
        <v>1880.76812352</v>
      </c>
      <c r="AD118">
        <f t="shared" si="24"/>
        <v>1.5070257399999678</v>
      </c>
      <c r="AE118">
        <f t="shared" si="25"/>
        <v>3.7630432727799996</v>
      </c>
      <c r="AF118">
        <f t="shared" si="26"/>
        <v>-2.2560175327800316</v>
      </c>
      <c r="AG118">
        <f t="shared" si="34"/>
        <v>18805.425273040724</v>
      </c>
      <c r="AH118" t="b">
        <f t="shared" si="28"/>
        <v>1</v>
      </c>
    </row>
    <row r="119" spans="4:34" x14ac:dyDescent="0.4">
      <c r="D119" t="s">
        <v>54</v>
      </c>
      <c r="E119" t="s">
        <v>37</v>
      </c>
      <c r="F119" s="9">
        <v>46019.291666666664</v>
      </c>
      <c r="G119">
        <v>124.04</v>
      </c>
      <c r="H119" s="9">
        <v>46021.291666666664</v>
      </c>
      <c r="I119">
        <v>123.78</v>
      </c>
      <c r="J119">
        <v>41.12</v>
      </c>
      <c r="K119" s="12">
        <v>5100.54</v>
      </c>
      <c r="L119">
        <v>7.64</v>
      </c>
      <c r="M119">
        <v>-18.329999999999998</v>
      </c>
      <c r="N119" s="13">
        <v>-3.5999999999999999E-3</v>
      </c>
      <c r="O119" t="s">
        <v>38</v>
      </c>
      <c r="Q119">
        <f t="shared" si="29"/>
        <v>-10.69120000000021</v>
      </c>
      <c r="R119">
        <f t="shared" si="30"/>
        <v>-18.331200000000209</v>
      </c>
      <c r="S119">
        <f t="shared" si="31"/>
        <v>5089.8335999999999</v>
      </c>
      <c r="U119">
        <f t="shared" si="17"/>
        <v>13.302161</v>
      </c>
      <c r="V119">
        <f t="shared" si="32"/>
        <v>1650.00005044</v>
      </c>
      <c r="W119">
        <f t="shared" si="18"/>
        <v>-3.458561860000068</v>
      </c>
      <c r="X119">
        <f t="shared" si="19"/>
        <v>3.2965415390199997</v>
      </c>
      <c r="Y119">
        <f t="shared" si="20"/>
        <v>-6.7551033990200677</v>
      </c>
      <c r="Z119">
        <f t="shared" si="21"/>
        <v>50974.838631506529</v>
      </c>
      <c r="AB119">
        <f t="shared" si="22"/>
        <v>15.168804</v>
      </c>
      <c r="AC119">
        <f t="shared" si="23"/>
        <v>1881.5384481600001</v>
      </c>
      <c r="AD119">
        <f t="shared" si="24"/>
        <v>-3.9438890400000775</v>
      </c>
      <c r="AE119">
        <f t="shared" si="25"/>
        <v>3.7591330072799995</v>
      </c>
      <c r="AF119">
        <f t="shared" si="26"/>
        <v>-7.7030220472800774</v>
      </c>
      <c r="AG119">
        <f t="shared" si="34"/>
        <v>18807.681290573506</v>
      </c>
      <c r="AH119" t="b">
        <f t="shared" si="28"/>
        <v>1</v>
      </c>
    </row>
    <row r="120" spans="4:34" x14ac:dyDescent="0.4">
      <c r="D120" t="s">
        <v>40</v>
      </c>
      <c r="E120" t="s">
        <v>41</v>
      </c>
      <c r="F120" s="9">
        <v>46019.958333333336</v>
      </c>
      <c r="G120">
        <v>530.88</v>
      </c>
      <c r="H120" s="9">
        <v>46021.291666666664</v>
      </c>
      <c r="I120">
        <v>532.83000000000004</v>
      </c>
      <c r="J120" s="12">
        <v>16.927</v>
      </c>
      <c r="K120" s="12">
        <v>8986.5499999999993</v>
      </c>
      <c r="L120">
        <v>13.5</v>
      </c>
      <c r="M120">
        <v>19.5</v>
      </c>
      <c r="N120" s="13">
        <v>2.2000000000000001E-3</v>
      </c>
      <c r="O120" t="s">
        <v>38</v>
      </c>
      <c r="Q120">
        <f t="shared" si="29"/>
        <v>33.007650000000766</v>
      </c>
      <c r="R120">
        <f t="shared" si="30"/>
        <v>19.507650000000766</v>
      </c>
      <c r="S120">
        <f t="shared" si="31"/>
        <v>9019.2134100000003</v>
      </c>
      <c r="U120">
        <f t="shared" si="17"/>
        <v>3.108047</v>
      </c>
      <c r="V120">
        <f t="shared" si="32"/>
        <v>1649.99999136</v>
      </c>
      <c r="W120">
        <f t="shared" si="18"/>
        <v>6.0606916500001411</v>
      </c>
      <c r="X120">
        <f t="shared" si="19"/>
        <v>3.3060606743700003</v>
      </c>
      <c r="Y120">
        <f t="shared" si="20"/>
        <v>2.7546309756301408</v>
      </c>
      <c r="Z120">
        <f t="shared" si="21"/>
        <v>50981.593734905546</v>
      </c>
      <c r="AB120">
        <f t="shared" si="22"/>
        <v>3.543596</v>
      </c>
      <c r="AC120">
        <f t="shared" si="23"/>
        <v>1881.2242444799999</v>
      </c>
      <c r="AD120">
        <f t="shared" si="24"/>
        <v>6.9100122000001614</v>
      </c>
      <c r="AE120">
        <f t="shared" si="25"/>
        <v>3.7693585011600006</v>
      </c>
      <c r="AF120">
        <f t="shared" si="26"/>
        <v>3.1406536988401608</v>
      </c>
      <c r="AG120">
        <f t="shared" si="34"/>
        <v>18815.384312620787</v>
      </c>
      <c r="AH120" t="b">
        <f t="shared" si="28"/>
        <v>1</v>
      </c>
    </row>
    <row r="121" spans="4:34" x14ac:dyDescent="0.4">
      <c r="D121" t="s">
        <v>56</v>
      </c>
      <c r="E121" t="s">
        <v>37</v>
      </c>
      <c r="F121" s="9">
        <v>46018.75</v>
      </c>
      <c r="G121" s="12">
        <v>2927.06</v>
      </c>
      <c r="H121" s="9">
        <v>46021.25</v>
      </c>
      <c r="I121" s="12">
        <v>2938.64</v>
      </c>
      <c r="J121">
        <v>2.0255999999999998</v>
      </c>
      <c r="K121" s="12">
        <v>5929.06</v>
      </c>
      <c r="L121">
        <v>8.91</v>
      </c>
      <c r="M121" s="12">
        <v>14.55</v>
      </c>
      <c r="N121" s="13">
        <v>2.5000000000000001E-3</v>
      </c>
      <c r="O121" t="s">
        <v>57</v>
      </c>
      <c r="Q121">
        <f t="shared" si="29"/>
        <v>23.456447999999853</v>
      </c>
      <c r="R121">
        <f t="shared" si="30"/>
        <v>14.546447999999852</v>
      </c>
      <c r="S121">
        <f t="shared" si="31"/>
        <v>5952.5091839999995</v>
      </c>
      <c r="U121">
        <f t="shared" si="17"/>
        <v>0.56370600000000004</v>
      </c>
      <c r="V121">
        <f t="shared" si="32"/>
        <v>1650.00128436</v>
      </c>
      <c r="W121">
        <f t="shared" si="18"/>
        <v>6.5277154799999595</v>
      </c>
      <c r="X121">
        <f t="shared" si="19"/>
        <v>3.3065302842000004</v>
      </c>
      <c r="Y121">
        <f t="shared" si="20"/>
        <v>3.2211851957999591</v>
      </c>
      <c r="Z121">
        <f t="shared" si="21"/>
        <v>50978.839103929917</v>
      </c>
      <c r="AB121">
        <f t="shared" si="22"/>
        <v>0.64257600000000004</v>
      </c>
      <c r="AC121">
        <f t="shared" si="23"/>
        <v>1880.85850656</v>
      </c>
      <c r="AD121">
        <f t="shared" si="24"/>
        <v>7.4410300799999538</v>
      </c>
      <c r="AE121">
        <f t="shared" si="25"/>
        <v>3.7691580432000005</v>
      </c>
      <c r="AF121">
        <f t="shared" si="26"/>
        <v>3.6718720367999533</v>
      </c>
      <c r="AG121">
        <f t="shared" si="34"/>
        <v>18812.243658921947</v>
      </c>
      <c r="AH121" t="b">
        <f t="shared" si="28"/>
        <v>1</v>
      </c>
    </row>
    <row r="122" spans="4:34" x14ac:dyDescent="0.4">
      <c r="D122" t="s">
        <v>53</v>
      </c>
      <c r="E122" t="s">
        <v>37</v>
      </c>
      <c r="F122" s="9">
        <v>46019.208333333336</v>
      </c>
      <c r="G122">
        <v>842.61</v>
      </c>
      <c r="H122" s="9">
        <v>46021.208333333336</v>
      </c>
      <c r="I122">
        <v>851.65</v>
      </c>
      <c r="J122">
        <v>11.68</v>
      </c>
      <c r="K122" s="12">
        <v>9842.1200000000008</v>
      </c>
      <c r="L122">
        <v>14.84</v>
      </c>
      <c r="M122" s="12">
        <v>90.75</v>
      </c>
      <c r="N122" s="13">
        <v>9.1999999999999998E-3</v>
      </c>
      <c r="O122" t="s">
        <v>38</v>
      </c>
      <c r="Q122">
        <f t="shared" si="29"/>
        <v>105.58719999999957</v>
      </c>
      <c r="R122">
        <f t="shared" si="30"/>
        <v>90.747199999999566</v>
      </c>
      <c r="S122">
        <f t="shared" si="31"/>
        <v>9947.271999999999</v>
      </c>
      <c r="U122">
        <f t="shared" si="17"/>
        <v>1.9582010000000001</v>
      </c>
      <c r="V122">
        <f t="shared" si="32"/>
        <v>1649.9997446100001</v>
      </c>
      <c r="W122">
        <f t="shared" si="18"/>
        <v>17.702137039999929</v>
      </c>
      <c r="X122">
        <f t="shared" si="19"/>
        <v>3.3177016262600003</v>
      </c>
      <c r="Y122">
        <f t="shared" si="20"/>
        <v>14.384435413739929</v>
      </c>
      <c r="Z122">
        <f t="shared" si="21"/>
        <v>50975.617918734119</v>
      </c>
      <c r="AB122">
        <f t="shared" si="22"/>
        <v>2.2302360000000001</v>
      </c>
      <c r="AC122">
        <f t="shared" si="23"/>
        <v>1879.2191559600001</v>
      </c>
      <c r="AD122">
        <f t="shared" si="24"/>
        <v>20.161333439999918</v>
      </c>
      <c r="AE122">
        <f t="shared" si="25"/>
        <v>3.7785996453600004</v>
      </c>
      <c r="AF122">
        <f t="shared" si="26"/>
        <v>16.382733794639918</v>
      </c>
      <c r="AG122">
        <f t="shared" si="34"/>
        <v>18808.571786885146</v>
      </c>
      <c r="AH122" t="b">
        <f t="shared" si="28"/>
        <v>1</v>
      </c>
    </row>
    <row r="123" spans="4:34" x14ac:dyDescent="0.4">
      <c r="D123" t="s">
        <v>55</v>
      </c>
      <c r="E123" t="s">
        <v>37</v>
      </c>
      <c r="F123" s="9">
        <v>46019.166666666664</v>
      </c>
      <c r="G123">
        <v>4.0899999999999998E-5</v>
      </c>
      <c r="H123" s="9">
        <v>46021.166666666664</v>
      </c>
      <c r="I123">
        <v>3.79E-5</v>
      </c>
      <c r="J123" s="12">
        <v>159916095.25</v>
      </c>
      <c r="K123" s="12">
        <v>6540.57</v>
      </c>
      <c r="L123">
        <v>9.4499999999999993</v>
      </c>
      <c r="M123">
        <v>-489.2</v>
      </c>
      <c r="N123" s="13">
        <v>-7.4800000000000005E-2</v>
      </c>
      <c r="O123" t="s">
        <v>38</v>
      </c>
      <c r="Q123">
        <f t="shared" si="29"/>
        <v>-479.74828574999975</v>
      </c>
      <c r="R123">
        <f t="shared" si="30"/>
        <v>-489.19828574999974</v>
      </c>
      <c r="S123">
        <f t="shared" si="31"/>
        <v>6060.8200099750002</v>
      </c>
      <c r="U123">
        <f t="shared" si="17"/>
        <v>40342298.288508996</v>
      </c>
      <c r="V123">
        <f t="shared" si="32"/>
        <v>1650.000000000018</v>
      </c>
      <c r="W123">
        <f t="shared" si="18"/>
        <v>-121.02689486552693</v>
      </c>
      <c r="X123">
        <f t="shared" si="19"/>
        <v>3.1789731051345087</v>
      </c>
      <c r="Y123">
        <f t="shared" si="20"/>
        <v>-124.20586797066143</v>
      </c>
      <c r="Z123">
        <f t="shared" si="21"/>
        <v>50961.233483320379</v>
      </c>
      <c r="AB123">
        <f t="shared" si="22"/>
        <v>46295165.300779</v>
      </c>
      <c r="AC123">
        <f t="shared" si="23"/>
        <v>1893.472260801861</v>
      </c>
      <c r="AD123">
        <f t="shared" si="24"/>
        <v>-138.88549590233691</v>
      </c>
      <c r="AE123">
        <f t="shared" si="25"/>
        <v>3.648059025701385</v>
      </c>
      <c r="AF123">
        <f t="shared" si="26"/>
        <v>-142.53355492803828</v>
      </c>
      <c r="AG123">
        <f t="shared" si="34"/>
        <v>18792.189053090508</v>
      </c>
      <c r="AH123" t="b">
        <f t="shared" si="28"/>
        <v>1</v>
      </c>
    </row>
    <row r="124" spans="4:34" x14ac:dyDescent="0.4">
      <c r="D124" t="s">
        <v>43</v>
      </c>
      <c r="E124" t="s">
        <v>37</v>
      </c>
      <c r="F124" s="9">
        <v>46019.125</v>
      </c>
      <c r="G124">
        <v>1.4491000000000001</v>
      </c>
      <c r="H124" s="9">
        <v>46021.125</v>
      </c>
      <c r="I124">
        <v>1.4286000000000001</v>
      </c>
      <c r="J124" s="12">
        <v>1328.3</v>
      </c>
      <c r="K124" s="12">
        <v>1924.95</v>
      </c>
      <c r="L124">
        <v>2.87</v>
      </c>
      <c r="M124">
        <v>-30.1</v>
      </c>
      <c r="N124" s="13">
        <v>-1.5599999999999999E-2</v>
      </c>
      <c r="O124" t="s">
        <v>38</v>
      </c>
      <c r="Q124">
        <f t="shared" si="29"/>
        <v>-27.230149999999949</v>
      </c>
      <c r="R124">
        <f t="shared" si="30"/>
        <v>-30.10014999999995</v>
      </c>
      <c r="S124">
        <f t="shared" si="31"/>
        <v>1897.6093800000001</v>
      </c>
      <c r="U124">
        <f t="shared" si="17"/>
        <v>1138.6377749999999</v>
      </c>
      <c r="V124">
        <f t="shared" si="32"/>
        <v>1649.9999997524999</v>
      </c>
      <c r="W124">
        <f t="shared" si="18"/>
        <v>-23.342074387499956</v>
      </c>
      <c r="X124">
        <f t="shared" si="19"/>
        <v>3.2766579251174996</v>
      </c>
      <c r="Y124">
        <f t="shared" si="20"/>
        <v>-26.618732312617457</v>
      </c>
      <c r="Z124">
        <f t="shared" si="21"/>
        <v>51085.439351291039</v>
      </c>
      <c r="AB124">
        <f t="shared" si="22"/>
        <v>1308.765339</v>
      </c>
      <c r="AC124">
        <f t="shared" si="23"/>
        <v>1896.5318527449001</v>
      </c>
      <c r="AD124">
        <f t="shared" si="24"/>
        <v>-26.829689449499952</v>
      </c>
      <c r="AE124">
        <f t="shared" si="25"/>
        <v>3.7662340160403001</v>
      </c>
      <c r="AF124">
        <f t="shared" si="26"/>
        <v>-30.595923465540253</v>
      </c>
      <c r="AG124">
        <f t="shared" si="34"/>
        <v>18934.722608018546</v>
      </c>
      <c r="AH124" t="b">
        <f t="shared" si="28"/>
        <v>1</v>
      </c>
    </row>
    <row r="125" spans="4:34" x14ac:dyDescent="0.4">
      <c r="D125" t="s">
        <v>52</v>
      </c>
      <c r="E125" t="s">
        <v>37</v>
      </c>
      <c r="F125" s="9">
        <v>46019.125</v>
      </c>
      <c r="G125" s="12">
        <v>3.0750000000000002</v>
      </c>
      <c r="H125" s="9">
        <v>46021.125</v>
      </c>
      <c r="I125" s="12">
        <v>2.8690000000000002</v>
      </c>
      <c r="J125">
        <v>880.43</v>
      </c>
      <c r="K125" s="12">
        <v>2707.35</v>
      </c>
      <c r="L125">
        <v>3.92</v>
      </c>
      <c r="M125">
        <v>-185.29</v>
      </c>
      <c r="N125" s="13">
        <v>-6.8400000000000002E-2</v>
      </c>
      <c r="O125" t="s">
        <v>38</v>
      </c>
      <c r="Q125">
        <f t="shared" si="29"/>
        <v>-181.36857999999995</v>
      </c>
      <c r="R125">
        <f t="shared" si="30"/>
        <v>-185.28857999999994</v>
      </c>
      <c r="S125">
        <f t="shared" si="31"/>
        <v>2525.9536699999999</v>
      </c>
      <c r="U125">
        <f t="shared" si="17"/>
        <v>536.58536600000002</v>
      </c>
      <c r="V125">
        <f t="shared" si="32"/>
        <v>1650.0000004500002</v>
      </c>
      <c r="W125">
        <f t="shared" si="18"/>
        <v>-110.53658539599998</v>
      </c>
      <c r="X125">
        <f t="shared" si="19"/>
        <v>3.1894634155040009</v>
      </c>
      <c r="Y125">
        <f t="shared" si="20"/>
        <v>-113.72604881150397</v>
      </c>
      <c r="Z125">
        <f t="shared" si="21"/>
        <v>51112.058083603653</v>
      </c>
      <c r="AB125">
        <f t="shared" si="22"/>
        <v>621.03882899999996</v>
      </c>
      <c r="AC125">
        <f t="shared" si="23"/>
        <v>1909.6943991749999</v>
      </c>
      <c r="AD125">
        <f t="shared" si="24"/>
        <v>-127.93399877399997</v>
      </c>
      <c r="AE125">
        <f t="shared" si="25"/>
        <v>3.6914547995760008</v>
      </c>
      <c r="AF125">
        <f t="shared" si="26"/>
        <v>-131.62545357357598</v>
      </c>
      <c r="AG125">
        <f t="shared" si="34"/>
        <v>18965.318531484088</v>
      </c>
      <c r="AH125" t="b">
        <f t="shared" si="28"/>
        <v>1</v>
      </c>
    </row>
    <row r="126" spans="4:34" x14ac:dyDescent="0.4">
      <c r="D126" t="s">
        <v>48</v>
      </c>
      <c r="E126" t="s">
        <v>37</v>
      </c>
      <c r="F126" s="9">
        <v>46018.583333333336</v>
      </c>
      <c r="G126">
        <v>8.3599999999999994E-2</v>
      </c>
      <c r="H126" s="9">
        <v>46020.583333333336</v>
      </c>
      <c r="I126">
        <v>8.1000000000000003E-2</v>
      </c>
      <c r="J126" s="12">
        <v>52261.1</v>
      </c>
      <c r="K126" s="12">
        <v>4369.03</v>
      </c>
      <c r="L126">
        <v>6.45</v>
      </c>
      <c r="M126">
        <v>-142.33000000000001</v>
      </c>
      <c r="N126" s="13">
        <v>-3.2599999999999997E-2</v>
      </c>
      <c r="O126" t="s">
        <v>38</v>
      </c>
      <c r="Q126">
        <f t="shared" si="29"/>
        <v>-135.87885999999955</v>
      </c>
      <c r="R126">
        <f t="shared" si="30"/>
        <v>-142.32885999999954</v>
      </c>
      <c r="S126">
        <f t="shared" si="31"/>
        <v>4233.1490999999996</v>
      </c>
      <c r="U126">
        <f t="shared" si="17"/>
        <v>19736.842105</v>
      </c>
      <c r="V126">
        <f t="shared" si="32"/>
        <v>1649.9999999779998</v>
      </c>
      <c r="W126">
        <f t="shared" si="18"/>
        <v>-51.315789472999825</v>
      </c>
      <c r="X126">
        <f t="shared" si="19"/>
        <v>3.2486842104829998</v>
      </c>
      <c r="Y126">
        <f t="shared" si="20"/>
        <v>-54.564473683482824</v>
      </c>
      <c r="Z126">
        <f t="shared" si="21"/>
        <v>51225.78413241516</v>
      </c>
      <c r="AB126">
        <f t="shared" si="22"/>
        <v>22919.026226000002</v>
      </c>
      <c r="AC126">
        <f t="shared" si="23"/>
        <v>1916.0305924935999</v>
      </c>
      <c r="AD126">
        <f t="shared" si="24"/>
        <v>-59.589468187599806</v>
      </c>
      <c r="AE126">
        <f t="shared" si="25"/>
        <v>3.7724717167996</v>
      </c>
      <c r="AF126">
        <f t="shared" si="26"/>
        <v>-63.361939904399406</v>
      </c>
      <c r="AG126">
        <f t="shared" si="34"/>
        <v>19096.943985057664</v>
      </c>
      <c r="AH126" t="b">
        <f t="shared" si="28"/>
        <v>1</v>
      </c>
    </row>
    <row r="127" spans="4:34" x14ac:dyDescent="0.4">
      <c r="D127" t="s">
        <v>50</v>
      </c>
      <c r="E127" t="s">
        <v>37</v>
      </c>
      <c r="F127" s="9">
        <v>46018.041666666664</v>
      </c>
      <c r="G127">
        <v>216.7</v>
      </c>
      <c r="H127" s="9">
        <v>46020.041666666664</v>
      </c>
      <c r="I127">
        <v>225.5</v>
      </c>
      <c r="J127">
        <v>64.577500000000001</v>
      </c>
      <c r="K127" s="12">
        <v>13993.96</v>
      </c>
      <c r="L127">
        <v>21.42</v>
      </c>
      <c r="M127">
        <v>546.86</v>
      </c>
      <c r="N127" s="13">
        <v>3.9100000000000003E-2</v>
      </c>
      <c r="O127" t="s">
        <v>38</v>
      </c>
      <c r="Q127">
        <f t="shared" si="29"/>
        <v>568.28200000000072</v>
      </c>
      <c r="R127">
        <f t="shared" si="30"/>
        <v>546.86200000000076</v>
      </c>
      <c r="S127">
        <f t="shared" si="31"/>
        <v>14562.22625</v>
      </c>
      <c r="U127">
        <f t="shared" si="17"/>
        <v>7.6142130000000003</v>
      </c>
      <c r="V127">
        <f t="shared" si="32"/>
        <v>1649.9999571000001</v>
      </c>
      <c r="W127">
        <f t="shared" si="18"/>
        <v>67.005074400000083</v>
      </c>
      <c r="X127">
        <f t="shared" si="19"/>
        <v>3.3670049886000002</v>
      </c>
      <c r="Y127">
        <f t="shared" si="20"/>
        <v>63.638069411400082</v>
      </c>
      <c r="Z127">
        <f t="shared" si="21"/>
        <v>51280.34860609864</v>
      </c>
      <c r="AB127">
        <f t="shared" si="22"/>
        <v>8.8078869999999991</v>
      </c>
      <c r="AC127">
        <f t="shared" si="23"/>
        <v>1908.6691128999996</v>
      </c>
      <c r="AD127">
        <f t="shared" si="24"/>
        <v>77.509405600000093</v>
      </c>
      <c r="AE127">
        <f t="shared" si="25"/>
        <v>3.8948476313999993</v>
      </c>
      <c r="AF127">
        <f t="shared" si="26"/>
        <v>73.614557968600096</v>
      </c>
      <c r="AG127">
        <f t="shared" si="34"/>
        <v>19160.305924962064</v>
      </c>
      <c r="AH127" t="b">
        <f t="shared" si="28"/>
        <v>1</v>
      </c>
    </row>
    <row r="128" spans="4:34" x14ac:dyDescent="0.4">
      <c r="D128" t="s">
        <v>40</v>
      </c>
      <c r="E128" t="s">
        <v>41</v>
      </c>
      <c r="F128" s="9">
        <v>46018.416666666664</v>
      </c>
      <c r="G128">
        <v>485.82</v>
      </c>
      <c r="H128" s="9">
        <v>46019.75</v>
      </c>
      <c r="I128">
        <v>535.24</v>
      </c>
      <c r="J128" s="12">
        <v>18.314</v>
      </c>
      <c r="K128" s="12">
        <v>8897.4500000000007</v>
      </c>
      <c r="L128">
        <v>14.02</v>
      </c>
      <c r="M128">
        <v>891.05</v>
      </c>
      <c r="N128" s="13">
        <v>0.10009999999999999</v>
      </c>
      <c r="O128" t="s">
        <v>38</v>
      </c>
      <c r="Q128">
        <f t="shared" si="29"/>
        <v>905.07788000000028</v>
      </c>
      <c r="R128">
        <f t="shared" si="30"/>
        <v>891.0578800000003</v>
      </c>
      <c r="S128">
        <f t="shared" si="31"/>
        <v>9802.3853600000002</v>
      </c>
      <c r="U128">
        <f t="shared" si="17"/>
        <v>3.3963199999999998</v>
      </c>
      <c r="V128">
        <f t="shared" si="32"/>
        <v>1650.0001823999999</v>
      </c>
      <c r="W128">
        <f t="shared" si="18"/>
        <v>167.84613440000004</v>
      </c>
      <c r="X128">
        <f t="shared" si="19"/>
        <v>3.4678464991999993</v>
      </c>
      <c r="Y128">
        <f t="shared" si="20"/>
        <v>164.37828790080005</v>
      </c>
      <c r="Z128">
        <f t="shared" si="21"/>
        <v>51216.710536687242</v>
      </c>
      <c r="AB128">
        <f t="shared" si="22"/>
        <v>3.8900039999999998</v>
      </c>
      <c r="AC128">
        <f t="shared" si="23"/>
        <v>1889.8417432799999</v>
      </c>
      <c r="AD128">
        <f t="shared" si="24"/>
        <v>192.24399768000006</v>
      </c>
      <c r="AE128">
        <f t="shared" si="25"/>
        <v>3.9719274842399992</v>
      </c>
      <c r="AF128">
        <f t="shared" si="26"/>
        <v>188.27207019576005</v>
      </c>
      <c r="AG128">
        <f t="shared" si="34"/>
        <v>19086.691366993462</v>
      </c>
      <c r="AH128" t="b">
        <f t="shared" si="28"/>
        <v>1</v>
      </c>
    </row>
    <row r="129" spans="4:34" x14ac:dyDescent="0.4">
      <c r="D129" t="s">
        <v>60</v>
      </c>
      <c r="E129" t="s">
        <v>37</v>
      </c>
      <c r="F129" s="9">
        <v>46017.125</v>
      </c>
      <c r="G129" s="12">
        <v>1.8684000000000001</v>
      </c>
      <c r="H129" s="9">
        <v>46019.625</v>
      </c>
      <c r="I129">
        <v>1.8703000000000001</v>
      </c>
      <c r="J129" s="12">
        <v>1211.7</v>
      </c>
      <c r="K129" s="12">
        <v>2264.1</v>
      </c>
      <c r="L129">
        <v>3.4</v>
      </c>
      <c r="M129" s="12">
        <v>-1.1000000000000001</v>
      </c>
      <c r="N129" s="13">
        <v>-5.0000000000000001E-4</v>
      </c>
      <c r="O129" t="s">
        <v>57</v>
      </c>
      <c r="Q129">
        <f t="shared" si="29"/>
        <v>2.3022300000000158</v>
      </c>
      <c r="R129">
        <f t="shared" si="30"/>
        <v>-1.0977699999999841</v>
      </c>
      <c r="S129">
        <f t="shared" si="31"/>
        <v>2266.24251</v>
      </c>
      <c r="U129">
        <f t="shared" si="17"/>
        <v>883.10854200000006</v>
      </c>
      <c r="V129">
        <f t="shared" si="32"/>
        <v>1649.9999998728001</v>
      </c>
      <c r="W129">
        <f t="shared" si="18"/>
        <v>1.6779062298000114</v>
      </c>
      <c r="X129">
        <f t="shared" si="19"/>
        <v>3.3016779059754002</v>
      </c>
      <c r="Y129">
        <f t="shared" si="20"/>
        <v>-1.6237716761753889</v>
      </c>
      <c r="Z129">
        <f t="shared" si="21"/>
        <v>51052.332248786443</v>
      </c>
      <c r="AB129">
        <f t="shared" si="22"/>
        <v>1011.575641</v>
      </c>
      <c r="AC129">
        <f t="shared" si="23"/>
        <v>1890.0279276444001</v>
      </c>
      <c r="AD129">
        <f t="shared" si="24"/>
        <v>1.9219937179000131</v>
      </c>
      <c r="AE129">
        <f t="shared" si="25"/>
        <v>3.7819778490067004</v>
      </c>
      <c r="AF129">
        <f t="shared" si="26"/>
        <v>-1.8599841311066874</v>
      </c>
      <c r="AG129">
        <f t="shared" si="34"/>
        <v>18898.419296797703</v>
      </c>
      <c r="AH129" t="b">
        <f t="shared" si="28"/>
        <v>1</v>
      </c>
    </row>
    <row r="130" spans="4:34" x14ac:dyDescent="0.4">
      <c r="D130" t="s">
        <v>59</v>
      </c>
      <c r="E130" t="s">
        <v>37</v>
      </c>
      <c r="F130" s="9">
        <v>46017.083333333336</v>
      </c>
      <c r="G130" s="12">
        <v>87391.97</v>
      </c>
      <c r="H130" s="9">
        <v>46019.583333333336</v>
      </c>
      <c r="I130" s="12">
        <v>87841.86</v>
      </c>
      <c r="J130">
        <v>0.12266000000000001</v>
      </c>
      <c r="K130" s="12">
        <v>10719.94</v>
      </c>
      <c r="L130">
        <v>16.12</v>
      </c>
      <c r="M130">
        <v>39.06</v>
      </c>
      <c r="N130" s="13">
        <v>3.5999999999999999E-3</v>
      </c>
      <c r="O130" t="s">
        <v>57</v>
      </c>
      <c r="Q130">
        <f t="shared" si="29"/>
        <v>55.183507399999932</v>
      </c>
      <c r="R130">
        <f t="shared" si="30"/>
        <v>39.063507399999935</v>
      </c>
      <c r="S130">
        <f t="shared" si="31"/>
        <v>10774.682547600001</v>
      </c>
      <c r="U130">
        <f t="shared" si="17"/>
        <v>1.8880000000000001E-2</v>
      </c>
      <c r="V130">
        <f t="shared" si="32"/>
        <v>1649.9603936000001</v>
      </c>
      <c r="W130">
        <f t="shared" si="18"/>
        <v>8.4939231999999887</v>
      </c>
      <c r="X130">
        <f t="shared" si="19"/>
        <v>3.3084147104000006</v>
      </c>
      <c r="Y130">
        <f t="shared" si="20"/>
        <v>5.1855084895999877</v>
      </c>
      <c r="Z130">
        <f t="shared" si="21"/>
        <v>51053.956020462618</v>
      </c>
      <c r="AB130">
        <f t="shared" si="22"/>
        <v>2.162E-2</v>
      </c>
      <c r="AC130">
        <f t="shared" si="23"/>
        <v>1889.4143914000001</v>
      </c>
      <c r="AD130">
        <f t="shared" si="24"/>
        <v>9.7266217999999878</v>
      </c>
      <c r="AE130">
        <f t="shared" si="25"/>
        <v>3.7885554046000003</v>
      </c>
      <c r="AF130">
        <f t="shared" si="26"/>
        <v>5.9380663953999875</v>
      </c>
      <c r="AG130">
        <f t="shared" si="34"/>
        <v>18900.279280928811</v>
      </c>
      <c r="AH130" t="b">
        <f t="shared" si="28"/>
        <v>1</v>
      </c>
    </row>
    <row r="131" spans="4:34" x14ac:dyDescent="0.4">
      <c r="D131" t="s">
        <v>43</v>
      </c>
      <c r="E131" t="s">
        <v>37</v>
      </c>
      <c r="F131" s="9">
        <v>46017.125</v>
      </c>
      <c r="G131">
        <v>1.4076</v>
      </c>
      <c r="H131" s="9">
        <v>46019.125</v>
      </c>
      <c r="I131">
        <v>1.4491000000000001</v>
      </c>
      <c r="J131" s="12">
        <v>1363.7</v>
      </c>
      <c r="K131" s="12">
        <v>1919.58</v>
      </c>
      <c r="L131">
        <v>2.92</v>
      </c>
      <c r="M131">
        <v>53.67</v>
      </c>
      <c r="N131" s="13">
        <v>2.8000000000000001E-2</v>
      </c>
      <c r="O131" t="s">
        <v>38</v>
      </c>
      <c r="Q131">
        <f t="shared" si="29"/>
        <v>56.593550000000128</v>
      </c>
      <c r="R131">
        <f t="shared" si="30"/>
        <v>53.673550000000127</v>
      </c>
      <c r="S131">
        <f t="shared" si="31"/>
        <v>1976.1376700000001</v>
      </c>
      <c r="U131">
        <f t="shared" si="17"/>
        <v>1172.208014</v>
      </c>
      <c r="V131">
        <f t="shared" si="32"/>
        <v>1650.0000005064001</v>
      </c>
      <c r="W131">
        <f t="shared" si="18"/>
        <v>48.646632581000112</v>
      </c>
      <c r="X131">
        <f t="shared" si="19"/>
        <v>3.3486466335938005</v>
      </c>
      <c r="Y131">
        <f t="shared" si="20"/>
        <v>45.29798594740631</v>
      </c>
      <c r="Z131">
        <f t="shared" si="21"/>
        <v>51048.770511973016</v>
      </c>
      <c r="AB131">
        <f t="shared" si="22"/>
        <v>1338.6339849999999</v>
      </c>
      <c r="AC131">
        <f t="shared" si="23"/>
        <v>1884.261197286</v>
      </c>
      <c r="AD131">
        <f t="shared" si="24"/>
        <v>55.553310377500118</v>
      </c>
      <c r="AE131">
        <f t="shared" si="25"/>
        <v>3.8240757049495002</v>
      </c>
      <c r="AF131">
        <f t="shared" si="26"/>
        <v>51.729234672550618</v>
      </c>
      <c r="AG131">
        <f t="shared" si="34"/>
        <v>18894.341214533411</v>
      </c>
      <c r="AH131" t="b">
        <f t="shared" si="28"/>
        <v>1</v>
      </c>
    </row>
    <row r="132" spans="4:34" x14ac:dyDescent="0.4">
      <c r="D132" t="s">
        <v>54</v>
      </c>
      <c r="E132" t="s">
        <v>37</v>
      </c>
      <c r="F132" s="9">
        <v>46017.125</v>
      </c>
      <c r="G132">
        <v>123.36</v>
      </c>
      <c r="H132" s="9">
        <v>46019.125</v>
      </c>
      <c r="I132">
        <v>124.15</v>
      </c>
      <c r="J132">
        <v>41.326000000000001</v>
      </c>
      <c r="K132" s="12">
        <v>5098.04</v>
      </c>
      <c r="L132">
        <v>7.67</v>
      </c>
      <c r="M132">
        <v>24.98</v>
      </c>
      <c r="N132" s="13">
        <v>4.8999999999999998E-3</v>
      </c>
      <c r="O132" t="s">
        <v>38</v>
      </c>
      <c r="Q132">
        <f t="shared" si="29"/>
        <v>32.647540000000262</v>
      </c>
      <c r="R132">
        <f t="shared" si="30"/>
        <v>24.977540000000261</v>
      </c>
      <c r="S132">
        <f t="shared" si="31"/>
        <v>5130.6229000000003</v>
      </c>
      <c r="U132">
        <f t="shared" si="17"/>
        <v>13.375486</v>
      </c>
      <c r="V132">
        <f t="shared" si="32"/>
        <v>1649.99995296</v>
      </c>
      <c r="W132">
        <f t="shared" si="18"/>
        <v>10.566633940000084</v>
      </c>
      <c r="X132">
        <f t="shared" si="19"/>
        <v>3.3105665398600004</v>
      </c>
      <c r="Y132">
        <f t="shared" si="20"/>
        <v>7.2560674001400844</v>
      </c>
      <c r="Z132">
        <f t="shared" si="21"/>
        <v>51003.472526025609</v>
      </c>
      <c r="AB132">
        <f t="shared" si="22"/>
        <v>15.267777000000001</v>
      </c>
      <c r="AC132">
        <f t="shared" si="23"/>
        <v>1883.43297072</v>
      </c>
      <c r="AD132">
        <f t="shared" si="24"/>
        <v>12.061543830000096</v>
      </c>
      <c r="AE132">
        <f t="shared" si="25"/>
        <v>3.7789274852700001</v>
      </c>
      <c r="AF132">
        <f t="shared" si="26"/>
        <v>8.282616344730096</v>
      </c>
      <c r="AG132">
        <f t="shared" si="34"/>
        <v>18842.61197986086</v>
      </c>
      <c r="AH132" t="b">
        <f t="shared" si="28"/>
        <v>1</v>
      </c>
    </row>
    <row r="133" spans="4:34" x14ac:dyDescent="0.4">
      <c r="D133" t="s">
        <v>55</v>
      </c>
      <c r="E133" t="s">
        <v>37</v>
      </c>
      <c r="F133" s="9">
        <v>46017.125</v>
      </c>
      <c r="G133">
        <v>4.0429999999999997E-5</v>
      </c>
      <c r="H133" s="9">
        <v>46019.125</v>
      </c>
      <c r="I133">
        <v>4.0859999999999998E-5</v>
      </c>
      <c r="J133" s="12">
        <v>161627596.15000001</v>
      </c>
      <c r="K133" s="12">
        <v>6534.6</v>
      </c>
      <c r="L133">
        <v>9.85</v>
      </c>
      <c r="M133">
        <v>59.65</v>
      </c>
      <c r="N133" s="13">
        <v>9.1000000000000004E-3</v>
      </c>
      <c r="O133" t="s">
        <v>38</v>
      </c>
      <c r="Q133">
        <f t="shared" si="29"/>
        <v>69.499866344500163</v>
      </c>
      <c r="R133">
        <f t="shared" si="30"/>
        <v>59.649866344500161</v>
      </c>
      <c r="S133">
        <f t="shared" si="31"/>
        <v>6604.1035786889997</v>
      </c>
      <c r="U133">
        <f t="shared" si="17"/>
        <v>40811278.753400996</v>
      </c>
      <c r="V133">
        <f t="shared" si="32"/>
        <v>1650.0000000000023</v>
      </c>
      <c r="W133">
        <f t="shared" si="18"/>
        <v>17.548849863962467</v>
      </c>
      <c r="X133">
        <f t="shared" si="19"/>
        <v>3.3175488498639671</v>
      </c>
      <c r="Y133">
        <f t="shared" si="20"/>
        <v>14.231301014098499</v>
      </c>
      <c r="Z133">
        <f t="shared" si="21"/>
        <v>50996.216458625466</v>
      </c>
      <c r="AB133">
        <f t="shared" si="22"/>
        <v>46544889.179347999</v>
      </c>
      <c r="AC133">
        <f t="shared" si="23"/>
        <v>1881.8098695210394</v>
      </c>
      <c r="AD133">
        <f t="shared" si="24"/>
        <v>20.014302347119685</v>
      </c>
      <c r="AE133">
        <f t="shared" si="25"/>
        <v>3.7836340413891993</v>
      </c>
      <c r="AF133">
        <f t="shared" si="26"/>
        <v>16.230668305730486</v>
      </c>
      <c r="AG133">
        <f t="shared" si="34"/>
        <v>18834.329363516128</v>
      </c>
      <c r="AH133" t="b">
        <f t="shared" si="28"/>
        <v>1</v>
      </c>
    </row>
    <row r="134" spans="4:34" x14ac:dyDescent="0.4">
      <c r="D134" t="s">
        <v>58</v>
      </c>
      <c r="E134" t="s">
        <v>37</v>
      </c>
      <c r="F134" s="9">
        <v>46017.125</v>
      </c>
      <c r="G134">
        <v>12.38</v>
      </c>
      <c r="H134" s="9">
        <v>46019.125</v>
      </c>
      <c r="I134">
        <v>12.47</v>
      </c>
      <c r="J134">
        <v>595.88</v>
      </c>
      <c r="K134" s="12">
        <v>7377.04</v>
      </c>
      <c r="L134">
        <v>11.11</v>
      </c>
      <c r="M134">
        <v>42.52</v>
      </c>
      <c r="N134" s="13">
        <v>5.7999999999999996E-3</v>
      </c>
      <c r="O134" t="s">
        <v>38</v>
      </c>
      <c r="Q134">
        <f t="shared" si="29"/>
        <v>53.629199999999912</v>
      </c>
      <c r="R134">
        <f t="shared" si="30"/>
        <v>42.519199999999913</v>
      </c>
      <c r="S134">
        <f t="shared" si="31"/>
        <v>7430.6235999999999</v>
      </c>
      <c r="U134">
        <f t="shared" si="17"/>
        <v>133.279483</v>
      </c>
      <c r="V134">
        <f t="shared" si="32"/>
        <v>1649.9999995400001</v>
      </c>
      <c r="W134">
        <f t="shared" si="18"/>
        <v>11.99515346999998</v>
      </c>
      <c r="X134">
        <f t="shared" si="19"/>
        <v>3.3119951525500002</v>
      </c>
      <c r="Y134">
        <f t="shared" si="20"/>
        <v>8.6831583174499798</v>
      </c>
      <c r="Z134">
        <f t="shared" si="21"/>
        <v>50981.985157611365</v>
      </c>
      <c r="AB134">
        <f t="shared" si="22"/>
        <v>151.92407800000001</v>
      </c>
      <c r="AC134">
        <f t="shared" si="23"/>
        <v>1880.8200856400001</v>
      </c>
      <c r="AD134">
        <f t="shared" si="24"/>
        <v>13.67316701999998</v>
      </c>
      <c r="AE134">
        <f t="shared" si="25"/>
        <v>3.7753133383000002</v>
      </c>
      <c r="AF134">
        <f t="shared" si="26"/>
        <v>9.8978536816999796</v>
      </c>
      <c r="AG134">
        <f t="shared" si="34"/>
        <v>18818.098695210396</v>
      </c>
      <c r="AH134" t="b">
        <f t="shared" si="28"/>
        <v>1</v>
      </c>
    </row>
    <row r="135" spans="4:34" x14ac:dyDescent="0.4">
      <c r="D135" t="s">
        <v>61</v>
      </c>
      <c r="E135" t="s">
        <v>37</v>
      </c>
      <c r="F135" s="9">
        <v>46017.125</v>
      </c>
      <c r="G135" s="12">
        <v>0.3548</v>
      </c>
      <c r="H135" s="9">
        <v>46019.125</v>
      </c>
      <c r="I135" s="12">
        <v>0.36899999999999999</v>
      </c>
      <c r="J135" s="12">
        <v>24072.2</v>
      </c>
      <c r="K135" s="12">
        <v>8540.84</v>
      </c>
      <c r="L135">
        <v>13.07</v>
      </c>
      <c r="M135">
        <v>328.76</v>
      </c>
      <c r="N135" s="13">
        <v>3.85E-2</v>
      </c>
      <c r="O135" t="s">
        <v>38</v>
      </c>
      <c r="Q135">
        <f t="shared" si="29"/>
        <v>341.82523999999978</v>
      </c>
      <c r="R135">
        <f t="shared" si="30"/>
        <v>328.75523999999979</v>
      </c>
      <c r="S135">
        <f t="shared" si="31"/>
        <v>8882.6417999999994</v>
      </c>
      <c r="U135">
        <f t="shared" si="17"/>
        <v>4650.5073279999997</v>
      </c>
      <c r="V135">
        <f t="shared" si="32"/>
        <v>1649.9999999744</v>
      </c>
      <c r="W135">
        <f t="shared" si="18"/>
        <v>66.037204057599951</v>
      </c>
      <c r="X135">
        <f t="shared" si="19"/>
        <v>3.3660372040063997</v>
      </c>
      <c r="Y135">
        <f t="shared" si="20"/>
        <v>62.671166853593547</v>
      </c>
      <c r="Z135">
        <f t="shared" si="21"/>
        <v>50973.301999293915</v>
      </c>
      <c r="AB135">
        <f t="shared" si="22"/>
        <v>5281.012643</v>
      </c>
      <c r="AC135">
        <f t="shared" si="23"/>
        <v>1873.7032857363999</v>
      </c>
      <c r="AD135">
        <f t="shared" si="24"/>
        <v>74.990379530599952</v>
      </c>
      <c r="AE135">
        <f t="shared" si="25"/>
        <v>3.8223969510034004</v>
      </c>
      <c r="AF135">
        <f t="shared" si="26"/>
        <v>71.167982579596554</v>
      </c>
      <c r="AG135">
        <f t="shared" si="34"/>
        <v>18808.200841528695</v>
      </c>
      <c r="AH135" t="b">
        <f t="shared" si="28"/>
        <v>1</v>
      </c>
    </row>
    <row r="136" spans="4:34" x14ac:dyDescent="0.4">
      <c r="D136" t="s">
        <v>52</v>
      </c>
      <c r="E136" t="s">
        <v>37</v>
      </c>
      <c r="F136" s="9">
        <v>46017.083333333336</v>
      </c>
      <c r="G136">
        <v>3.0230000000000001</v>
      </c>
      <c r="H136" s="9">
        <v>46019.083333333336</v>
      </c>
      <c r="I136">
        <v>3.056</v>
      </c>
      <c r="J136">
        <v>894.74</v>
      </c>
      <c r="K136" s="12">
        <v>2704.8</v>
      </c>
      <c r="L136">
        <v>4.08</v>
      </c>
      <c r="M136" s="12">
        <v>25.45</v>
      </c>
      <c r="N136" s="13">
        <v>9.4000000000000004E-3</v>
      </c>
      <c r="O136" t="s">
        <v>38</v>
      </c>
      <c r="Q136">
        <f t="shared" si="29"/>
        <v>29.526419999999927</v>
      </c>
      <c r="R136">
        <f t="shared" si="30"/>
        <v>25.446419999999925</v>
      </c>
      <c r="S136">
        <f t="shared" si="31"/>
        <v>2734.3254400000001</v>
      </c>
      <c r="U136">
        <f t="shared" si="17"/>
        <v>545.81541500000003</v>
      </c>
      <c r="V136">
        <f t="shared" si="32"/>
        <v>1649.9999995450003</v>
      </c>
      <c r="W136">
        <f t="shared" si="18"/>
        <v>18.011908694999956</v>
      </c>
      <c r="X136">
        <f t="shared" si="19"/>
        <v>3.3180119077850008</v>
      </c>
      <c r="Y136">
        <f t="shared" si="20"/>
        <v>14.693896787214955</v>
      </c>
      <c r="Z136">
        <f t="shared" si="21"/>
        <v>50910.630832440322</v>
      </c>
      <c r="AB136">
        <f t="shared" si="22"/>
        <v>619.26436100000001</v>
      </c>
      <c r="AC136">
        <f t="shared" si="23"/>
        <v>1872.0361633030002</v>
      </c>
      <c r="AD136">
        <f t="shared" si="24"/>
        <v>20.435723912999951</v>
      </c>
      <c r="AE136">
        <f t="shared" si="25"/>
        <v>3.7645080505190007</v>
      </c>
      <c r="AF136">
        <f t="shared" si="26"/>
        <v>16.671215862480949</v>
      </c>
      <c r="AG136">
        <f t="shared" si="34"/>
        <v>18737.032858949096</v>
      </c>
      <c r="AH136" t="b">
        <f t="shared" si="28"/>
        <v>1</v>
      </c>
    </row>
    <row r="137" spans="4:34" x14ac:dyDescent="0.4">
      <c r="D137" t="s">
        <v>53</v>
      </c>
      <c r="E137" t="s">
        <v>37</v>
      </c>
      <c r="F137" s="9">
        <v>46017.083333333336</v>
      </c>
      <c r="G137">
        <v>832.13</v>
      </c>
      <c r="H137" s="9">
        <v>46019.083333333336</v>
      </c>
      <c r="I137">
        <v>839.92</v>
      </c>
      <c r="J137">
        <v>11.818</v>
      </c>
      <c r="K137" s="12">
        <v>9834.39</v>
      </c>
      <c r="L137">
        <v>14.82</v>
      </c>
      <c r="M137">
        <v>77.239999999999995</v>
      </c>
      <c r="N137" s="13">
        <v>7.9000000000000008E-3</v>
      </c>
      <c r="O137" t="s">
        <v>38</v>
      </c>
      <c r="Q137">
        <f t="shared" si="29"/>
        <v>92.06221999999957</v>
      </c>
      <c r="R137">
        <f t="shared" si="30"/>
        <v>77.242219999999577</v>
      </c>
      <c r="S137">
        <f t="shared" si="31"/>
        <v>9926.1745599999995</v>
      </c>
      <c r="U137">
        <f t="shared" si="17"/>
        <v>1.982863</v>
      </c>
      <c r="V137">
        <f t="shared" si="32"/>
        <v>1649.9997881900001</v>
      </c>
      <c r="W137">
        <f t="shared" si="18"/>
        <v>15.446502769999928</v>
      </c>
      <c r="X137">
        <f t="shared" si="19"/>
        <v>3.31544607915</v>
      </c>
      <c r="Y137">
        <f t="shared" si="20"/>
        <v>12.131056690849928</v>
      </c>
      <c r="Z137">
        <f t="shared" si="21"/>
        <v>50895.93693565311</v>
      </c>
      <c r="AB137">
        <f t="shared" si="22"/>
        <v>2.2480389999999999</v>
      </c>
      <c r="AC137">
        <f t="shared" si="23"/>
        <v>1870.66069307</v>
      </c>
      <c r="AD137">
        <f t="shared" si="24"/>
        <v>17.512223809999917</v>
      </c>
      <c r="AE137">
        <f t="shared" si="25"/>
        <v>3.7588336099499999</v>
      </c>
      <c r="AF137">
        <f t="shared" si="26"/>
        <v>13.753390200049918</v>
      </c>
      <c r="AG137">
        <f t="shared" si="34"/>
        <v>18720.361643086617</v>
      </c>
      <c r="AH137" t="b">
        <f t="shared" si="28"/>
        <v>1</v>
      </c>
    </row>
    <row r="138" spans="4:34" x14ac:dyDescent="0.4">
      <c r="D138" t="s">
        <v>48</v>
      </c>
      <c r="E138" t="s">
        <v>37</v>
      </c>
      <c r="F138" s="9">
        <v>46016.583333333336</v>
      </c>
      <c r="G138">
        <v>7.9899999999999999E-2</v>
      </c>
      <c r="H138" s="9">
        <v>46018.583333333336</v>
      </c>
      <c r="I138">
        <v>8.3599999999999994E-2</v>
      </c>
      <c r="J138" s="12">
        <v>54437.4</v>
      </c>
      <c r="K138" s="12">
        <v>4349.5600000000004</v>
      </c>
      <c r="L138">
        <v>6.68</v>
      </c>
      <c r="M138">
        <v>194.74</v>
      </c>
      <c r="N138" s="13">
        <v>4.48E-2</v>
      </c>
      <c r="O138" t="s">
        <v>38</v>
      </c>
      <c r="Q138">
        <f t="shared" si="29"/>
        <v>201.41837999999973</v>
      </c>
      <c r="R138">
        <f t="shared" si="30"/>
        <v>194.73837999999972</v>
      </c>
      <c r="S138">
        <f t="shared" si="31"/>
        <v>4550.9666399999996</v>
      </c>
      <c r="U138">
        <f t="shared" si="17"/>
        <v>20650.813516999999</v>
      </c>
      <c r="V138">
        <f t="shared" si="32"/>
        <v>1650.0000000082998</v>
      </c>
      <c r="W138">
        <f t="shared" si="18"/>
        <v>76.408010012899894</v>
      </c>
      <c r="X138">
        <f t="shared" si="19"/>
        <v>3.3764080100294995</v>
      </c>
      <c r="Y138">
        <f t="shared" si="20"/>
        <v>73.0316020028704</v>
      </c>
      <c r="Z138">
        <f t="shared" si="21"/>
        <v>50883.805878962259</v>
      </c>
      <c r="AB138">
        <f t="shared" si="22"/>
        <v>23309.355092000002</v>
      </c>
      <c r="AC138">
        <f t="shared" si="23"/>
        <v>1862.4174718508002</v>
      </c>
      <c r="AD138">
        <f t="shared" si="24"/>
        <v>86.244613840399893</v>
      </c>
      <c r="AE138">
        <f t="shared" si="25"/>
        <v>3.811079557542</v>
      </c>
      <c r="AF138">
        <f t="shared" si="26"/>
        <v>82.433534282857892</v>
      </c>
      <c r="AG138">
        <f t="shared" si="34"/>
        <v>18706.608252886566</v>
      </c>
      <c r="AH138" t="b">
        <f t="shared" si="28"/>
        <v>1</v>
      </c>
    </row>
    <row r="139" spans="4:34" x14ac:dyDescent="0.4">
      <c r="D139" t="s">
        <v>40</v>
      </c>
      <c r="E139" t="s">
        <v>41</v>
      </c>
      <c r="F139" s="9">
        <v>46017.041666666664</v>
      </c>
      <c r="G139">
        <v>440.32</v>
      </c>
      <c r="H139" s="9">
        <v>46018.375</v>
      </c>
      <c r="I139">
        <v>468.03</v>
      </c>
      <c r="J139">
        <v>20.082999999999998</v>
      </c>
      <c r="K139" s="12">
        <v>8843.16</v>
      </c>
      <c r="L139">
        <v>13.68</v>
      </c>
      <c r="M139">
        <v>542.82000000000005</v>
      </c>
      <c r="N139" s="13">
        <v>6.1400000000000003E-2</v>
      </c>
      <c r="O139" t="s">
        <v>38</v>
      </c>
      <c r="Q139">
        <f t="shared" si="29"/>
        <v>556.49992999999949</v>
      </c>
      <c r="R139">
        <f t="shared" si="30"/>
        <v>542.81992999999954</v>
      </c>
      <c r="S139">
        <f t="shared" si="31"/>
        <v>9399.4464899999984</v>
      </c>
      <c r="U139">
        <f t="shared" si="17"/>
        <v>3.7472750000000001</v>
      </c>
      <c r="V139">
        <f t="shared" si="32"/>
        <v>1650.0001280000001</v>
      </c>
      <c r="W139">
        <f t="shared" si="18"/>
        <v>103.83699024999993</v>
      </c>
      <c r="X139">
        <f t="shared" si="19"/>
        <v>3.4038372462499997</v>
      </c>
      <c r="Y139">
        <f t="shared" si="20"/>
        <v>100.43315300374992</v>
      </c>
      <c r="Z139">
        <f t="shared" si="21"/>
        <v>50810.77427695939</v>
      </c>
      <c r="AB139">
        <f t="shared" si="22"/>
        <v>4.2041009999999996</v>
      </c>
      <c r="AC139">
        <f t="shared" si="23"/>
        <v>1851.1497523199998</v>
      </c>
      <c r="AD139">
        <f t="shared" si="24"/>
        <v>116.49563870999991</v>
      </c>
      <c r="AE139">
        <f t="shared" si="25"/>
        <v>3.8187951433499991</v>
      </c>
      <c r="AF139">
        <f t="shared" si="26"/>
        <v>112.67684356664991</v>
      </c>
      <c r="AG139">
        <f t="shared" si="34"/>
        <v>18624.17471860371</v>
      </c>
      <c r="AH139" t="b">
        <f t="shared" si="28"/>
        <v>1</v>
      </c>
    </row>
    <row r="140" spans="4:34" x14ac:dyDescent="0.4">
      <c r="D140" t="s">
        <v>50</v>
      </c>
      <c r="E140" t="s">
        <v>37</v>
      </c>
      <c r="F140" s="9">
        <v>46015.958333333336</v>
      </c>
      <c r="G140">
        <v>219.5</v>
      </c>
      <c r="H140" s="9">
        <v>46017.958333333336</v>
      </c>
      <c r="I140">
        <v>216.5</v>
      </c>
      <c r="J140">
        <v>63.850499999999997</v>
      </c>
      <c r="K140" s="12">
        <v>14015.2</v>
      </c>
      <c r="L140">
        <v>20.88</v>
      </c>
      <c r="M140">
        <v>-212.43</v>
      </c>
      <c r="N140" s="13">
        <v>-1.52E-2</v>
      </c>
      <c r="O140" t="s">
        <v>38</v>
      </c>
      <c r="Q140">
        <f t="shared" si="29"/>
        <v>-191.55149999999998</v>
      </c>
      <c r="R140">
        <f t="shared" si="30"/>
        <v>-212.43149999999997</v>
      </c>
      <c r="S140">
        <f t="shared" si="31"/>
        <v>13823.633249999999</v>
      </c>
      <c r="U140">
        <f t="shared" si="17"/>
        <v>7.5170839999999997</v>
      </c>
      <c r="V140">
        <f t="shared" si="32"/>
        <v>1649.9999379999999</v>
      </c>
      <c r="W140">
        <f t="shared" si="18"/>
        <v>-22.551251999999998</v>
      </c>
      <c r="X140">
        <f t="shared" si="19"/>
        <v>3.2774486239999998</v>
      </c>
      <c r="Y140">
        <f t="shared" si="20"/>
        <v>-25.828700624</v>
      </c>
      <c r="Z140">
        <f t="shared" si="21"/>
        <v>50710.341123955637</v>
      </c>
      <c r="AB140">
        <f t="shared" si="22"/>
        <v>8.4467060000000007</v>
      </c>
      <c r="AC140">
        <f t="shared" si="23"/>
        <v>1854.0519670000001</v>
      </c>
      <c r="AD140">
        <f t="shared" si="24"/>
        <v>-25.340118000000004</v>
      </c>
      <c r="AE140">
        <f t="shared" si="25"/>
        <v>3.6827638160000005</v>
      </c>
      <c r="AF140">
        <f t="shared" si="26"/>
        <v>-29.022881816000005</v>
      </c>
      <c r="AG140">
        <f t="shared" si="34"/>
        <v>18511.497875037061</v>
      </c>
      <c r="AH140" t="b">
        <f t="shared" si="28"/>
        <v>1</v>
      </c>
    </row>
    <row r="141" spans="4:34" x14ac:dyDescent="0.4">
      <c r="D141" t="s">
        <v>56</v>
      </c>
      <c r="E141" t="s">
        <v>37</v>
      </c>
      <c r="F141" s="9">
        <v>46017.125</v>
      </c>
      <c r="G141" s="12">
        <v>2971.35</v>
      </c>
      <c r="H141" s="9">
        <v>46017.625</v>
      </c>
      <c r="I141" s="12">
        <v>2926.33</v>
      </c>
      <c r="J141">
        <v>1.9986999999999999</v>
      </c>
      <c r="K141" s="12">
        <v>5938.94</v>
      </c>
      <c r="L141">
        <v>8.84</v>
      </c>
      <c r="M141">
        <v>-98.81</v>
      </c>
      <c r="N141" s="13">
        <v>-1.66E-2</v>
      </c>
      <c r="O141" t="s">
        <v>49</v>
      </c>
      <c r="Q141">
        <f t="shared" si="29"/>
        <v>-89.981473999999963</v>
      </c>
      <c r="R141">
        <f t="shared" si="30"/>
        <v>-98.821473999999967</v>
      </c>
      <c r="S141">
        <f t="shared" si="31"/>
        <v>5848.8557709999995</v>
      </c>
      <c r="U141">
        <f t="shared" ref="U141:U204" si="35">ROUND(($Q$2)/G141,6)</f>
        <v>0.55530299999999999</v>
      </c>
      <c r="V141">
        <f t="shared" si="32"/>
        <v>1649.99956905</v>
      </c>
      <c r="W141">
        <f t="shared" ref="W141:W204" si="36">U141*(I141-G141)</f>
        <v>-24.999741059999991</v>
      </c>
      <c r="X141">
        <f t="shared" ref="X141:X204" si="37">(G141+I141)*$R$2*U141</f>
        <v>3.2749993970400002</v>
      </c>
      <c r="Y141">
        <f t="shared" ref="Y141:Y204" si="38">W141-X141</f>
        <v>-28.274740457039989</v>
      </c>
      <c r="Z141">
        <f t="shared" ref="Z141:Z204" si="39">Z142+Y141</f>
        <v>50736.169824579636</v>
      </c>
      <c r="AB141">
        <f t="shared" ref="AB141:AB204" si="40">ROUND(((AH141*AG142 +(1-AH141)*AI141)/$P$2)/G141,6)</f>
        <v>0.62504700000000002</v>
      </c>
      <c r="AC141">
        <f t="shared" ref="AC141:AC204" si="41">AB141*G141</f>
        <v>1857.23340345</v>
      </c>
      <c r="AD141">
        <f t="shared" ref="AD141:AD204" si="42">AB141*(I141-G141)</f>
        <v>-28.139615939999988</v>
      </c>
      <c r="AE141">
        <f t="shared" ref="AE141:AE204" si="43">(G141+I141)*$R$2*AB141</f>
        <v>3.6863271909600002</v>
      </c>
      <c r="AF141">
        <f t="shared" ref="AF141:AF204" si="44">AD141-AE141</f>
        <v>-31.825943130959988</v>
      </c>
      <c r="AG141">
        <f t="shared" si="34"/>
        <v>18540.52075685306</v>
      </c>
      <c r="AH141" t="b">
        <f t="shared" ref="AH141:AH204" si="45">ISBLANK(AI141)</f>
        <v>1</v>
      </c>
    </row>
    <row r="142" spans="4:34" x14ac:dyDescent="0.4">
      <c r="D142" t="s">
        <v>40</v>
      </c>
      <c r="E142" t="s">
        <v>41</v>
      </c>
      <c r="F142" s="9">
        <v>46015.416666666664</v>
      </c>
      <c r="G142" s="12">
        <v>408.76</v>
      </c>
      <c r="H142" s="9">
        <v>46016.75</v>
      </c>
      <c r="I142" s="12">
        <v>445.09</v>
      </c>
      <c r="J142">
        <v>21.446000000000002</v>
      </c>
      <c r="K142" s="12">
        <v>8766.6200000000008</v>
      </c>
      <c r="L142">
        <v>13.73</v>
      </c>
      <c r="M142">
        <v>765.4</v>
      </c>
      <c r="N142" s="13">
        <v>8.7300000000000003E-2</v>
      </c>
      <c r="O142" t="s">
        <v>38</v>
      </c>
      <c r="Q142">
        <f t="shared" ref="Q142:Q205" si="46">(I142-G142)*J142</f>
        <v>779.1331799999997</v>
      </c>
      <c r="R142">
        <f t="shared" ref="R142:R205" si="47">Q142-L142</f>
        <v>765.40317999999968</v>
      </c>
      <c r="S142">
        <f t="shared" ref="S142:S205" si="48">I142*J142</f>
        <v>9545.4001399999997</v>
      </c>
      <c r="U142">
        <f t="shared" si="35"/>
        <v>4.0365979999999997</v>
      </c>
      <c r="V142">
        <f t="shared" ref="V142:V205" si="49">U142*G142</f>
        <v>1649.9997984799998</v>
      </c>
      <c r="W142">
        <f t="shared" si="36"/>
        <v>146.64960533999994</v>
      </c>
      <c r="X142">
        <f t="shared" si="37"/>
        <v>3.4466492022999993</v>
      </c>
      <c r="Y142">
        <f t="shared" si="38"/>
        <v>143.20295613769994</v>
      </c>
      <c r="Z142">
        <f t="shared" si="39"/>
        <v>50764.444565036676</v>
      </c>
      <c r="AB142">
        <f t="shared" si="40"/>
        <v>4.5044880000000003</v>
      </c>
      <c r="AC142">
        <f t="shared" si="41"/>
        <v>1841.25451488</v>
      </c>
      <c r="AD142">
        <f t="shared" si="42"/>
        <v>163.64804903999993</v>
      </c>
      <c r="AE142">
        <f t="shared" si="43"/>
        <v>3.8461570787999997</v>
      </c>
      <c r="AF142">
        <f t="shared" si="44"/>
        <v>159.80189196119994</v>
      </c>
      <c r="AG142">
        <f t="shared" si="34"/>
        <v>18572.34669998402</v>
      </c>
      <c r="AH142" t="b">
        <f t="shared" si="45"/>
        <v>1</v>
      </c>
    </row>
    <row r="143" spans="4:34" x14ac:dyDescent="0.4">
      <c r="D143" t="s">
        <v>55</v>
      </c>
      <c r="E143" t="s">
        <v>37</v>
      </c>
      <c r="F143" s="9">
        <v>46014.666666666664</v>
      </c>
      <c r="G143" s="12">
        <v>3.9180000000000001E-5</v>
      </c>
      <c r="H143" s="9">
        <v>46016.666666666664</v>
      </c>
      <c r="I143" s="12">
        <v>3.9780000000000002E-5</v>
      </c>
      <c r="J143" s="12">
        <v>166554282.53999999</v>
      </c>
      <c r="K143" s="12">
        <v>6525.6</v>
      </c>
      <c r="L143">
        <v>9.86</v>
      </c>
      <c r="M143">
        <v>90.07</v>
      </c>
      <c r="N143" s="13">
        <v>1.38E-2</v>
      </c>
      <c r="O143" t="s">
        <v>38</v>
      </c>
      <c r="Q143">
        <f t="shared" si="46"/>
        <v>99.932569524000172</v>
      </c>
      <c r="R143">
        <f t="shared" si="47"/>
        <v>90.072569524000173</v>
      </c>
      <c r="S143">
        <f t="shared" si="48"/>
        <v>6625.5293594411996</v>
      </c>
      <c r="U143">
        <f t="shared" si="35"/>
        <v>42113323.124043003</v>
      </c>
      <c r="V143">
        <f t="shared" si="49"/>
        <v>1650.0000000000048</v>
      </c>
      <c r="W143">
        <f t="shared" si="36"/>
        <v>25.267993874425844</v>
      </c>
      <c r="X143">
        <f t="shared" si="37"/>
        <v>3.3252679938744354</v>
      </c>
      <c r="Y143">
        <f t="shared" si="38"/>
        <v>21.942725880551407</v>
      </c>
      <c r="Z143">
        <f t="shared" si="39"/>
        <v>50621.241608898978</v>
      </c>
      <c r="AB143">
        <f t="shared" si="40"/>
        <v>46932340.942057997</v>
      </c>
      <c r="AC143">
        <f t="shared" si="41"/>
        <v>1838.8091181098323</v>
      </c>
      <c r="AD143">
        <f t="shared" si="42"/>
        <v>28.159404565234848</v>
      </c>
      <c r="AE143">
        <f t="shared" si="43"/>
        <v>3.7057776407848992</v>
      </c>
      <c r="AF143">
        <f t="shared" si="44"/>
        <v>24.453626924449949</v>
      </c>
      <c r="AG143">
        <f t="shared" si="34"/>
        <v>18412.54480802282</v>
      </c>
      <c r="AH143" t="b">
        <f t="shared" si="45"/>
        <v>1</v>
      </c>
    </row>
    <row r="144" spans="4:34" x14ac:dyDescent="0.4">
      <c r="D144" t="s">
        <v>52</v>
      </c>
      <c r="E144" t="s">
        <v>37</v>
      </c>
      <c r="F144" s="9">
        <v>46014.583333333336</v>
      </c>
      <c r="G144">
        <v>2.9769999999999999</v>
      </c>
      <c r="H144" s="9">
        <v>46016.583333333336</v>
      </c>
      <c r="I144">
        <v>3.0529999999999999</v>
      </c>
      <c r="J144">
        <v>906.38</v>
      </c>
      <c r="K144" s="12">
        <v>2698.32</v>
      </c>
      <c r="L144">
        <v>4.0999999999999996</v>
      </c>
      <c r="M144">
        <v>64.790000000000006</v>
      </c>
      <c r="N144" s="13">
        <v>2.4E-2</v>
      </c>
      <c r="O144" t="s">
        <v>38</v>
      </c>
      <c r="Q144">
        <f t="shared" si="46"/>
        <v>68.884880000000067</v>
      </c>
      <c r="R144">
        <f t="shared" si="47"/>
        <v>64.784880000000072</v>
      </c>
      <c r="S144">
        <f t="shared" si="48"/>
        <v>2767.17814</v>
      </c>
      <c r="U144">
        <f t="shared" si="35"/>
        <v>554.24924399999998</v>
      </c>
      <c r="V144">
        <f t="shared" si="49"/>
        <v>1649.9999993879999</v>
      </c>
      <c r="W144">
        <f t="shared" si="36"/>
        <v>42.122942544000033</v>
      </c>
      <c r="X144">
        <f t="shared" si="37"/>
        <v>3.3421229413199995</v>
      </c>
      <c r="Y144">
        <f t="shared" si="38"/>
        <v>38.780819602680033</v>
      </c>
      <c r="Z144">
        <f t="shared" si="39"/>
        <v>50599.298883018426</v>
      </c>
      <c r="AB144">
        <f t="shared" si="40"/>
        <v>616.22351400000002</v>
      </c>
      <c r="AC144">
        <f t="shared" si="41"/>
        <v>1834.497401178</v>
      </c>
      <c r="AD144">
        <f t="shared" si="42"/>
        <v>46.832987064000044</v>
      </c>
      <c r="AE144">
        <f t="shared" si="43"/>
        <v>3.71582778942</v>
      </c>
      <c r="AF144">
        <f t="shared" si="44"/>
        <v>43.117159274580047</v>
      </c>
      <c r="AG144">
        <f t="shared" si="34"/>
        <v>18388.091181098371</v>
      </c>
      <c r="AH144" t="b">
        <f t="shared" si="45"/>
        <v>1</v>
      </c>
    </row>
    <row r="145" spans="4:34" x14ac:dyDescent="0.4">
      <c r="D145" t="s">
        <v>48</v>
      </c>
      <c r="E145" t="s">
        <v>37</v>
      </c>
      <c r="F145" s="9">
        <v>46013.458333333336</v>
      </c>
      <c r="G145" s="12">
        <v>8.6400000000000005E-2</v>
      </c>
      <c r="H145" s="9">
        <v>46015.458333333336</v>
      </c>
      <c r="I145" s="12">
        <v>7.9399999999999998E-2</v>
      </c>
      <c r="J145" s="12">
        <v>50760.6</v>
      </c>
      <c r="K145" s="12">
        <v>4385.72</v>
      </c>
      <c r="L145">
        <v>6.31</v>
      </c>
      <c r="M145">
        <v>-361.64</v>
      </c>
      <c r="N145" s="13">
        <v>-8.2500000000000004E-2</v>
      </c>
      <c r="O145" t="s">
        <v>38</v>
      </c>
      <c r="Q145">
        <f t="shared" si="46"/>
        <v>-355.3242000000003</v>
      </c>
      <c r="R145">
        <f t="shared" si="47"/>
        <v>-361.63420000000031</v>
      </c>
      <c r="S145">
        <f t="shared" si="48"/>
        <v>4030.3916399999998</v>
      </c>
      <c r="U145">
        <f t="shared" si="35"/>
        <v>19097.222222</v>
      </c>
      <c r="V145">
        <f t="shared" si="49"/>
        <v>1649.9999999808001</v>
      </c>
      <c r="W145">
        <f t="shared" si="36"/>
        <v>-133.68055555400011</v>
      </c>
      <c r="X145">
        <f t="shared" si="37"/>
        <v>3.1663194444076006</v>
      </c>
      <c r="Y145">
        <f t="shared" si="38"/>
        <v>-136.84687499840771</v>
      </c>
      <c r="Z145">
        <f t="shared" si="39"/>
        <v>50560.518063415744</v>
      </c>
      <c r="AB145">
        <f t="shared" si="40"/>
        <v>21410.179498000001</v>
      </c>
      <c r="AC145">
        <f t="shared" si="41"/>
        <v>1849.8395086272003</v>
      </c>
      <c r="AD145">
        <f t="shared" si="42"/>
        <v>-149.87125648600014</v>
      </c>
      <c r="AE145">
        <f t="shared" si="43"/>
        <v>3.5498077607684007</v>
      </c>
      <c r="AF145">
        <f t="shared" si="44"/>
        <v>-153.42106424676854</v>
      </c>
      <c r="AG145">
        <f t="shared" si="34"/>
        <v>18344.974021823789</v>
      </c>
      <c r="AH145" t="b">
        <f t="shared" si="45"/>
        <v>1</v>
      </c>
    </row>
    <row r="146" spans="4:34" x14ac:dyDescent="0.4">
      <c r="D146" t="s">
        <v>60</v>
      </c>
      <c r="E146" t="s">
        <v>37</v>
      </c>
      <c r="F146" s="9">
        <v>46012.791666666664</v>
      </c>
      <c r="G146">
        <v>1.9124000000000001</v>
      </c>
      <c r="H146" s="9">
        <v>46015.291666666664</v>
      </c>
      <c r="I146">
        <v>1.8513999999999999</v>
      </c>
      <c r="J146" s="12">
        <v>1187.8</v>
      </c>
      <c r="K146" s="12">
        <v>2271.6799999999998</v>
      </c>
      <c r="L146">
        <v>3.35</v>
      </c>
      <c r="M146">
        <v>-75.81</v>
      </c>
      <c r="N146" s="13">
        <v>-3.3399999999999999E-2</v>
      </c>
      <c r="O146" t="s">
        <v>57</v>
      </c>
      <c r="Q146">
        <f t="shared" si="46"/>
        <v>-72.455800000000195</v>
      </c>
      <c r="R146">
        <f t="shared" si="47"/>
        <v>-75.80580000000019</v>
      </c>
      <c r="S146">
        <f t="shared" si="48"/>
        <v>2199.09292</v>
      </c>
      <c r="U146">
        <f t="shared" si="35"/>
        <v>862.790211</v>
      </c>
      <c r="V146">
        <f t="shared" si="49"/>
        <v>1649.9999995164001</v>
      </c>
      <c r="W146">
        <f t="shared" si="36"/>
        <v>-52.630202871000144</v>
      </c>
      <c r="X146">
        <f t="shared" si="37"/>
        <v>3.2473697961618</v>
      </c>
      <c r="Y146">
        <f t="shared" si="38"/>
        <v>-55.877572667161942</v>
      </c>
      <c r="Z146">
        <f t="shared" si="39"/>
        <v>50697.364938414154</v>
      </c>
      <c r="AB146">
        <f t="shared" si="40"/>
        <v>970.57378900000003</v>
      </c>
      <c r="AC146">
        <f t="shared" si="41"/>
        <v>1856.1253140836002</v>
      </c>
      <c r="AD146">
        <f t="shared" si="42"/>
        <v>-59.205001129000159</v>
      </c>
      <c r="AE146">
        <f t="shared" si="43"/>
        <v>3.6530456270382001</v>
      </c>
      <c r="AF146">
        <f t="shared" si="44"/>
        <v>-62.858046756038362</v>
      </c>
      <c r="AG146">
        <f t="shared" si="34"/>
        <v>18498.395086070559</v>
      </c>
      <c r="AH146" t="b">
        <f t="shared" si="45"/>
        <v>1</v>
      </c>
    </row>
    <row r="147" spans="4:34" x14ac:dyDescent="0.4">
      <c r="D147" t="s">
        <v>50</v>
      </c>
      <c r="E147" t="s">
        <v>37</v>
      </c>
      <c r="F147" s="9">
        <v>46013.166666666664</v>
      </c>
      <c r="G147">
        <v>223.6</v>
      </c>
      <c r="H147" s="9">
        <v>46015.166666666664</v>
      </c>
      <c r="I147">
        <v>210.1</v>
      </c>
      <c r="J147" s="12">
        <v>63.069699999999997</v>
      </c>
      <c r="K147" s="12">
        <v>14102.39</v>
      </c>
      <c r="L147">
        <v>20.51</v>
      </c>
      <c r="M147">
        <v>-871.96</v>
      </c>
      <c r="N147" s="13">
        <v>-6.1800000000000001E-2</v>
      </c>
      <c r="O147" t="s">
        <v>38</v>
      </c>
      <c r="Q147">
        <f t="shared" si="46"/>
        <v>-851.44094999999993</v>
      </c>
      <c r="R147">
        <f t="shared" si="47"/>
        <v>-871.95094999999992</v>
      </c>
      <c r="S147">
        <f t="shared" si="48"/>
        <v>13250.943969999998</v>
      </c>
      <c r="U147">
        <f t="shared" si="35"/>
        <v>7.3792489999999997</v>
      </c>
      <c r="V147">
        <f t="shared" si="49"/>
        <v>1650.0000763999999</v>
      </c>
      <c r="W147">
        <f t="shared" si="36"/>
        <v>-99.619861499999999</v>
      </c>
      <c r="X147">
        <f t="shared" si="37"/>
        <v>3.2003802912999997</v>
      </c>
      <c r="Y147">
        <f t="shared" si="38"/>
        <v>-102.82024179129999</v>
      </c>
      <c r="Z147">
        <f t="shared" si="39"/>
        <v>50753.242511081313</v>
      </c>
      <c r="AB147">
        <f t="shared" si="40"/>
        <v>8.3531499999999994</v>
      </c>
      <c r="AC147">
        <f t="shared" si="41"/>
        <v>1867.7643399999997</v>
      </c>
      <c r="AD147">
        <f t="shared" si="42"/>
        <v>-112.76752499999999</v>
      </c>
      <c r="AE147">
        <f t="shared" si="43"/>
        <v>3.6227611549999996</v>
      </c>
      <c r="AF147">
        <f t="shared" si="44"/>
        <v>-116.390286155</v>
      </c>
      <c r="AG147">
        <f t="shared" si="34"/>
        <v>18561.253132826598</v>
      </c>
      <c r="AH147" t="b">
        <f t="shared" si="45"/>
        <v>1</v>
      </c>
    </row>
    <row r="148" spans="4:34" x14ac:dyDescent="0.4">
      <c r="D148" t="s">
        <v>61</v>
      </c>
      <c r="E148" t="s">
        <v>37</v>
      </c>
      <c r="F148" s="9">
        <v>46012.375</v>
      </c>
      <c r="G148">
        <v>0.37080000000000002</v>
      </c>
      <c r="H148" s="9">
        <v>46014.375</v>
      </c>
      <c r="I148">
        <v>0.36370000000000002</v>
      </c>
      <c r="J148" s="12">
        <v>23081.1</v>
      </c>
      <c r="K148" s="12">
        <v>8558.5</v>
      </c>
      <c r="L148">
        <v>12.71</v>
      </c>
      <c r="M148">
        <v>-176.59</v>
      </c>
      <c r="N148" s="13">
        <v>-2.06E-2</v>
      </c>
      <c r="O148" t="s">
        <v>38</v>
      </c>
      <c r="Q148">
        <f t="shared" si="46"/>
        <v>-163.87580999999989</v>
      </c>
      <c r="R148">
        <f t="shared" si="47"/>
        <v>-176.5858099999999</v>
      </c>
      <c r="S148">
        <f t="shared" si="48"/>
        <v>8394.5960699999996</v>
      </c>
      <c r="U148">
        <f t="shared" si="35"/>
        <v>4449.8381879999997</v>
      </c>
      <c r="V148">
        <f t="shared" si="49"/>
        <v>1650.0000001103999</v>
      </c>
      <c r="W148">
        <f t="shared" si="36"/>
        <v>-31.593851134799976</v>
      </c>
      <c r="X148">
        <f t="shared" si="37"/>
        <v>3.2684061490859997</v>
      </c>
      <c r="Y148">
        <f t="shared" si="38"/>
        <v>-34.862257283885974</v>
      </c>
      <c r="Z148">
        <f t="shared" si="39"/>
        <v>50856.062752872611</v>
      </c>
      <c r="AB148">
        <f t="shared" si="40"/>
        <v>5047.7859490000001</v>
      </c>
      <c r="AC148">
        <f t="shared" si="41"/>
        <v>1871.7190298892001</v>
      </c>
      <c r="AD148">
        <f t="shared" si="42"/>
        <v>-35.839280237899978</v>
      </c>
      <c r="AE148">
        <f t="shared" si="43"/>
        <v>3.7075987795405001</v>
      </c>
      <c r="AF148">
        <f t="shared" si="44"/>
        <v>-39.546879017440475</v>
      </c>
      <c r="AG148">
        <f t="shared" si="34"/>
        <v>18677.643418981599</v>
      </c>
      <c r="AH148" t="b">
        <f t="shared" si="45"/>
        <v>1</v>
      </c>
    </row>
    <row r="149" spans="4:34" x14ac:dyDescent="0.4">
      <c r="D149" t="s">
        <v>56</v>
      </c>
      <c r="E149" t="s">
        <v>37</v>
      </c>
      <c r="F149" s="9">
        <v>46012.708333333336</v>
      </c>
      <c r="G149" s="12">
        <v>2985.75</v>
      </c>
      <c r="H149" s="9">
        <v>46014.291666666664</v>
      </c>
      <c r="I149" s="12">
        <v>2950.9</v>
      </c>
      <c r="J149">
        <v>1.9917</v>
      </c>
      <c r="K149" s="12">
        <v>5946.77</v>
      </c>
      <c r="L149">
        <v>8.8699999999999992</v>
      </c>
      <c r="M149">
        <v>-78.28</v>
      </c>
      <c r="N149" s="13">
        <v>-1.32E-2</v>
      </c>
      <c r="O149" t="s">
        <v>49</v>
      </c>
      <c r="Q149">
        <f t="shared" si="46"/>
        <v>-69.410744999999821</v>
      </c>
      <c r="R149">
        <f t="shared" si="47"/>
        <v>-78.280744999999825</v>
      </c>
      <c r="S149">
        <f t="shared" si="48"/>
        <v>5877.30753</v>
      </c>
      <c r="U149">
        <f t="shared" si="35"/>
        <v>0.55262500000000003</v>
      </c>
      <c r="V149">
        <f t="shared" si="49"/>
        <v>1650.0000937500001</v>
      </c>
      <c r="W149">
        <f t="shared" si="36"/>
        <v>-19.258981249999952</v>
      </c>
      <c r="X149">
        <f t="shared" si="37"/>
        <v>3.2807412062499997</v>
      </c>
      <c r="Y149">
        <f t="shared" si="38"/>
        <v>-22.539722456249951</v>
      </c>
      <c r="Z149">
        <f t="shared" si="39"/>
        <v>50890.925010156498</v>
      </c>
      <c r="AB149">
        <f t="shared" si="40"/>
        <v>0.62774200000000002</v>
      </c>
      <c r="AC149">
        <f t="shared" si="41"/>
        <v>1874.2806765</v>
      </c>
      <c r="AD149">
        <f t="shared" si="42"/>
        <v>-21.876808699999945</v>
      </c>
      <c r="AE149">
        <f t="shared" si="43"/>
        <v>3.7266845442999998</v>
      </c>
      <c r="AF149">
        <f t="shared" si="44"/>
        <v>-25.603493244299944</v>
      </c>
      <c r="AG149">
        <f t="shared" si="34"/>
        <v>18717.190297999041</v>
      </c>
      <c r="AH149" t="b">
        <f t="shared" si="45"/>
        <v>1</v>
      </c>
    </row>
    <row r="150" spans="4:34" x14ac:dyDescent="0.4">
      <c r="D150" t="s">
        <v>58</v>
      </c>
      <c r="E150" t="s">
        <v>37</v>
      </c>
      <c r="F150" s="9">
        <v>46012.291666666664</v>
      </c>
      <c r="G150">
        <v>12.53</v>
      </c>
      <c r="H150" s="9">
        <v>46014.291666666664</v>
      </c>
      <c r="I150">
        <v>12.31</v>
      </c>
      <c r="J150">
        <v>589.87</v>
      </c>
      <c r="K150" s="12">
        <v>7391.11</v>
      </c>
      <c r="L150">
        <v>10.99</v>
      </c>
      <c r="M150">
        <v>-140.76</v>
      </c>
      <c r="N150" s="13">
        <v>-1.9E-2</v>
      </c>
      <c r="O150" t="s">
        <v>38</v>
      </c>
      <c r="Q150">
        <f t="shared" si="46"/>
        <v>-129.77139999999932</v>
      </c>
      <c r="R150">
        <f t="shared" si="47"/>
        <v>-140.76139999999933</v>
      </c>
      <c r="S150">
        <f t="shared" si="48"/>
        <v>7261.2997000000005</v>
      </c>
      <c r="U150">
        <f t="shared" si="35"/>
        <v>131.68395799999999</v>
      </c>
      <c r="V150">
        <f t="shared" si="49"/>
        <v>1649.9999937399998</v>
      </c>
      <c r="W150">
        <f t="shared" si="36"/>
        <v>-28.970470759999849</v>
      </c>
      <c r="X150">
        <f t="shared" si="37"/>
        <v>3.2710295167200001</v>
      </c>
      <c r="Y150">
        <f t="shared" si="38"/>
        <v>-32.241500276719847</v>
      </c>
      <c r="Z150">
        <f t="shared" si="39"/>
        <v>50913.464732612745</v>
      </c>
      <c r="AB150">
        <f t="shared" si="40"/>
        <v>149.87621300000001</v>
      </c>
      <c r="AC150">
        <f t="shared" si="41"/>
        <v>1877.9489488899999</v>
      </c>
      <c r="AD150">
        <f t="shared" si="42"/>
        <v>-32.97276685999983</v>
      </c>
      <c r="AE150">
        <f t="shared" si="43"/>
        <v>3.7229251309200002</v>
      </c>
      <c r="AF150">
        <f t="shared" si="44"/>
        <v>-36.695691990919826</v>
      </c>
      <c r="AG150">
        <f t="shared" si="34"/>
        <v>18742.793791243341</v>
      </c>
      <c r="AH150" t="b">
        <f t="shared" si="45"/>
        <v>1</v>
      </c>
    </row>
    <row r="151" spans="4:34" x14ac:dyDescent="0.4">
      <c r="D151" t="s">
        <v>53</v>
      </c>
      <c r="E151" t="s">
        <v>37</v>
      </c>
      <c r="F151" s="9">
        <v>46012.291666666664</v>
      </c>
      <c r="G151">
        <v>849.59</v>
      </c>
      <c r="H151" s="9">
        <v>46014.291666666664</v>
      </c>
      <c r="I151">
        <v>848.76</v>
      </c>
      <c r="J151" s="12">
        <v>11.577999999999999</v>
      </c>
      <c r="K151" s="12">
        <v>9836.83</v>
      </c>
      <c r="L151">
        <v>14.75</v>
      </c>
      <c r="M151">
        <v>-24.36</v>
      </c>
      <c r="N151" s="13">
        <v>-2.5000000000000001E-3</v>
      </c>
      <c r="O151" t="s">
        <v>38</v>
      </c>
      <c r="Q151">
        <f t="shared" si="46"/>
        <v>-9.6097400000004729</v>
      </c>
      <c r="R151">
        <f t="shared" si="47"/>
        <v>-24.359740000000471</v>
      </c>
      <c r="S151">
        <f t="shared" si="48"/>
        <v>9826.9432799999995</v>
      </c>
      <c r="U151">
        <f t="shared" si="35"/>
        <v>1.942113</v>
      </c>
      <c r="V151">
        <f t="shared" si="49"/>
        <v>1649.9997836699999</v>
      </c>
      <c r="W151">
        <f t="shared" si="36"/>
        <v>-1.6119537900000795</v>
      </c>
      <c r="X151">
        <f t="shared" si="37"/>
        <v>3.2983876135500001</v>
      </c>
      <c r="Y151">
        <f t="shared" si="38"/>
        <v>-4.9103414035500794</v>
      </c>
      <c r="Z151">
        <f t="shared" si="39"/>
        <v>50945.706232889468</v>
      </c>
      <c r="AB151">
        <f t="shared" si="40"/>
        <v>2.2110759999999998</v>
      </c>
      <c r="AC151">
        <f t="shared" si="41"/>
        <v>1878.5080588399999</v>
      </c>
      <c r="AD151">
        <f t="shared" si="42"/>
        <v>-1.8351930800000904</v>
      </c>
      <c r="AE151">
        <f t="shared" si="43"/>
        <v>3.7551809245999999</v>
      </c>
      <c r="AF151">
        <f t="shared" si="44"/>
        <v>-5.5903740046000898</v>
      </c>
      <c r="AG151">
        <f t="shared" si="34"/>
        <v>18779.489483234262</v>
      </c>
      <c r="AH151" t="b">
        <f t="shared" si="45"/>
        <v>1</v>
      </c>
    </row>
    <row r="152" spans="4:34" x14ac:dyDescent="0.4">
      <c r="D152" t="s">
        <v>59</v>
      </c>
      <c r="E152" t="s">
        <v>37</v>
      </c>
      <c r="F152" s="9">
        <v>46011.791666666664</v>
      </c>
      <c r="G152" s="12">
        <v>88287.02</v>
      </c>
      <c r="H152" s="9">
        <v>46014.291666666664</v>
      </c>
      <c r="I152" s="12">
        <v>87362.66</v>
      </c>
      <c r="J152">
        <v>0.12156</v>
      </c>
      <c r="K152" s="12">
        <v>10732.78</v>
      </c>
      <c r="L152">
        <v>16.010000000000002</v>
      </c>
      <c r="M152">
        <v>-128.38</v>
      </c>
      <c r="N152" s="13">
        <v>-1.2E-2</v>
      </c>
      <c r="O152" t="s">
        <v>57</v>
      </c>
      <c r="Q152">
        <f t="shared" si="46"/>
        <v>-112.36520160000008</v>
      </c>
      <c r="R152">
        <f t="shared" si="47"/>
        <v>-128.37520160000008</v>
      </c>
      <c r="S152">
        <f t="shared" si="48"/>
        <v>10619.8049496</v>
      </c>
      <c r="U152">
        <f t="shared" si="35"/>
        <v>1.8689000000000001E-2</v>
      </c>
      <c r="V152">
        <f t="shared" si="49"/>
        <v>1649.9961167800002</v>
      </c>
      <c r="W152">
        <f t="shared" si="36"/>
        <v>-17.27536404000001</v>
      </c>
      <c r="X152">
        <f t="shared" si="37"/>
        <v>3.2827168695199997</v>
      </c>
      <c r="Y152">
        <f t="shared" si="38"/>
        <v>-20.558080909520008</v>
      </c>
      <c r="Z152">
        <f t="shared" si="39"/>
        <v>50950.616574293017</v>
      </c>
      <c r="AB152">
        <f t="shared" si="40"/>
        <v>2.1304E-2</v>
      </c>
      <c r="AC152">
        <f t="shared" si="41"/>
        <v>1880.8666740800002</v>
      </c>
      <c r="AD152">
        <f t="shared" si="42"/>
        <v>-19.692565440000013</v>
      </c>
      <c r="AE152">
        <f t="shared" si="43"/>
        <v>3.7420407827199997</v>
      </c>
      <c r="AF152">
        <f t="shared" si="44"/>
        <v>-23.434606222720014</v>
      </c>
      <c r="AG152">
        <f t="shared" si="34"/>
        <v>18785.079857238863</v>
      </c>
      <c r="AH152" t="b">
        <f t="shared" si="45"/>
        <v>1</v>
      </c>
    </row>
    <row r="153" spans="4:34" x14ac:dyDescent="0.4">
      <c r="D153" t="s">
        <v>54</v>
      </c>
      <c r="E153" t="s">
        <v>37</v>
      </c>
      <c r="F153" s="9">
        <v>46012.25</v>
      </c>
      <c r="G153">
        <v>125.26</v>
      </c>
      <c r="H153" s="9">
        <v>46014.25</v>
      </c>
      <c r="I153">
        <v>124.93</v>
      </c>
      <c r="J153">
        <v>40.716000000000001</v>
      </c>
      <c r="K153" s="12">
        <v>5100.1499999999996</v>
      </c>
      <c r="L153">
        <v>7.64</v>
      </c>
      <c r="M153">
        <v>-21.08</v>
      </c>
      <c r="N153" s="13">
        <v>-4.1000000000000003E-3</v>
      </c>
      <c r="O153" t="s">
        <v>38</v>
      </c>
      <c r="Q153">
        <f t="shared" si="46"/>
        <v>-13.436279999999931</v>
      </c>
      <c r="R153">
        <f t="shared" si="47"/>
        <v>-21.07627999999993</v>
      </c>
      <c r="S153">
        <f t="shared" si="48"/>
        <v>5086.6498800000008</v>
      </c>
      <c r="U153">
        <f t="shared" si="35"/>
        <v>13.172601</v>
      </c>
      <c r="V153">
        <f t="shared" si="49"/>
        <v>1650.0000012600001</v>
      </c>
      <c r="W153">
        <f t="shared" si="36"/>
        <v>-4.3469583299999774</v>
      </c>
      <c r="X153">
        <f t="shared" si="37"/>
        <v>3.2956530441900003</v>
      </c>
      <c r="Y153">
        <f t="shared" si="38"/>
        <v>-7.6426113741899773</v>
      </c>
      <c r="Z153">
        <f t="shared" si="39"/>
        <v>50971.174655202536</v>
      </c>
      <c r="AB153">
        <f t="shared" si="40"/>
        <v>15.022537</v>
      </c>
      <c r="AC153">
        <f t="shared" si="41"/>
        <v>1881.72298462</v>
      </c>
      <c r="AD153">
        <f t="shared" si="42"/>
        <v>-4.9574372099999744</v>
      </c>
      <c r="AE153">
        <f t="shared" si="43"/>
        <v>3.7584885320300003</v>
      </c>
      <c r="AF153">
        <f t="shared" si="44"/>
        <v>-8.7159257420299738</v>
      </c>
      <c r="AG153">
        <f t="shared" si="34"/>
        <v>18808.514463461583</v>
      </c>
      <c r="AH153" t="b">
        <f t="shared" si="45"/>
        <v>1</v>
      </c>
    </row>
    <row r="154" spans="4:34" x14ac:dyDescent="0.4">
      <c r="D154" t="s">
        <v>55</v>
      </c>
      <c r="E154" t="s">
        <v>37</v>
      </c>
      <c r="F154" s="9">
        <v>46012.208333333336</v>
      </c>
      <c r="G154" s="12">
        <v>4.0049999999999998E-5</v>
      </c>
      <c r="H154" s="9">
        <v>46014.208333333336</v>
      </c>
      <c r="I154" s="12">
        <v>3.8640000000000003E-5</v>
      </c>
      <c r="J154" s="12">
        <v>163536093.09</v>
      </c>
      <c r="K154" s="12">
        <v>6549.62</v>
      </c>
      <c r="L154">
        <v>9.65</v>
      </c>
      <c r="M154">
        <v>-240.24</v>
      </c>
      <c r="N154" s="13">
        <v>-3.6700000000000003E-2</v>
      </c>
      <c r="O154" t="s">
        <v>38</v>
      </c>
      <c r="Q154">
        <f t="shared" si="46"/>
        <v>-230.58589125689917</v>
      </c>
      <c r="R154">
        <f t="shared" si="47"/>
        <v>-240.23589125689918</v>
      </c>
      <c r="S154">
        <f t="shared" si="48"/>
        <v>6319.0346369976005</v>
      </c>
      <c r="U154">
        <f t="shared" si="35"/>
        <v>41198501.872658998</v>
      </c>
      <c r="V154">
        <f t="shared" si="49"/>
        <v>1649.9999999999927</v>
      </c>
      <c r="W154">
        <f t="shared" si="36"/>
        <v>-58.089887640448978</v>
      </c>
      <c r="X154">
        <f t="shared" si="37"/>
        <v>3.2419101123595366</v>
      </c>
      <c r="Y154">
        <f t="shared" si="38"/>
        <v>-61.331797752808512</v>
      </c>
      <c r="Z154">
        <f t="shared" si="39"/>
        <v>50978.817266576727</v>
      </c>
      <c r="AB154">
        <f t="shared" si="40"/>
        <v>47159641.638237</v>
      </c>
      <c r="AC154">
        <f t="shared" si="41"/>
        <v>1888.7436476113917</v>
      </c>
      <c r="AD154">
        <f t="shared" si="42"/>
        <v>-66.495094709913928</v>
      </c>
      <c r="AE154">
        <f t="shared" si="43"/>
        <v>3.7109922005128695</v>
      </c>
      <c r="AF154">
        <f t="shared" si="44"/>
        <v>-70.206086910426791</v>
      </c>
      <c r="AG154">
        <f t="shared" si="34"/>
        <v>18817.230389203614</v>
      </c>
      <c r="AH154" t="b">
        <f t="shared" si="45"/>
        <v>1</v>
      </c>
    </row>
    <row r="155" spans="4:34" x14ac:dyDescent="0.4">
      <c r="D155" t="s">
        <v>43</v>
      </c>
      <c r="E155" t="s">
        <v>37</v>
      </c>
      <c r="F155" s="9">
        <v>46012.166666666664</v>
      </c>
      <c r="G155">
        <v>1.4451000000000001</v>
      </c>
      <c r="H155" s="9">
        <v>46014.166666666664</v>
      </c>
      <c r="I155">
        <v>1.448</v>
      </c>
      <c r="J155" s="12">
        <v>1328.2</v>
      </c>
      <c r="K155" s="12">
        <v>1919.49</v>
      </c>
      <c r="L155">
        <v>2.88</v>
      </c>
      <c r="M155">
        <v>0.97</v>
      </c>
      <c r="N155" s="13">
        <v>5.0000000000000001E-4</v>
      </c>
      <c r="O155" t="s">
        <v>38</v>
      </c>
      <c r="Q155">
        <f t="shared" si="46"/>
        <v>3.851779999999871</v>
      </c>
      <c r="R155">
        <f t="shared" si="47"/>
        <v>0.97177999999987108</v>
      </c>
      <c r="S155">
        <f t="shared" si="48"/>
        <v>1923.2336</v>
      </c>
      <c r="U155">
        <f t="shared" si="35"/>
        <v>1141.7894960000001</v>
      </c>
      <c r="V155">
        <f t="shared" si="49"/>
        <v>1650.0000006696002</v>
      </c>
      <c r="W155">
        <f t="shared" si="36"/>
        <v>3.3111895383998893</v>
      </c>
      <c r="X155">
        <f t="shared" si="37"/>
        <v>3.3033111908776003</v>
      </c>
      <c r="Y155">
        <f t="shared" si="38"/>
        <v>7.8783475222889976E-3</v>
      </c>
      <c r="Z155">
        <f t="shared" si="39"/>
        <v>51040.149064329533</v>
      </c>
      <c r="AB155">
        <f t="shared" si="40"/>
        <v>1306.9979559999999</v>
      </c>
      <c r="AC155">
        <f t="shared" si="41"/>
        <v>1888.7427462155999</v>
      </c>
      <c r="AD155">
        <f t="shared" si="42"/>
        <v>3.7902940723998726</v>
      </c>
      <c r="AE155">
        <f t="shared" si="43"/>
        <v>3.7812757865036</v>
      </c>
      <c r="AF155">
        <f t="shared" si="44"/>
        <v>9.0182858962726264E-3</v>
      </c>
      <c r="AG155">
        <f t="shared" si="34"/>
        <v>18887.436476114042</v>
      </c>
      <c r="AH155" t="b">
        <f t="shared" si="45"/>
        <v>1</v>
      </c>
    </row>
    <row r="156" spans="4:34" x14ac:dyDescent="0.4">
      <c r="D156" t="s">
        <v>40</v>
      </c>
      <c r="E156" t="s">
        <v>41</v>
      </c>
      <c r="F156" s="9">
        <v>46012.166666666664</v>
      </c>
      <c r="G156" s="12">
        <v>447.33</v>
      </c>
      <c r="H156" s="9">
        <v>46013.5</v>
      </c>
      <c r="I156" s="12">
        <v>448.04</v>
      </c>
      <c r="J156">
        <v>19.597000000000001</v>
      </c>
      <c r="K156" s="12">
        <v>8766.5499999999993</v>
      </c>
      <c r="L156">
        <v>13.16</v>
      </c>
      <c r="M156">
        <v>0.75</v>
      </c>
      <c r="N156" s="13">
        <v>1E-4</v>
      </c>
      <c r="O156" t="s">
        <v>38</v>
      </c>
      <c r="Q156">
        <f t="shared" si="46"/>
        <v>13.913870000000713</v>
      </c>
      <c r="R156">
        <f t="shared" si="47"/>
        <v>0.75387000000071325</v>
      </c>
      <c r="S156">
        <f t="shared" si="48"/>
        <v>8780.239880000001</v>
      </c>
      <c r="U156">
        <f t="shared" si="35"/>
        <v>3.6885520000000001</v>
      </c>
      <c r="V156">
        <f t="shared" si="49"/>
        <v>1649.99996616</v>
      </c>
      <c r="W156">
        <f t="shared" si="36"/>
        <v>2.6188719200001342</v>
      </c>
      <c r="X156">
        <f t="shared" si="37"/>
        <v>3.3026188042400002</v>
      </c>
      <c r="Y156">
        <f t="shared" si="38"/>
        <v>-0.68374688423986596</v>
      </c>
      <c r="Z156">
        <f t="shared" si="39"/>
        <v>51040.141185982007</v>
      </c>
      <c r="AB156">
        <f t="shared" si="40"/>
        <v>4.2224329999999997</v>
      </c>
      <c r="AC156">
        <f t="shared" si="41"/>
        <v>1888.8209538899998</v>
      </c>
      <c r="AD156">
        <f t="shared" si="42"/>
        <v>2.9979274300001535</v>
      </c>
      <c r="AE156">
        <f t="shared" si="43"/>
        <v>3.7806398352099997</v>
      </c>
      <c r="AF156">
        <f t="shared" si="44"/>
        <v>-0.7827124052098462</v>
      </c>
      <c r="AG156">
        <f t="shared" si="34"/>
        <v>18887.427457828147</v>
      </c>
      <c r="AH156" t="b">
        <f t="shared" si="45"/>
        <v>1</v>
      </c>
    </row>
    <row r="157" spans="4:34" x14ac:dyDescent="0.4">
      <c r="D157" t="s">
        <v>48</v>
      </c>
      <c r="E157" t="s">
        <v>37</v>
      </c>
      <c r="F157" s="9">
        <v>46011.125</v>
      </c>
      <c r="G157">
        <v>8.8999999999999996E-2</v>
      </c>
      <c r="H157" s="9">
        <v>46013.125</v>
      </c>
      <c r="I157">
        <v>8.5500000000000007E-2</v>
      </c>
      <c r="J157" s="12">
        <v>49479.5</v>
      </c>
      <c r="K157" s="12">
        <v>4403.68</v>
      </c>
      <c r="L157">
        <v>6.48</v>
      </c>
      <c r="M157">
        <v>-179.65</v>
      </c>
      <c r="N157" s="13">
        <v>-4.0800000000000003E-2</v>
      </c>
      <c r="O157" t="s">
        <v>38</v>
      </c>
      <c r="Q157">
        <f t="shared" si="46"/>
        <v>-173.17824999999948</v>
      </c>
      <c r="R157">
        <f t="shared" si="47"/>
        <v>-179.65824999999947</v>
      </c>
      <c r="S157">
        <f t="shared" si="48"/>
        <v>4230.4972500000003</v>
      </c>
      <c r="U157">
        <f t="shared" si="35"/>
        <v>18539.325842999999</v>
      </c>
      <c r="V157">
        <f t="shared" si="49"/>
        <v>1650.0000000269997</v>
      </c>
      <c r="W157">
        <f t="shared" si="36"/>
        <v>-64.887640450499802</v>
      </c>
      <c r="X157">
        <f t="shared" si="37"/>
        <v>3.2351123596034994</v>
      </c>
      <c r="Y157">
        <f t="shared" si="38"/>
        <v>-68.122752810103307</v>
      </c>
      <c r="Z157">
        <f t="shared" si="39"/>
        <v>51040.82493286625</v>
      </c>
      <c r="AB157">
        <f t="shared" si="40"/>
        <v>21310.692482999999</v>
      </c>
      <c r="AC157">
        <f t="shared" si="41"/>
        <v>1896.6516309869999</v>
      </c>
      <c r="AD157">
        <f t="shared" si="42"/>
        <v>-74.587423690499762</v>
      </c>
      <c r="AE157">
        <f t="shared" si="43"/>
        <v>3.7187158382834995</v>
      </c>
      <c r="AF157">
        <f t="shared" si="44"/>
        <v>-78.306139528783262</v>
      </c>
      <c r="AG157">
        <f t="shared" si="34"/>
        <v>18888.210170233357</v>
      </c>
      <c r="AH157" t="b">
        <f t="shared" si="45"/>
        <v>1</v>
      </c>
    </row>
    <row r="158" spans="4:34" x14ac:dyDescent="0.4">
      <c r="D158" t="s">
        <v>52</v>
      </c>
      <c r="E158" t="s">
        <v>37</v>
      </c>
      <c r="F158" s="9">
        <v>46010.833333333336</v>
      </c>
      <c r="G158">
        <v>2.9630000000000001</v>
      </c>
      <c r="H158" s="9">
        <v>46012.833333333336</v>
      </c>
      <c r="I158">
        <v>3.08</v>
      </c>
      <c r="J158">
        <v>907.22</v>
      </c>
      <c r="K158" s="12">
        <v>2688.12</v>
      </c>
      <c r="L158">
        <v>4.1100000000000003</v>
      </c>
      <c r="M158">
        <v>102.03</v>
      </c>
      <c r="N158" s="13">
        <v>3.7999999999999999E-2</v>
      </c>
      <c r="O158" t="s">
        <v>38</v>
      </c>
      <c r="Q158">
        <f t="shared" si="46"/>
        <v>106.14474</v>
      </c>
      <c r="R158">
        <f t="shared" si="47"/>
        <v>102.03474</v>
      </c>
      <c r="S158">
        <f t="shared" si="48"/>
        <v>2794.2375999999999</v>
      </c>
      <c r="U158">
        <f t="shared" si="35"/>
        <v>556.86803899999995</v>
      </c>
      <c r="V158">
        <f t="shared" si="49"/>
        <v>1649.9999995569999</v>
      </c>
      <c r="W158">
        <f t="shared" si="36"/>
        <v>65.153560562999985</v>
      </c>
      <c r="X158">
        <f t="shared" si="37"/>
        <v>3.3651535596770001</v>
      </c>
      <c r="Y158">
        <f t="shared" si="38"/>
        <v>61.788407003322988</v>
      </c>
      <c r="Z158">
        <f t="shared" si="39"/>
        <v>51108.94768567635</v>
      </c>
      <c r="AB158">
        <f t="shared" si="40"/>
        <v>637.72380699999997</v>
      </c>
      <c r="AC158">
        <f t="shared" si="41"/>
        <v>1889.5756401409999</v>
      </c>
      <c r="AD158">
        <f t="shared" si="42"/>
        <v>74.613685418999992</v>
      </c>
      <c r="AE158">
        <f t="shared" si="43"/>
        <v>3.853764965701</v>
      </c>
      <c r="AF158">
        <f t="shared" si="44"/>
        <v>70.759920453298989</v>
      </c>
      <c r="AG158">
        <f t="shared" si="34"/>
        <v>18966.516309762141</v>
      </c>
      <c r="AH158" t="b">
        <f t="shared" si="45"/>
        <v>1</v>
      </c>
    </row>
    <row r="159" spans="4:34" x14ac:dyDescent="0.4">
      <c r="D159" t="s">
        <v>60</v>
      </c>
      <c r="E159" t="s">
        <v>37</v>
      </c>
      <c r="F159" s="9">
        <v>46010.166666666664</v>
      </c>
      <c r="G159" s="12">
        <v>1.8394999999999999</v>
      </c>
      <c r="H159" s="9">
        <v>46012.666666666664</v>
      </c>
      <c r="I159" s="12">
        <v>1.9044000000000001</v>
      </c>
      <c r="J159" s="12">
        <v>1230.7</v>
      </c>
      <c r="K159" s="12">
        <v>2264.0300000000002</v>
      </c>
      <c r="L159">
        <v>3.46</v>
      </c>
      <c r="M159">
        <v>76.42</v>
      </c>
      <c r="N159" s="13">
        <v>3.3799999999999997E-2</v>
      </c>
      <c r="O159" t="s">
        <v>57</v>
      </c>
      <c r="Q159">
        <f t="shared" si="46"/>
        <v>79.872430000000222</v>
      </c>
      <c r="R159">
        <f t="shared" si="47"/>
        <v>76.412430000000228</v>
      </c>
      <c r="S159">
        <f t="shared" si="48"/>
        <v>2343.7450800000001</v>
      </c>
      <c r="U159">
        <f t="shared" si="35"/>
        <v>896.98287600000003</v>
      </c>
      <c r="V159">
        <f t="shared" si="49"/>
        <v>1650.0000004020001</v>
      </c>
      <c r="W159">
        <f t="shared" si="36"/>
        <v>58.214188652400161</v>
      </c>
      <c r="X159">
        <f t="shared" si="37"/>
        <v>3.3582141894564002</v>
      </c>
      <c r="Y159">
        <f t="shared" si="38"/>
        <v>54.855974462943763</v>
      </c>
      <c r="Z159">
        <f t="shared" si="39"/>
        <v>51047.159278673025</v>
      </c>
      <c r="AB159">
        <f t="shared" si="40"/>
        <v>1023.818627</v>
      </c>
      <c r="AC159">
        <f t="shared" si="41"/>
        <v>1883.3143643664998</v>
      </c>
      <c r="AD159">
        <f t="shared" si="42"/>
        <v>66.445828892300185</v>
      </c>
      <c r="AE159">
        <f t="shared" si="43"/>
        <v>3.8330745576253</v>
      </c>
      <c r="AF159">
        <f t="shared" si="44"/>
        <v>62.612754334674882</v>
      </c>
      <c r="AG159">
        <f t="shared" si="34"/>
        <v>18895.756389308841</v>
      </c>
      <c r="AH159" t="b">
        <f t="shared" si="45"/>
        <v>1</v>
      </c>
    </row>
    <row r="160" spans="4:34" x14ac:dyDescent="0.4">
      <c r="D160" t="s">
        <v>56</v>
      </c>
      <c r="E160" t="s">
        <v>37</v>
      </c>
      <c r="F160" s="9">
        <v>46010.125</v>
      </c>
      <c r="G160" s="12">
        <v>2834.48</v>
      </c>
      <c r="H160" s="9">
        <v>46012.625</v>
      </c>
      <c r="I160" s="12">
        <v>2970.29</v>
      </c>
      <c r="J160">
        <v>2.0882999999999998</v>
      </c>
      <c r="K160" s="12">
        <v>5919.32</v>
      </c>
      <c r="L160">
        <v>9.09</v>
      </c>
      <c r="M160">
        <v>274.52</v>
      </c>
      <c r="N160" s="13">
        <v>4.6399999999999997E-2</v>
      </c>
      <c r="O160" t="s">
        <v>57</v>
      </c>
      <c r="Q160">
        <f t="shared" si="46"/>
        <v>283.61202299999985</v>
      </c>
      <c r="R160">
        <f t="shared" si="47"/>
        <v>274.52202299999988</v>
      </c>
      <c r="S160">
        <f t="shared" si="48"/>
        <v>6202.8566069999997</v>
      </c>
      <c r="U160">
        <f t="shared" si="35"/>
        <v>0.582117</v>
      </c>
      <c r="V160">
        <f t="shared" si="49"/>
        <v>1649.9989941599999</v>
      </c>
      <c r="W160">
        <f t="shared" si="36"/>
        <v>79.057309769999961</v>
      </c>
      <c r="X160">
        <f t="shared" si="37"/>
        <v>3.3790552980900004</v>
      </c>
      <c r="Y160">
        <f t="shared" si="38"/>
        <v>75.678254471909966</v>
      </c>
      <c r="Z160">
        <f t="shared" si="39"/>
        <v>50992.30330421008</v>
      </c>
      <c r="AB160">
        <f t="shared" si="40"/>
        <v>0.66139700000000001</v>
      </c>
      <c r="AC160">
        <f t="shared" si="41"/>
        <v>1874.71656856</v>
      </c>
      <c r="AD160">
        <f t="shared" si="42"/>
        <v>89.824326569999968</v>
      </c>
      <c r="AE160">
        <f t="shared" si="43"/>
        <v>3.8392574636900005</v>
      </c>
      <c r="AF160">
        <f t="shared" si="44"/>
        <v>85.985069106309965</v>
      </c>
      <c r="AG160">
        <f t="shared" si="34"/>
        <v>18833.143634974167</v>
      </c>
      <c r="AH160" t="b">
        <f t="shared" si="45"/>
        <v>1</v>
      </c>
    </row>
    <row r="161" spans="4:34" x14ac:dyDescent="0.4">
      <c r="D161" t="s">
        <v>55</v>
      </c>
      <c r="E161" t="s">
        <v>37</v>
      </c>
      <c r="F161" s="9">
        <v>46010.166666666664</v>
      </c>
      <c r="G161">
        <v>3.7830000000000002E-5</v>
      </c>
      <c r="H161" s="9">
        <v>46012.166666666664</v>
      </c>
      <c r="I161">
        <v>3.9280000000000003E-5</v>
      </c>
      <c r="J161" s="12">
        <v>172498173.22</v>
      </c>
      <c r="K161" s="12">
        <v>6525.61</v>
      </c>
      <c r="L161">
        <v>9.98</v>
      </c>
      <c r="M161">
        <v>240.15</v>
      </c>
      <c r="N161" s="13">
        <v>3.6799999999999999E-2</v>
      </c>
      <c r="O161" t="s">
        <v>38</v>
      </c>
      <c r="Q161">
        <f t="shared" si="46"/>
        <v>250.12235116900024</v>
      </c>
      <c r="R161">
        <f t="shared" si="47"/>
        <v>240.14235116900025</v>
      </c>
      <c r="S161">
        <f t="shared" si="48"/>
        <v>6775.7282440816007</v>
      </c>
      <c r="U161">
        <f t="shared" si="35"/>
        <v>43616177.636795998</v>
      </c>
      <c r="V161">
        <f t="shared" si="49"/>
        <v>1649.9999999999927</v>
      </c>
      <c r="W161">
        <f t="shared" si="36"/>
        <v>63.243457573354256</v>
      </c>
      <c r="X161">
        <f t="shared" si="37"/>
        <v>3.363243457573339</v>
      </c>
      <c r="Y161">
        <f t="shared" si="38"/>
        <v>59.880214115780916</v>
      </c>
      <c r="Z161">
        <f t="shared" si="39"/>
        <v>50916.62504973817</v>
      </c>
      <c r="AB161">
        <f t="shared" si="40"/>
        <v>49377132.420142002</v>
      </c>
      <c r="AC161">
        <f t="shared" si="41"/>
        <v>1867.936919453972</v>
      </c>
      <c r="AD161">
        <f t="shared" si="42"/>
        <v>71.596842009205972</v>
      </c>
      <c r="AE161">
        <f t="shared" si="43"/>
        <v>3.8074706809171497</v>
      </c>
      <c r="AF161">
        <f t="shared" si="44"/>
        <v>67.789371328288823</v>
      </c>
      <c r="AG161">
        <f t="shared" si="34"/>
        <v>18747.158565867856</v>
      </c>
      <c r="AH161" t="b">
        <f t="shared" si="45"/>
        <v>1</v>
      </c>
    </row>
    <row r="162" spans="4:34" x14ac:dyDescent="0.4">
      <c r="D162" t="s">
        <v>58</v>
      </c>
      <c r="E162" t="s">
        <v>37</v>
      </c>
      <c r="F162" s="9">
        <v>46010.166666666664</v>
      </c>
      <c r="G162">
        <v>12.21</v>
      </c>
      <c r="H162" s="9">
        <v>46012.166666666664</v>
      </c>
      <c r="I162">
        <v>12.48</v>
      </c>
      <c r="J162" s="12">
        <v>604.08000000000004</v>
      </c>
      <c r="K162" s="12">
        <v>7375.92</v>
      </c>
      <c r="L162">
        <v>11.19</v>
      </c>
      <c r="M162">
        <v>151.91999999999999</v>
      </c>
      <c r="N162" s="13">
        <v>2.06E-2</v>
      </c>
      <c r="O162" t="s">
        <v>38</v>
      </c>
      <c r="Q162">
        <f t="shared" si="46"/>
        <v>163.10159999999976</v>
      </c>
      <c r="R162">
        <f t="shared" si="47"/>
        <v>151.91159999999977</v>
      </c>
      <c r="S162">
        <f t="shared" si="48"/>
        <v>7538.9184000000005</v>
      </c>
      <c r="U162">
        <f t="shared" si="35"/>
        <v>135.13513499999999</v>
      </c>
      <c r="V162">
        <f t="shared" si="49"/>
        <v>1649.9999983499999</v>
      </c>
      <c r="W162">
        <f t="shared" si="36"/>
        <v>36.486486449999937</v>
      </c>
      <c r="X162">
        <f t="shared" si="37"/>
        <v>3.3364864831499998</v>
      </c>
      <c r="Y162">
        <f t="shared" si="38"/>
        <v>33.14999996684994</v>
      </c>
      <c r="Z162">
        <f t="shared" si="39"/>
        <v>50856.74483562239</v>
      </c>
      <c r="AB162">
        <f t="shared" si="40"/>
        <v>152.67744400000001</v>
      </c>
      <c r="AC162">
        <f t="shared" si="41"/>
        <v>1864.1915912400002</v>
      </c>
      <c r="AD162">
        <f t="shared" si="42"/>
        <v>41.222909879999939</v>
      </c>
      <c r="AE162">
        <f t="shared" si="43"/>
        <v>3.7696060923600001</v>
      </c>
      <c r="AF162">
        <f t="shared" si="44"/>
        <v>37.453303787639939</v>
      </c>
      <c r="AG162">
        <f t="shared" si="34"/>
        <v>18679.369194539566</v>
      </c>
      <c r="AH162" t="b">
        <f t="shared" si="45"/>
        <v>1</v>
      </c>
    </row>
    <row r="163" spans="4:34" x14ac:dyDescent="0.4">
      <c r="D163" t="s">
        <v>53</v>
      </c>
      <c r="E163" t="s">
        <v>37</v>
      </c>
      <c r="F163" s="9">
        <v>46010.166666666664</v>
      </c>
      <c r="G163">
        <v>837.37</v>
      </c>
      <c r="H163" s="9">
        <v>46012.166666666664</v>
      </c>
      <c r="I163">
        <v>850.06</v>
      </c>
      <c r="J163">
        <v>11.731</v>
      </c>
      <c r="K163" s="12">
        <v>9823.43</v>
      </c>
      <c r="L163">
        <v>14.85</v>
      </c>
      <c r="M163">
        <v>134.02000000000001</v>
      </c>
      <c r="N163" s="13">
        <v>1.3599999999999999E-2</v>
      </c>
      <c r="O163" t="s">
        <v>38</v>
      </c>
      <c r="Q163">
        <f t="shared" si="46"/>
        <v>148.86638999999931</v>
      </c>
      <c r="R163">
        <f t="shared" si="47"/>
        <v>134.01638999999932</v>
      </c>
      <c r="S163">
        <f t="shared" si="48"/>
        <v>9972.05386</v>
      </c>
      <c r="U163">
        <f t="shared" si="35"/>
        <v>1.9704550000000001</v>
      </c>
      <c r="V163">
        <f t="shared" si="49"/>
        <v>1649.9999033500001</v>
      </c>
      <c r="W163">
        <f t="shared" si="36"/>
        <v>25.005073949999883</v>
      </c>
      <c r="X163">
        <f t="shared" si="37"/>
        <v>3.3250048806499994</v>
      </c>
      <c r="Y163">
        <f t="shared" si="38"/>
        <v>21.680069069349884</v>
      </c>
      <c r="Z163">
        <f t="shared" si="39"/>
        <v>50823.594835655538</v>
      </c>
      <c r="AB163">
        <f t="shared" si="40"/>
        <v>2.223325</v>
      </c>
      <c r="AC163">
        <f t="shared" si="41"/>
        <v>1861.74565525</v>
      </c>
      <c r="AD163">
        <f t="shared" si="42"/>
        <v>28.213994249999867</v>
      </c>
      <c r="AE163">
        <f t="shared" si="43"/>
        <v>3.7517053047499993</v>
      </c>
      <c r="AF163">
        <f t="shared" si="44"/>
        <v>24.462288945249867</v>
      </c>
      <c r="AG163">
        <f t="shared" si="34"/>
        <v>18641.915890751927</v>
      </c>
      <c r="AH163" t="b">
        <f t="shared" si="45"/>
        <v>1</v>
      </c>
    </row>
    <row r="164" spans="4:34" x14ac:dyDescent="0.4">
      <c r="D164" t="s">
        <v>43</v>
      </c>
      <c r="E164" t="s">
        <v>37</v>
      </c>
      <c r="F164" s="9">
        <v>46010.125</v>
      </c>
      <c r="G164">
        <v>1.3402000000000001</v>
      </c>
      <c r="H164" s="9">
        <v>46012.125</v>
      </c>
      <c r="I164">
        <v>1.4373</v>
      </c>
      <c r="J164" s="12">
        <v>1422.1</v>
      </c>
      <c r="K164" s="12">
        <v>1905.97</v>
      </c>
      <c r="L164">
        <v>2.96</v>
      </c>
      <c r="M164">
        <v>135.12</v>
      </c>
      <c r="N164" s="13">
        <v>7.0900000000000005E-2</v>
      </c>
      <c r="O164" t="s">
        <v>38</v>
      </c>
      <c r="Q164">
        <f t="shared" si="46"/>
        <v>138.08590999999993</v>
      </c>
      <c r="R164">
        <f t="shared" si="47"/>
        <v>135.12590999999992</v>
      </c>
      <c r="S164">
        <f t="shared" si="48"/>
        <v>2043.98433</v>
      </c>
      <c r="U164">
        <f t="shared" si="35"/>
        <v>1231.1595279999999</v>
      </c>
      <c r="V164">
        <f t="shared" si="49"/>
        <v>1649.9999994256</v>
      </c>
      <c r="W164">
        <f t="shared" si="36"/>
        <v>119.54559016879995</v>
      </c>
      <c r="X164">
        <f t="shared" si="37"/>
        <v>3.4195455890199997</v>
      </c>
      <c r="Y164">
        <f t="shared" si="38"/>
        <v>116.12604457977994</v>
      </c>
      <c r="Z164">
        <f t="shared" si="39"/>
        <v>50801.914766586189</v>
      </c>
      <c r="AB164">
        <f t="shared" si="40"/>
        <v>1379.4464089999999</v>
      </c>
      <c r="AC164">
        <f t="shared" si="41"/>
        <v>1848.7340773418</v>
      </c>
      <c r="AD164">
        <f t="shared" si="42"/>
        <v>133.94424631389995</v>
      </c>
      <c r="AE164">
        <f t="shared" si="43"/>
        <v>3.8314124009974999</v>
      </c>
      <c r="AF164">
        <f t="shared" si="44"/>
        <v>130.11283391290246</v>
      </c>
      <c r="AG164">
        <f t="shared" si="34"/>
        <v>18617.453601806676</v>
      </c>
      <c r="AH164" t="b">
        <f t="shared" si="45"/>
        <v>1</v>
      </c>
    </row>
    <row r="165" spans="4:34" x14ac:dyDescent="0.4">
      <c r="D165" t="s">
        <v>54</v>
      </c>
      <c r="E165" t="s">
        <v>37</v>
      </c>
      <c r="F165" s="9">
        <v>46010.125</v>
      </c>
      <c r="G165" s="12">
        <v>118.91</v>
      </c>
      <c r="H165" s="9">
        <v>46012.125</v>
      </c>
      <c r="I165" s="12">
        <v>124.87</v>
      </c>
      <c r="J165">
        <v>42.683</v>
      </c>
      <c r="K165" s="12">
        <v>5075.49</v>
      </c>
      <c r="L165">
        <v>7.8</v>
      </c>
      <c r="M165">
        <v>246.59</v>
      </c>
      <c r="N165" s="13">
        <v>4.8599999999999997E-2</v>
      </c>
      <c r="O165" t="s">
        <v>38</v>
      </c>
      <c r="Q165">
        <f t="shared" si="46"/>
        <v>254.39068000000034</v>
      </c>
      <c r="R165">
        <f t="shared" si="47"/>
        <v>246.59068000000033</v>
      </c>
      <c r="S165">
        <f t="shared" si="48"/>
        <v>5329.8262100000002</v>
      </c>
      <c r="U165">
        <f t="shared" si="35"/>
        <v>13.876041000000001</v>
      </c>
      <c r="V165">
        <f t="shared" si="49"/>
        <v>1650.0000353099999</v>
      </c>
      <c r="W165">
        <f t="shared" si="36"/>
        <v>82.701204360000119</v>
      </c>
      <c r="X165">
        <f t="shared" si="37"/>
        <v>3.3827012749800001</v>
      </c>
      <c r="Y165">
        <f t="shared" si="38"/>
        <v>79.318503085020126</v>
      </c>
      <c r="Z165">
        <f t="shared" si="39"/>
        <v>50685.788722006408</v>
      </c>
      <c r="AB165">
        <f t="shared" si="40"/>
        <v>15.472958</v>
      </c>
      <c r="AC165">
        <f t="shared" si="41"/>
        <v>1839.88943578</v>
      </c>
      <c r="AD165">
        <f t="shared" si="42"/>
        <v>92.218829680000127</v>
      </c>
      <c r="AE165">
        <f t="shared" si="43"/>
        <v>3.7719977012400001</v>
      </c>
      <c r="AF165">
        <f t="shared" si="44"/>
        <v>88.44683197876013</v>
      </c>
      <c r="AG165">
        <f t="shared" si="34"/>
        <v>18487.340767893773</v>
      </c>
      <c r="AH165" t="b">
        <f t="shared" si="45"/>
        <v>1</v>
      </c>
    </row>
    <row r="166" spans="4:34" x14ac:dyDescent="0.4">
      <c r="D166" t="s">
        <v>61</v>
      </c>
      <c r="E166" t="s">
        <v>37</v>
      </c>
      <c r="F166" s="9">
        <v>46010.125</v>
      </c>
      <c r="G166">
        <v>0.35060000000000002</v>
      </c>
      <c r="H166" s="9">
        <v>46012.125</v>
      </c>
      <c r="I166">
        <v>0.36840000000000001</v>
      </c>
      <c r="J166" s="12">
        <v>24291.4</v>
      </c>
      <c r="K166" s="12">
        <v>8516.57</v>
      </c>
      <c r="L166">
        <v>13.1</v>
      </c>
      <c r="M166">
        <v>419.29</v>
      </c>
      <c r="N166" s="13">
        <v>4.9200000000000001E-2</v>
      </c>
      <c r="O166" t="s">
        <v>38</v>
      </c>
      <c r="Q166">
        <f t="shared" si="46"/>
        <v>432.38691999999958</v>
      </c>
      <c r="R166">
        <f t="shared" si="47"/>
        <v>419.28691999999955</v>
      </c>
      <c r="S166">
        <f t="shared" si="48"/>
        <v>8948.9517599999999</v>
      </c>
      <c r="U166">
        <f t="shared" si="35"/>
        <v>4706.2179120000001</v>
      </c>
      <c r="V166">
        <f t="shared" si="49"/>
        <v>1649.9999999472002</v>
      </c>
      <c r="W166">
        <f t="shared" si="36"/>
        <v>83.770678833599916</v>
      </c>
      <c r="X166">
        <f t="shared" si="37"/>
        <v>3.3837706787280006</v>
      </c>
      <c r="Y166">
        <f t="shared" si="38"/>
        <v>80.386908154871918</v>
      </c>
      <c r="Z166">
        <f t="shared" si="39"/>
        <v>50606.470218921386</v>
      </c>
      <c r="AB166">
        <f t="shared" si="40"/>
        <v>5222.3874320000004</v>
      </c>
      <c r="AC166">
        <f t="shared" si="41"/>
        <v>1830.9690336592002</v>
      </c>
      <c r="AD166">
        <f t="shared" si="42"/>
        <v>92.958496289599921</v>
      </c>
      <c r="AE166">
        <f t="shared" si="43"/>
        <v>3.7548965636080012</v>
      </c>
      <c r="AF166">
        <f t="shared" si="44"/>
        <v>89.203599725991921</v>
      </c>
      <c r="AG166">
        <f t="shared" si="34"/>
        <v>18398.893935915014</v>
      </c>
      <c r="AH166" t="b">
        <f t="shared" si="45"/>
        <v>1</v>
      </c>
    </row>
    <row r="167" spans="4:34" x14ac:dyDescent="0.4">
      <c r="D167" t="s">
        <v>40</v>
      </c>
      <c r="E167" t="s">
        <v>41</v>
      </c>
      <c r="F167" s="9">
        <v>46010.791666666664</v>
      </c>
      <c r="G167">
        <v>436.59</v>
      </c>
      <c r="H167" s="9">
        <v>46012.125</v>
      </c>
      <c r="I167">
        <v>443.64</v>
      </c>
      <c r="J167">
        <v>20.05</v>
      </c>
      <c r="K167" s="12">
        <v>8753.74</v>
      </c>
      <c r="L167">
        <v>13.24</v>
      </c>
      <c r="M167">
        <v>128.12</v>
      </c>
      <c r="N167" s="13">
        <v>1.46E-2</v>
      </c>
      <c r="O167" t="s">
        <v>38</v>
      </c>
      <c r="Q167">
        <f t="shared" si="46"/>
        <v>141.35250000000022</v>
      </c>
      <c r="R167">
        <f t="shared" si="47"/>
        <v>128.11250000000021</v>
      </c>
      <c r="S167">
        <f t="shared" si="48"/>
        <v>8894.982</v>
      </c>
      <c r="U167">
        <f t="shared" si="35"/>
        <v>3.7792889999999999</v>
      </c>
      <c r="V167">
        <f t="shared" si="49"/>
        <v>1649.9997845099999</v>
      </c>
      <c r="W167">
        <f t="shared" si="36"/>
        <v>26.643987450000044</v>
      </c>
      <c r="X167">
        <f t="shared" si="37"/>
        <v>3.3266435564700001</v>
      </c>
      <c r="Y167">
        <f t="shared" si="38"/>
        <v>23.317343893530044</v>
      </c>
      <c r="Z167">
        <f t="shared" si="39"/>
        <v>50526.083310766517</v>
      </c>
      <c r="AB167">
        <f t="shared" si="40"/>
        <v>4.1878770000000003</v>
      </c>
      <c r="AC167">
        <f t="shared" si="41"/>
        <v>1828.38521943</v>
      </c>
      <c r="AD167">
        <f t="shared" si="42"/>
        <v>29.52453285000005</v>
      </c>
      <c r="AE167">
        <f t="shared" si="43"/>
        <v>3.6862949717100006</v>
      </c>
      <c r="AF167">
        <f t="shared" si="44"/>
        <v>25.838237878290048</v>
      </c>
      <c r="AG167">
        <f t="shared" si="34"/>
        <v>18309.690336189022</v>
      </c>
      <c r="AH167" t="b">
        <f t="shared" si="45"/>
        <v>1</v>
      </c>
    </row>
    <row r="168" spans="4:34" x14ac:dyDescent="0.4">
      <c r="D168" t="s">
        <v>59</v>
      </c>
      <c r="E168" t="s">
        <v>37</v>
      </c>
      <c r="F168" s="9">
        <v>46009.125</v>
      </c>
      <c r="G168" s="12">
        <v>86672.82</v>
      </c>
      <c r="H168" s="9">
        <v>46011.625</v>
      </c>
      <c r="I168" s="12">
        <v>88223.03</v>
      </c>
      <c r="J168">
        <v>0.12361999999999999</v>
      </c>
      <c r="K168" s="12">
        <v>10715.24</v>
      </c>
      <c r="L168">
        <v>16.22</v>
      </c>
      <c r="M168">
        <v>175.42</v>
      </c>
      <c r="N168" s="13">
        <v>1.6400000000000001E-2</v>
      </c>
      <c r="O168" t="s">
        <v>57</v>
      </c>
      <c r="Q168">
        <f t="shared" si="46"/>
        <v>191.63696019999898</v>
      </c>
      <c r="R168">
        <f t="shared" si="47"/>
        <v>175.41696019999898</v>
      </c>
      <c r="S168">
        <f t="shared" si="48"/>
        <v>10906.130968599999</v>
      </c>
      <c r="U168">
        <f t="shared" si="35"/>
        <v>1.9036999999999998E-2</v>
      </c>
      <c r="V168">
        <f t="shared" si="49"/>
        <v>1649.99047434</v>
      </c>
      <c r="W168">
        <f t="shared" si="36"/>
        <v>29.511347769999844</v>
      </c>
      <c r="X168">
        <f t="shared" si="37"/>
        <v>3.3294922964499998</v>
      </c>
      <c r="Y168">
        <f t="shared" si="38"/>
        <v>26.181855473549845</v>
      </c>
      <c r="Z168">
        <f t="shared" si="39"/>
        <v>50502.76596687299</v>
      </c>
      <c r="AB168">
        <f t="shared" si="40"/>
        <v>2.1062000000000001E-2</v>
      </c>
      <c r="AC168">
        <f t="shared" si="41"/>
        <v>1825.5029348400003</v>
      </c>
      <c r="AD168">
        <f t="shared" si="42"/>
        <v>32.650523019999831</v>
      </c>
      <c r="AE168">
        <f t="shared" si="43"/>
        <v>3.6836563927000001</v>
      </c>
      <c r="AF168">
        <f t="shared" si="44"/>
        <v>28.966866627299829</v>
      </c>
      <c r="AG168">
        <f t="shared" si="34"/>
        <v>18283.85209831073</v>
      </c>
      <c r="AH168" t="b">
        <f t="shared" si="45"/>
        <v>1</v>
      </c>
    </row>
    <row r="169" spans="4:34" x14ac:dyDescent="0.4">
      <c r="D169" t="s">
        <v>40</v>
      </c>
      <c r="E169" t="s">
        <v>41</v>
      </c>
      <c r="F169" s="9">
        <v>46009.041666666664</v>
      </c>
      <c r="G169">
        <v>378.32</v>
      </c>
      <c r="H169" s="9">
        <v>46010.375</v>
      </c>
      <c r="I169">
        <v>410.82</v>
      </c>
      <c r="J169" s="12">
        <v>22.943999999999999</v>
      </c>
      <c r="K169" s="12">
        <v>8680.5300000000007</v>
      </c>
      <c r="L169">
        <v>13.58</v>
      </c>
      <c r="M169">
        <v>732.1</v>
      </c>
      <c r="N169" s="13">
        <v>8.43E-2</v>
      </c>
      <c r="O169" t="s">
        <v>38</v>
      </c>
      <c r="Q169">
        <f t="shared" si="46"/>
        <v>745.68</v>
      </c>
      <c r="R169">
        <f t="shared" si="47"/>
        <v>732.09999999999991</v>
      </c>
      <c r="S169">
        <f t="shared" si="48"/>
        <v>9425.8540799999992</v>
      </c>
      <c r="U169">
        <f t="shared" si="35"/>
        <v>4.3613869999999997</v>
      </c>
      <c r="V169">
        <f t="shared" si="49"/>
        <v>1649.9999298399998</v>
      </c>
      <c r="W169">
        <f t="shared" si="36"/>
        <v>141.74507749999998</v>
      </c>
      <c r="X169">
        <f t="shared" si="37"/>
        <v>3.4417449371799997</v>
      </c>
      <c r="Y169">
        <f t="shared" si="38"/>
        <v>138.30333256281997</v>
      </c>
      <c r="Z169">
        <f t="shared" si="39"/>
        <v>50476.584111399439</v>
      </c>
      <c r="AB169">
        <f t="shared" si="40"/>
        <v>4.7851410000000003</v>
      </c>
      <c r="AC169">
        <f t="shared" si="41"/>
        <v>1810.3145431200001</v>
      </c>
      <c r="AD169">
        <f t="shared" si="42"/>
        <v>155.51708250000001</v>
      </c>
      <c r="AE169">
        <f t="shared" si="43"/>
        <v>3.77614616874</v>
      </c>
      <c r="AF169">
        <f t="shared" si="44"/>
        <v>151.74093633126</v>
      </c>
      <c r="AG169">
        <f t="shared" si="34"/>
        <v>18254.885231683431</v>
      </c>
      <c r="AH169" t="b">
        <f t="shared" si="45"/>
        <v>1</v>
      </c>
    </row>
    <row r="170" spans="4:34" x14ac:dyDescent="0.4">
      <c r="D170" t="s">
        <v>53</v>
      </c>
      <c r="E170" t="s">
        <v>37</v>
      </c>
      <c r="F170" s="9">
        <v>46007.625</v>
      </c>
      <c r="G170">
        <v>872.11</v>
      </c>
      <c r="H170" s="9">
        <v>46009.625</v>
      </c>
      <c r="I170">
        <v>843.36</v>
      </c>
      <c r="J170" s="12">
        <v>11.302</v>
      </c>
      <c r="K170" s="12">
        <v>9857.3700000000008</v>
      </c>
      <c r="L170">
        <v>14.54</v>
      </c>
      <c r="M170">
        <v>-339.47</v>
      </c>
      <c r="N170" s="13">
        <v>-3.44E-2</v>
      </c>
      <c r="O170" t="s">
        <v>38</v>
      </c>
      <c r="Q170">
        <f t="shared" si="46"/>
        <v>-324.9325</v>
      </c>
      <c r="R170">
        <f t="shared" si="47"/>
        <v>-339.47250000000003</v>
      </c>
      <c r="S170">
        <f t="shared" si="48"/>
        <v>9531.6547200000005</v>
      </c>
      <c r="U170">
        <f t="shared" si="35"/>
        <v>1.8919630000000001</v>
      </c>
      <c r="V170">
        <f t="shared" si="49"/>
        <v>1649.99985193</v>
      </c>
      <c r="W170">
        <f t="shared" si="36"/>
        <v>-54.393936250000003</v>
      </c>
      <c r="X170">
        <f t="shared" si="37"/>
        <v>3.2456057676100003</v>
      </c>
      <c r="Y170">
        <f t="shared" si="38"/>
        <v>-57.639542017610005</v>
      </c>
      <c r="Z170">
        <f t="shared" si="39"/>
        <v>50338.280778836619</v>
      </c>
      <c r="AB170">
        <f t="shared" si="40"/>
        <v>2.0830639999999998</v>
      </c>
      <c r="AC170">
        <f t="shared" si="41"/>
        <v>1816.6609450399999</v>
      </c>
      <c r="AD170">
        <f t="shared" si="42"/>
        <v>-59.888089999999991</v>
      </c>
      <c r="AE170">
        <f t="shared" si="43"/>
        <v>3.5734338000799997</v>
      </c>
      <c r="AF170">
        <f t="shared" si="44"/>
        <v>-63.461523800079988</v>
      </c>
      <c r="AG170">
        <f t="shared" ref="AG170:AG233" si="50">AG171*AH170 + (1-AH170)*AI170+AF170</f>
        <v>18103.144295352169</v>
      </c>
      <c r="AH170" t="b">
        <f t="shared" si="45"/>
        <v>1</v>
      </c>
    </row>
    <row r="171" spans="4:34" x14ac:dyDescent="0.4">
      <c r="D171" t="s">
        <v>48</v>
      </c>
      <c r="E171" t="s">
        <v>37</v>
      </c>
      <c r="F171" s="9">
        <v>46007.166666666664</v>
      </c>
      <c r="G171">
        <v>9.35E-2</v>
      </c>
      <c r="H171" s="9">
        <v>46009.166666666664</v>
      </c>
      <c r="I171">
        <v>9.01E-2</v>
      </c>
      <c r="J171" s="12">
        <v>47277.1</v>
      </c>
      <c r="K171" s="12">
        <v>4420.41</v>
      </c>
      <c r="L171">
        <v>6.51</v>
      </c>
      <c r="M171">
        <v>-167.25</v>
      </c>
      <c r="N171" s="13">
        <v>-3.78E-2</v>
      </c>
      <c r="O171" t="s">
        <v>38</v>
      </c>
      <c r="Q171">
        <f t="shared" si="46"/>
        <v>-160.74214000000001</v>
      </c>
      <c r="R171">
        <f t="shared" si="47"/>
        <v>-167.25214</v>
      </c>
      <c r="S171">
        <f t="shared" si="48"/>
        <v>4259.6667099999995</v>
      </c>
      <c r="U171">
        <f t="shared" si="35"/>
        <v>17647.058824</v>
      </c>
      <c r="V171">
        <f t="shared" si="49"/>
        <v>1650.000000044</v>
      </c>
      <c r="W171">
        <f t="shared" si="36"/>
        <v>-60.0000000016</v>
      </c>
      <c r="X171">
        <f t="shared" si="37"/>
        <v>3.2400000000864</v>
      </c>
      <c r="Y171">
        <f t="shared" si="38"/>
        <v>-63.240000001686397</v>
      </c>
      <c r="Z171">
        <f t="shared" si="39"/>
        <v>50395.920320854231</v>
      </c>
      <c r="AB171">
        <f t="shared" si="40"/>
        <v>19504.279524000001</v>
      </c>
      <c r="AC171">
        <f t="shared" si="41"/>
        <v>1823.6501354940001</v>
      </c>
      <c r="AD171">
        <f t="shared" si="42"/>
        <v>-66.314550381600014</v>
      </c>
      <c r="AE171">
        <f t="shared" si="43"/>
        <v>3.5809857206064</v>
      </c>
      <c r="AF171">
        <f t="shared" si="44"/>
        <v>-69.895536102206421</v>
      </c>
      <c r="AG171">
        <f t="shared" si="50"/>
        <v>18166.60581915225</v>
      </c>
      <c r="AH171" t="b">
        <f t="shared" si="45"/>
        <v>1</v>
      </c>
    </row>
    <row r="172" spans="4:34" x14ac:dyDescent="0.4">
      <c r="D172" t="s">
        <v>40</v>
      </c>
      <c r="E172" t="s">
        <v>41</v>
      </c>
      <c r="F172" s="9">
        <v>46007.458333333336</v>
      </c>
      <c r="G172" s="12">
        <v>391.69</v>
      </c>
      <c r="H172" s="9">
        <v>46008.791666666664</v>
      </c>
      <c r="I172" s="12">
        <v>387.74</v>
      </c>
      <c r="J172">
        <v>22.187000000000001</v>
      </c>
      <c r="K172" s="12">
        <v>8690.59</v>
      </c>
      <c r="L172">
        <v>12.97</v>
      </c>
      <c r="M172">
        <v>-100.61</v>
      </c>
      <c r="N172" s="13">
        <v>-1.1599999999999999E-2</v>
      </c>
      <c r="O172" t="s">
        <v>38</v>
      </c>
      <c r="Q172">
        <f t="shared" si="46"/>
        <v>-87.638649999999757</v>
      </c>
      <c r="R172">
        <f t="shared" si="47"/>
        <v>-100.60864999999976</v>
      </c>
      <c r="S172">
        <f t="shared" si="48"/>
        <v>8602.7873799999998</v>
      </c>
      <c r="U172">
        <f t="shared" si="35"/>
        <v>4.2125149999999998</v>
      </c>
      <c r="V172">
        <f t="shared" si="49"/>
        <v>1650.0000003499999</v>
      </c>
      <c r="W172">
        <f t="shared" si="36"/>
        <v>-16.639434249999951</v>
      </c>
      <c r="X172">
        <f t="shared" si="37"/>
        <v>3.2833605664500003</v>
      </c>
      <c r="Y172">
        <f t="shared" si="38"/>
        <v>-19.922794816449951</v>
      </c>
      <c r="Z172">
        <f t="shared" si="39"/>
        <v>50459.160320855917</v>
      </c>
      <c r="AB172">
        <f t="shared" si="40"/>
        <v>4.6614789999999999</v>
      </c>
      <c r="AC172">
        <f t="shared" si="41"/>
        <v>1825.85470951</v>
      </c>
      <c r="AD172">
        <f t="shared" si="42"/>
        <v>-18.412842049999945</v>
      </c>
      <c r="AE172">
        <f t="shared" si="43"/>
        <v>3.6332965769700003</v>
      </c>
      <c r="AF172">
        <f t="shared" si="44"/>
        <v>-22.046138626969945</v>
      </c>
      <c r="AG172">
        <f t="shared" si="50"/>
        <v>18236.501355254455</v>
      </c>
      <c r="AH172" t="b">
        <f t="shared" si="45"/>
        <v>1</v>
      </c>
    </row>
    <row r="173" spans="4:34" x14ac:dyDescent="0.4">
      <c r="D173" t="s">
        <v>54</v>
      </c>
      <c r="E173" t="s">
        <v>37</v>
      </c>
      <c r="F173" s="9">
        <v>46006.041666666664</v>
      </c>
      <c r="G173" s="12">
        <v>130.16</v>
      </c>
      <c r="H173" s="9">
        <v>46008.041666666664</v>
      </c>
      <c r="I173" s="12">
        <v>128.91</v>
      </c>
      <c r="J173">
        <v>39.036999999999999</v>
      </c>
      <c r="K173" s="12">
        <v>5081.13</v>
      </c>
      <c r="L173">
        <v>7.58</v>
      </c>
      <c r="M173">
        <v>-56.38</v>
      </c>
      <c r="N173" s="13">
        <v>-1.11E-2</v>
      </c>
      <c r="O173" t="s">
        <v>38</v>
      </c>
      <c r="Q173">
        <f t="shared" si="46"/>
        <v>-48.796250000000001</v>
      </c>
      <c r="R173">
        <f t="shared" si="47"/>
        <v>-56.376249999999999</v>
      </c>
      <c r="S173">
        <f t="shared" si="48"/>
        <v>5032.2596699999995</v>
      </c>
      <c r="U173">
        <f t="shared" si="35"/>
        <v>12.676705999999999</v>
      </c>
      <c r="V173">
        <f t="shared" si="49"/>
        <v>1650.0000529599999</v>
      </c>
      <c r="W173">
        <f t="shared" si="36"/>
        <v>-15.845882499999998</v>
      </c>
      <c r="X173">
        <f t="shared" si="37"/>
        <v>3.2841542234200003</v>
      </c>
      <c r="Y173">
        <f t="shared" si="38"/>
        <v>-19.130036723419998</v>
      </c>
      <c r="Z173">
        <f t="shared" si="39"/>
        <v>50479.083115672365</v>
      </c>
      <c r="AB173">
        <f t="shared" si="40"/>
        <v>14.044053999999999</v>
      </c>
      <c r="AC173">
        <f t="shared" si="41"/>
        <v>1827.9740686399998</v>
      </c>
      <c r="AD173">
        <f t="shared" si="42"/>
        <v>-17.5550675</v>
      </c>
      <c r="AE173">
        <f t="shared" si="43"/>
        <v>3.6383930697800002</v>
      </c>
      <c r="AF173">
        <f t="shared" si="44"/>
        <v>-21.193460569780001</v>
      </c>
      <c r="AG173">
        <f t="shared" si="50"/>
        <v>18258.547493881426</v>
      </c>
      <c r="AH173" t="b">
        <f t="shared" si="45"/>
        <v>1</v>
      </c>
    </row>
    <row r="174" spans="4:34" x14ac:dyDescent="0.4">
      <c r="D174" t="s">
        <v>58</v>
      </c>
      <c r="E174" t="s">
        <v>37</v>
      </c>
      <c r="F174" s="9">
        <v>46006.041666666664</v>
      </c>
      <c r="G174">
        <v>13.39</v>
      </c>
      <c r="H174" s="9">
        <v>46008.041666666664</v>
      </c>
      <c r="I174">
        <v>12.84</v>
      </c>
      <c r="J174">
        <v>553.20000000000005</v>
      </c>
      <c r="K174" s="12">
        <v>7407.44</v>
      </c>
      <c r="L174">
        <v>10.88</v>
      </c>
      <c r="M174">
        <v>-315.14</v>
      </c>
      <c r="N174" s="13">
        <v>-4.2500000000000003E-2</v>
      </c>
      <c r="O174" t="s">
        <v>38</v>
      </c>
      <c r="Q174">
        <f t="shared" si="46"/>
        <v>-304.26000000000045</v>
      </c>
      <c r="R174">
        <f t="shared" si="47"/>
        <v>-315.14000000000044</v>
      </c>
      <c r="S174">
        <f t="shared" si="48"/>
        <v>7103.0880000000006</v>
      </c>
      <c r="U174">
        <f t="shared" si="35"/>
        <v>123.226288</v>
      </c>
      <c r="V174">
        <f t="shared" si="49"/>
        <v>1649.99999632</v>
      </c>
      <c r="W174">
        <f t="shared" si="36"/>
        <v>-67.774458400000086</v>
      </c>
      <c r="X174">
        <f t="shared" si="37"/>
        <v>3.2322255342399999</v>
      </c>
      <c r="Y174">
        <f t="shared" si="38"/>
        <v>-71.006683934240087</v>
      </c>
      <c r="Z174">
        <f t="shared" si="39"/>
        <v>50498.213152395787</v>
      </c>
      <c r="AB174">
        <f t="shared" si="40"/>
        <v>137.107891</v>
      </c>
      <c r="AC174">
        <f t="shared" si="41"/>
        <v>1835.87466049</v>
      </c>
      <c r="AD174">
        <f t="shared" si="42"/>
        <v>-75.409340050000097</v>
      </c>
      <c r="AE174">
        <f t="shared" si="43"/>
        <v>3.5963399809299998</v>
      </c>
      <c r="AF174">
        <f t="shared" si="44"/>
        <v>-79.005680030930094</v>
      </c>
      <c r="AG174">
        <f t="shared" si="50"/>
        <v>18279.740954451205</v>
      </c>
      <c r="AH174" t="b">
        <f t="shared" si="45"/>
        <v>1</v>
      </c>
    </row>
    <row r="175" spans="4:34" x14ac:dyDescent="0.4">
      <c r="D175" t="s">
        <v>43</v>
      </c>
      <c r="E175" t="s">
        <v>37</v>
      </c>
      <c r="F175" s="9">
        <v>46004.708333333336</v>
      </c>
      <c r="G175" s="12">
        <v>1.6097999999999999</v>
      </c>
      <c r="H175" s="9">
        <v>46006.708333333336</v>
      </c>
      <c r="I175" s="12">
        <v>1.474</v>
      </c>
      <c r="J175" s="12">
        <v>1194.2</v>
      </c>
      <c r="K175" s="12">
        <v>1922.47</v>
      </c>
      <c r="L175">
        <v>2.76</v>
      </c>
      <c r="M175">
        <v>-164.93</v>
      </c>
      <c r="N175" s="13">
        <v>-8.5800000000000001E-2</v>
      </c>
      <c r="O175" t="s">
        <v>38</v>
      </c>
      <c r="Q175">
        <f t="shared" si="46"/>
        <v>-162.17235999999991</v>
      </c>
      <c r="R175">
        <f t="shared" si="47"/>
        <v>-164.9323599999999</v>
      </c>
      <c r="S175">
        <f t="shared" si="48"/>
        <v>1760.2508</v>
      </c>
      <c r="U175">
        <f t="shared" si="35"/>
        <v>1024.9720460000001</v>
      </c>
      <c r="V175">
        <f t="shared" si="49"/>
        <v>1649.9999996508</v>
      </c>
      <c r="W175">
        <f t="shared" si="36"/>
        <v>-139.19120384679994</v>
      </c>
      <c r="X175">
        <f t="shared" si="37"/>
        <v>3.1608087954548005</v>
      </c>
      <c r="Y175">
        <f t="shared" si="38"/>
        <v>-142.35201264225475</v>
      </c>
      <c r="Z175">
        <f t="shared" si="39"/>
        <v>50569.219836330027</v>
      </c>
      <c r="AB175">
        <f t="shared" si="40"/>
        <v>1150.3611109999999</v>
      </c>
      <c r="AC175">
        <f t="shared" si="41"/>
        <v>1851.8513164877997</v>
      </c>
      <c r="AD175">
        <f t="shared" si="42"/>
        <v>-156.21903887379989</v>
      </c>
      <c r="AE175">
        <f t="shared" si="43"/>
        <v>3.5474835941017999</v>
      </c>
      <c r="AF175">
        <f t="shared" si="44"/>
        <v>-159.76652246790169</v>
      </c>
      <c r="AG175">
        <f t="shared" si="50"/>
        <v>18358.746634482133</v>
      </c>
      <c r="AH175" t="b">
        <f t="shared" si="45"/>
        <v>1</v>
      </c>
    </row>
    <row r="176" spans="4:34" x14ac:dyDescent="0.4">
      <c r="D176" t="s">
        <v>53</v>
      </c>
      <c r="E176" t="s">
        <v>37</v>
      </c>
      <c r="F176" s="9">
        <v>46004.666666666664</v>
      </c>
      <c r="G176">
        <v>899.14</v>
      </c>
      <c r="H176" s="9">
        <v>46006.666666666664</v>
      </c>
      <c r="I176">
        <v>859.15</v>
      </c>
      <c r="J176">
        <v>11.013</v>
      </c>
      <c r="K176" s="12">
        <v>9902.8700000000008</v>
      </c>
      <c r="L176">
        <v>14.52</v>
      </c>
      <c r="M176">
        <v>-454.93</v>
      </c>
      <c r="N176" s="13">
        <v>-4.5900000000000003E-2</v>
      </c>
      <c r="O176" t="s">
        <v>38</v>
      </c>
      <c r="Q176">
        <f t="shared" si="46"/>
        <v>-440.40987000000007</v>
      </c>
      <c r="R176">
        <f t="shared" si="47"/>
        <v>-454.92987000000005</v>
      </c>
      <c r="S176">
        <f t="shared" si="48"/>
        <v>9461.8189499999989</v>
      </c>
      <c r="U176">
        <f t="shared" si="35"/>
        <v>1.8350869999999999</v>
      </c>
      <c r="V176">
        <f t="shared" si="49"/>
        <v>1650.0001251799999</v>
      </c>
      <c r="W176">
        <f t="shared" si="36"/>
        <v>-73.38512913000001</v>
      </c>
      <c r="X176">
        <f t="shared" si="37"/>
        <v>3.2266151212299996</v>
      </c>
      <c r="Y176">
        <f t="shared" si="38"/>
        <v>-76.611744251230007</v>
      </c>
      <c r="Z176">
        <f t="shared" si="39"/>
        <v>50711.571848972279</v>
      </c>
      <c r="AB176">
        <f t="shared" si="40"/>
        <v>2.069188</v>
      </c>
      <c r="AC176">
        <f t="shared" si="41"/>
        <v>1860.4896983199999</v>
      </c>
      <c r="AD176">
        <f t="shared" si="42"/>
        <v>-82.746828120000018</v>
      </c>
      <c r="AE176">
        <f t="shared" si="43"/>
        <v>3.6382325685199999</v>
      </c>
      <c r="AF176">
        <f t="shared" si="44"/>
        <v>-86.385060688520014</v>
      </c>
      <c r="AG176">
        <f t="shared" si="50"/>
        <v>18518.513156950034</v>
      </c>
      <c r="AH176" t="b">
        <f t="shared" si="45"/>
        <v>1</v>
      </c>
    </row>
    <row r="177" spans="4:34" x14ac:dyDescent="0.4">
      <c r="D177" t="s">
        <v>56</v>
      </c>
      <c r="E177" t="s">
        <v>37</v>
      </c>
      <c r="F177" s="9">
        <v>46006.083333333336</v>
      </c>
      <c r="G177" s="12">
        <v>3109</v>
      </c>
      <c r="H177" s="9">
        <v>46006.625</v>
      </c>
      <c r="I177" s="12">
        <v>3052.78</v>
      </c>
      <c r="J177" s="12">
        <v>1.9076</v>
      </c>
      <c r="K177" s="12">
        <v>5930.92</v>
      </c>
      <c r="L177">
        <v>8.82</v>
      </c>
      <c r="M177">
        <v>-116.06</v>
      </c>
      <c r="N177" s="13">
        <v>-1.9599999999999999E-2</v>
      </c>
      <c r="O177" t="s">
        <v>49</v>
      </c>
      <c r="Q177">
        <f t="shared" si="46"/>
        <v>-107.24527199999962</v>
      </c>
      <c r="R177">
        <f t="shared" si="47"/>
        <v>-116.06527199999962</v>
      </c>
      <c r="S177">
        <f t="shared" si="48"/>
        <v>5823.4831279999999</v>
      </c>
      <c r="U177">
        <f t="shared" si="35"/>
        <v>0.53071699999999999</v>
      </c>
      <c r="V177">
        <f t="shared" si="49"/>
        <v>1649.999153</v>
      </c>
      <c r="W177">
        <f t="shared" si="36"/>
        <v>-29.836909739999893</v>
      </c>
      <c r="X177">
        <f t="shared" si="37"/>
        <v>3.2701613962600007</v>
      </c>
      <c r="Y177">
        <f t="shared" si="38"/>
        <v>-33.10707113625989</v>
      </c>
      <c r="Z177">
        <f t="shared" si="39"/>
        <v>50788.183593223512</v>
      </c>
      <c r="AB177">
        <f t="shared" si="40"/>
        <v>0.59962400000000005</v>
      </c>
      <c r="AC177">
        <f t="shared" si="41"/>
        <v>1864.2310160000002</v>
      </c>
      <c r="AD177">
        <f t="shared" si="42"/>
        <v>-33.710861279999882</v>
      </c>
      <c r="AE177">
        <f t="shared" si="43"/>
        <v>3.6947511707200009</v>
      </c>
      <c r="AF177">
        <f t="shared" si="44"/>
        <v>-37.405612450719886</v>
      </c>
      <c r="AG177">
        <f t="shared" si="50"/>
        <v>18604.898217638554</v>
      </c>
      <c r="AH177" t="b">
        <f t="shared" si="45"/>
        <v>1</v>
      </c>
    </row>
    <row r="178" spans="4:34" x14ac:dyDescent="0.4">
      <c r="D178" t="s">
        <v>48</v>
      </c>
      <c r="E178" t="s">
        <v>37</v>
      </c>
      <c r="F178" s="9">
        <v>46004.208333333336</v>
      </c>
      <c r="G178">
        <v>9.5699999999999993E-2</v>
      </c>
      <c r="H178" s="9">
        <v>46006.208333333336</v>
      </c>
      <c r="I178">
        <v>9.6199999999999994E-2</v>
      </c>
      <c r="J178" s="12">
        <v>46173</v>
      </c>
      <c r="K178" s="12">
        <v>4418.7700000000004</v>
      </c>
      <c r="L178">
        <v>6.65</v>
      </c>
      <c r="M178">
        <v>16.440000000000001</v>
      </c>
      <c r="N178" s="13">
        <v>3.7000000000000002E-3</v>
      </c>
      <c r="O178" t="s">
        <v>38</v>
      </c>
      <c r="Q178">
        <f t="shared" si="46"/>
        <v>23.086500000000022</v>
      </c>
      <c r="R178">
        <f t="shared" si="47"/>
        <v>16.436500000000024</v>
      </c>
      <c r="S178">
        <f t="shared" si="48"/>
        <v>4441.8425999999999</v>
      </c>
      <c r="U178">
        <f t="shared" si="35"/>
        <v>17241.37931</v>
      </c>
      <c r="V178">
        <f t="shared" si="49"/>
        <v>1649.9999999669999</v>
      </c>
      <c r="W178">
        <f t="shared" si="36"/>
        <v>8.6206896550000085</v>
      </c>
      <c r="X178">
        <f t="shared" si="37"/>
        <v>3.308620689589</v>
      </c>
      <c r="Y178">
        <f t="shared" si="38"/>
        <v>5.312068965411008</v>
      </c>
      <c r="Z178">
        <f t="shared" si="39"/>
        <v>50821.290664359774</v>
      </c>
      <c r="AB178">
        <f t="shared" si="40"/>
        <v>19473.671882999999</v>
      </c>
      <c r="AC178">
        <f t="shared" si="41"/>
        <v>1863.6303992030998</v>
      </c>
      <c r="AD178">
        <f t="shared" si="42"/>
        <v>9.7368359415000079</v>
      </c>
      <c r="AE178">
        <f t="shared" si="43"/>
        <v>3.7369976343476998</v>
      </c>
      <c r="AF178">
        <f t="shared" si="44"/>
        <v>5.9998383071523076</v>
      </c>
      <c r="AG178">
        <f t="shared" si="50"/>
        <v>18642.303830089273</v>
      </c>
      <c r="AH178" t="b">
        <f t="shared" si="45"/>
        <v>1</v>
      </c>
    </row>
    <row r="179" spans="4:34" x14ac:dyDescent="0.4">
      <c r="D179" t="s">
        <v>60</v>
      </c>
      <c r="E179" t="s">
        <v>37</v>
      </c>
      <c r="F179" s="9">
        <v>46003.083333333336</v>
      </c>
      <c r="G179">
        <v>2.0286</v>
      </c>
      <c r="H179" s="9">
        <v>46005.583333333336</v>
      </c>
      <c r="I179">
        <v>2.0038</v>
      </c>
      <c r="J179" s="12">
        <v>1117.5</v>
      </c>
      <c r="K179" s="12">
        <v>2267.14</v>
      </c>
      <c r="L179">
        <v>3.38</v>
      </c>
      <c r="M179">
        <v>-31.09</v>
      </c>
      <c r="N179" s="13">
        <v>-1.37E-2</v>
      </c>
      <c r="O179" t="s">
        <v>57</v>
      </c>
      <c r="Q179">
        <f t="shared" si="46"/>
        <v>-27.713999999999924</v>
      </c>
      <c r="R179">
        <f t="shared" si="47"/>
        <v>-31.093999999999923</v>
      </c>
      <c r="S179">
        <f t="shared" si="48"/>
        <v>2239.2465000000002</v>
      </c>
      <c r="U179">
        <f t="shared" si="35"/>
        <v>813.36882600000001</v>
      </c>
      <c r="V179">
        <f t="shared" si="49"/>
        <v>1650.0000004235999</v>
      </c>
      <c r="W179">
        <f t="shared" si="36"/>
        <v>-20.171546884799945</v>
      </c>
      <c r="X179">
        <f t="shared" si="37"/>
        <v>3.2798284539624003</v>
      </c>
      <c r="Y179">
        <f t="shared" si="38"/>
        <v>-23.451375338762347</v>
      </c>
      <c r="Z179">
        <f t="shared" si="39"/>
        <v>50815.978595394365</v>
      </c>
      <c r="AB179">
        <f t="shared" si="40"/>
        <v>919.98567400000002</v>
      </c>
      <c r="AC179">
        <f t="shared" si="41"/>
        <v>1866.2829382764</v>
      </c>
      <c r="AD179">
        <f t="shared" si="42"/>
        <v>-22.815644715199937</v>
      </c>
      <c r="AE179">
        <f t="shared" si="43"/>
        <v>3.7097502318376003</v>
      </c>
      <c r="AF179">
        <f t="shared" si="44"/>
        <v>-26.525394947037537</v>
      </c>
      <c r="AG179">
        <f t="shared" si="50"/>
        <v>18636.303991782122</v>
      </c>
      <c r="AH179" t="b">
        <f t="shared" si="45"/>
        <v>1</v>
      </c>
    </row>
    <row r="180" spans="4:34" x14ac:dyDescent="0.4">
      <c r="D180" t="s">
        <v>58</v>
      </c>
      <c r="E180" t="s">
        <v>37</v>
      </c>
      <c r="F180" s="9">
        <v>46003.416666666664</v>
      </c>
      <c r="G180">
        <v>14.09</v>
      </c>
      <c r="H180" s="9">
        <v>46005.416666666664</v>
      </c>
      <c r="I180">
        <v>13.69</v>
      </c>
      <c r="J180">
        <v>527.29</v>
      </c>
      <c r="K180" s="12">
        <v>7429.63</v>
      </c>
      <c r="L180">
        <v>10.99</v>
      </c>
      <c r="M180" s="12">
        <v>-221.9</v>
      </c>
      <c r="N180" s="13">
        <v>-2.9899999999999999E-2</v>
      </c>
      <c r="O180" t="s">
        <v>38</v>
      </c>
      <c r="Q180">
        <f t="shared" si="46"/>
        <v>-210.91600000000017</v>
      </c>
      <c r="R180">
        <f t="shared" si="47"/>
        <v>-221.90600000000018</v>
      </c>
      <c r="S180">
        <f t="shared" si="48"/>
        <v>7218.6000999999997</v>
      </c>
      <c r="U180">
        <f t="shared" si="35"/>
        <v>117.10432900000001</v>
      </c>
      <c r="V180">
        <f t="shared" si="49"/>
        <v>1649.99999561</v>
      </c>
      <c r="W180">
        <f t="shared" si="36"/>
        <v>-46.841731600000045</v>
      </c>
      <c r="X180">
        <f t="shared" si="37"/>
        <v>3.2531582596200006</v>
      </c>
      <c r="Y180">
        <f t="shared" si="38"/>
        <v>-50.094889859620046</v>
      </c>
      <c r="Z180">
        <f t="shared" si="39"/>
        <v>50839.42997073313</v>
      </c>
      <c r="AB180">
        <f t="shared" si="40"/>
        <v>132.85779500000001</v>
      </c>
      <c r="AC180">
        <f t="shared" si="41"/>
        <v>1871.9663315500002</v>
      </c>
      <c r="AD180">
        <f t="shared" si="42"/>
        <v>-53.143118000000051</v>
      </c>
      <c r="AE180">
        <f t="shared" si="43"/>
        <v>3.6907895451000008</v>
      </c>
      <c r="AF180">
        <f t="shared" si="44"/>
        <v>-56.833907545100054</v>
      </c>
      <c r="AG180">
        <f t="shared" si="50"/>
        <v>18662.829386729161</v>
      </c>
      <c r="AH180" t="b">
        <f t="shared" si="45"/>
        <v>1</v>
      </c>
    </row>
    <row r="181" spans="4:34" x14ac:dyDescent="0.4">
      <c r="D181" t="s">
        <v>54</v>
      </c>
      <c r="E181" t="s">
        <v>37</v>
      </c>
      <c r="F181" s="9">
        <v>46003.25</v>
      </c>
      <c r="G181">
        <v>138.94</v>
      </c>
      <c r="H181" s="9">
        <v>46005.25</v>
      </c>
      <c r="I181">
        <v>132.71</v>
      </c>
      <c r="J181" s="12">
        <v>36.74</v>
      </c>
      <c r="K181" s="12">
        <v>5104.76</v>
      </c>
      <c r="L181">
        <v>7.49</v>
      </c>
      <c r="M181">
        <v>-236.38</v>
      </c>
      <c r="N181" s="13">
        <v>-4.6300000000000001E-2</v>
      </c>
      <c r="O181" t="s">
        <v>38</v>
      </c>
      <c r="Q181">
        <f t="shared" si="46"/>
        <v>-228.89019999999962</v>
      </c>
      <c r="R181">
        <f t="shared" si="47"/>
        <v>-236.38019999999963</v>
      </c>
      <c r="S181">
        <f t="shared" si="48"/>
        <v>4875.7654000000002</v>
      </c>
      <c r="U181">
        <f t="shared" si="35"/>
        <v>11.875629999999999</v>
      </c>
      <c r="V181">
        <f t="shared" si="49"/>
        <v>1650.0000321999999</v>
      </c>
      <c r="W181">
        <f t="shared" si="36"/>
        <v>-73.985174899999876</v>
      </c>
      <c r="X181">
        <f t="shared" si="37"/>
        <v>3.2260148895</v>
      </c>
      <c r="Y181">
        <f t="shared" si="38"/>
        <v>-77.211189789499883</v>
      </c>
      <c r="Z181">
        <f t="shared" si="39"/>
        <v>50889.524860592748</v>
      </c>
      <c r="AB181">
        <f t="shared" si="40"/>
        <v>13.536543</v>
      </c>
      <c r="AC181">
        <f t="shared" si="41"/>
        <v>1880.7672844199999</v>
      </c>
      <c r="AD181">
        <f t="shared" si="42"/>
        <v>-84.332662889999867</v>
      </c>
      <c r="AE181">
        <f t="shared" si="43"/>
        <v>3.6772019059500001</v>
      </c>
      <c r="AF181">
        <f t="shared" si="44"/>
        <v>-88.009864795949866</v>
      </c>
      <c r="AG181">
        <f t="shared" si="50"/>
        <v>18719.663294274262</v>
      </c>
      <c r="AH181" t="b">
        <f t="shared" si="45"/>
        <v>1</v>
      </c>
    </row>
    <row r="182" spans="4:34" x14ac:dyDescent="0.4">
      <c r="D182" t="s">
        <v>43</v>
      </c>
      <c r="E182" t="s">
        <v>37</v>
      </c>
      <c r="F182" s="9">
        <v>46002.666666666664</v>
      </c>
      <c r="G182">
        <v>1.5421</v>
      </c>
      <c r="H182" s="9">
        <v>46004.666666666664</v>
      </c>
      <c r="I182">
        <v>1.6042000000000001</v>
      </c>
      <c r="J182" s="12">
        <v>1241.8</v>
      </c>
      <c r="K182" s="12">
        <v>1915.05</v>
      </c>
      <c r="L182">
        <v>2.93</v>
      </c>
      <c r="M182">
        <v>74.19</v>
      </c>
      <c r="N182" s="13">
        <v>3.8699999999999998E-2</v>
      </c>
      <c r="O182" t="s">
        <v>38</v>
      </c>
      <c r="Q182">
        <f t="shared" si="46"/>
        <v>77.115780000000058</v>
      </c>
      <c r="R182">
        <f t="shared" si="47"/>
        <v>74.185780000000051</v>
      </c>
      <c r="S182">
        <f t="shared" si="48"/>
        <v>1992.09556</v>
      </c>
      <c r="U182">
        <f t="shared" si="35"/>
        <v>1069.9695220000001</v>
      </c>
      <c r="V182">
        <f t="shared" si="49"/>
        <v>1649.9999998762003</v>
      </c>
      <c r="W182">
        <f t="shared" si="36"/>
        <v>66.445107316200051</v>
      </c>
      <c r="X182">
        <f t="shared" si="37"/>
        <v>3.3664451070686008</v>
      </c>
      <c r="Y182">
        <f t="shared" si="38"/>
        <v>63.078662209131451</v>
      </c>
      <c r="Z182">
        <f t="shared" si="39"/>
        <v>50966.736050382249</v>
      </c>
      <c r="AB182">
        <f t="shared" si="40"/>
        <v>1214.9695999999999</v>
      </c>
      <c r="AC182">
        <f t="shared" si="41"/>
        <v>1873.60462016</v>
      </c>
      <c r="AD182">
        <f t="shared" si="42"/>
        <v>75.449612160000044</v>
      </c>
      <c r="AE182">
        <f t="shared" si="43"/>
        <v>3.82265885248</v>
      </c>
      <c r="AF182">
        <f t="shared" si="44"/>
        <v>71.62695330752004</v>
      </c>
      <c r="AG182">
        <f t="shared" si="50"/>
        <v>18807.673159070211</v>
      </c>
      <c r="AH182" t="b">
        <f t="shared" si="45"/>
        <v>1</v>
      </c>
    </row>
    <row r="183" spans="4:34" x14ac:dyDescent="0.4">
      <c r="D183" t="s">
        <v>53</v>
      </c>
      <c r="E183" t="s">
        <v>37</v>
      </c>
      <c r="F183" s="9">
        <v>46002.666666666664</v>
      </c>
      <c r="G183">
        <v>865.97</v>
      </c>
      <c r="H183" s="9">
        <v>46004.666666666664</v>
      </c>
      <c r="I183">
        <v>899.14</v>
      </c>
      <c r="J183" s="12">
        <v>11.393000000000001</v>
      </c>
      <c r="K183" s="12">
        <v>9866.59</v>
      </c>
      <c r="L183">
        <v>15.08</v>
      </c>
      <c r="M183">
        <v>362.82</v>
      </c>
      <c r="N183" s="13">
        <v>3.6799999999999999E-2</v>
      </c>
      <c r="O183" t="s">
        <v>38</v>
      </c>
      <c r="Q183">
        <f t="shared" si="46"/>
        <v>377.90580999999958</v>
      </c>
      <c r="R183">
        <f t="shared" si="47"/>
        <v>362.82580999999959</v>
      </c>
      <c r="S183">
        <f t="shared" si="48"/>
        <v>10243.902020000001</v>
      </c>
      <c r="U183">
        <f t="shared" si="35"/>
        <v>1.905378</v>
      </c>
      <c r="V183">
        <f t="shared" si="49"/>
        <v>1650.0001866600001</v>
      </c>
      <c r="W183">
        <f t="shared" si="36"/>
        <v>63.201388259999923</v>
      </c>
      <c r="X183">
        <f t="shared" si="37"/>
        <v>3.3632017615800005</v>
      </c>
      <c r="Y183">
        <f t="shared" si="38"/>
        <v>59.838186498419923</v>
      </c>
      <c r="Z183">
        <f t="shared" si="39"/>
        <v>50903.657388173116</v>
      </c>
      <c r="AB183">
        <f t="shared" si="40"/>
        <v>2.1557729999999999</v>
      </c>
      <c r="AC183">
        <f t="shared" si="41"/>
        <v>1866.8347448100001</v>
      </c>
      <c r="AD183">
        <f t="shared" si="42"/>
        <v>71.506990409999915</v>
      </c>
      <c r="AE183">
        <f t="shared" si="43"/>
        <v>3.8051764800300001</v>
      </c>
      <c r="AF183">
        <f t="shared" si="44"/>
        <v>67.701813929969916</v>
      </c>
      <c r="AG183">
        <f t="shared" si="50"/>
        <v>18736.04620576269</v>
      </c>
      <c r="AH183" t="b">
        <f t="shared" si="45"/>
        <v>1</v>
      </c>
    </row>
    <row r="184" spans="4:34" x14ac:dyDescent="0.4">
      <c r="D184" t="s">
        <v>50</v>
      </c>
      <c r="E184" t="s">
        <v>37</v>
      </c>
      <c r="F184" s="9">
        <v>46002.666666666664</v>
      </c>
      <c r="G184">
        <v>290.10000000000002</v>
      </c>
      <c r="H184" s="9">
        <v>46004.666666666664</v>
      </c>
      <c r="I184">
        <v>297.10000000000002</v>
      </c>
      <c r="J184">
        <v>48.502499999999998</v>
      </c>
      <c r="K184" s="12">
        <v>14070.58</v>
      </c>
      <c r="L184">
        <v>21.36</v>
      </c>
      <c r="M184">
        <v>318.16000000000003</v>
      </c>
      <c r="N184" s="13">
        <v>2.2599999999999999E-2</v>
      </c>
      <c r="O184" t="s">
        <v>38</v>
      </c>
      <c r="Q184">
        <f t="shared" si="46"/>
        <v>339.51749999999998</v>
      </c>
      <c r="R184">
        <f t="shared" si="47"/>
        <v>318.15749999999997</v>
      </c>
      <c r="S184">
        <f t="shared" si="48"/>
        <v>14410.09275</v>
      </c>
      <c r="U184">
        <f t="shared" si="35"/>
        <v>5.6876939999999996</v>
      </c>
      <c r="V184">
        <f t="shared" si="49"/>
        <v>1650.0000293999999</v>
      </c>
      <c r="W184">
        <f t="shared" si="36"/>
        <v>39.813857999999996</v>
      </c>
      <c r="X184">
        <f t="shared" si="37"/>
        <v>3.3398139168000003</v>
      </c>
      <c r="Y184">
        <f t="shared" si="38"/>
        <v>36.474044083199999</v>
      </c>
      <c r="Z184">
        <f t="shared" si="39"/>
        <v>50843.819201674698</v>
      </c>
      <c r="AB184">
        <f t="shared" si="40"/>
        <v>6.420947</v>
      </c>
      <c r="AC184">
        <f t="shared" si="41"/>
        <v>1862.7167247000002</v>
      </c>
      <c r="AD184">
        <f t="shared" si="42"/>
        <v>44.946629000000001</v>
      </c>
      <c r="AE184">
        <f t="shared" si="43"/>
        <v>3.7703800784000001</v>
      </c>
      <c r="AF184">
        <f t="shared" si="44"/>
        <v>41.176248921599999</v>
      </c>
      <c r="AG184">
        <f t="shared" si="50"/>
        <v>18668.344391832721</v>
      </c>
      <c r="AH184" t="b">
        <f t="shared" si="45"/>
        <v>1</v>
      </c>
    </row>
    <row r="185" spans="4:34" x14ac:dyDescent="0.4">
      <c r="D185" t="s">
        <v>40</v>
      </c>
      <c r="E185" t="s">
        <v>41</v>
      </c>
      <c r="F185" s="9">
        <v>46003.083333333336</v>
      </c>
      <c r="G185">
        <v>459.96</v>
      </c>
      <c r="H185" s="9">
        <v>46004.416666666664</v>
      </c>
      <c r="I185">
        <v>451.26</v>
      </c>
      <c r="J185" s="12">
        <v>18.931999999999999</v>
      </c>
      <c r="K185" s="12">
        <v>8708.35</v>
      </c>
      <c r="L185">
        <v>12.94</v>
      </c>
      <c r="M185">
        <v>-177.65</v>
      </c>
      <c r="N185" s="13">
        <v>-2.0400000000000001E-2</v>
      </c>
      <c r="O185" t="s">
        <v>38</v>
      </c>
      <c r="Q185">
        <f t="shared" si="46"/>
        <v>-164.70839999999978</v>
      </c>
      <c r="R185">
        <f t="shared" si="47"/>
        <v>-177.64839999999978</v>
      </c>
      <c r="S185">
        <f t="shared" si="48"/>
        <v>8543.25432</v>
      </c>
      <c r="U185">
        <f t="shared" si="35"/>
        <v>3.5872679999999999</v>
      </c>
      <c r="V185">
        <f t="shared" si="49"/>
        <v>1649.99978928</v>
      </c>
      <c r="W185">
        <f t="shared" si="36"/>
        <v>-31.20923159999996</v>
      </c>
      <c r="X185">
        <f t="shared" si="37"/>
        <v>3.2687903469599999</v>
      </c>
      <c r="Y185">
        <f t="shared" si="38"/>
        <v>-34.478021946959963</v>
      </c>
      <c r="Z185">
        <f t="shared" si="39"/>
        <v>50807.345157591495</v>
      </c>
      <c r="AB185">
        <f t="shared" si="40"/>
        <v>4.0582159999999998</v>
      </c>
      <c r="AC185">
        <f t="shared" si="41"/>
        <v>1866.6170313599998</v>
      </c>
      <c r="AD185">
        <f t="shared" si="42"/>
        <v>-35.306479199999956</v>
      </c>
      <c r="AE185">
        <f t="shared" si="43"/>
        <v>3.6979275835199998</v>
      </c>
      <c r="AF185">
        <f t="shared" si="44"/>
        <v>-39.004406783519954</v>
      </c>
      <c r="AG185">
        <f t="shared" si="50"/>
        <v>18627.16814291112</v>
      </c>
      <c r="AH185" t="b">
        <f t="shared" si="45"/>
        <v>1</v>
      </c>
    </row>
    <row r="186" spans="4:34" x14ac:dyDescent="0.4">
      <c r="D186" t="s">
        <v>59</v>
      </c>
      <c r="E186" t="s">
        <v>37</v>
      </c>
      <c r="F186" s="9">
        <v>46001.208333333336</v>
      </c>
      <c r="G186" s="12">
        <v>92575.02</v>
      </c>
      <c r="H186" s="9">
        <v>46003.708333333336</v>
      </c>
      <c r="I186" s="12">
        <v>90074.17</v>
      </c>
      <c r="J186" s="12">
        <v>0.11607000000000001</v>
      </c>
      <c r="K186" s="12">
        <v>10745.86</v>
      </c>
      <c r="L186">
        <v>15.9</v>
      </c>
      <c r="M186">
        <v>-306.17</v>
      </c>
      <c r="N186" s="13">
        <v>-2.8500000000000001E-2</v>
      </c>
      <c r="O186" t="s">
        <v>57</v>
      </c>
      <c r="Q186">
        <f t="shared" si="46"/>
        <v>-290.27365950000069</v>
      </c>
      <c r="R186">
        <f t="shared" si="47"/>
        <v>-306.17365950000067</v>
      </c>
      <c r="S186">
        <f t="shared" si="48"/>
        <v>10454.9089119</v>
      </c>
      <c r="U186">
        <f t="shared" si="35"/>
        <v>1.7822999999999999E-2</v>
      </c>
      <c r="V186">
        <f t="shared" si="49"/>
        <v>1649.9645814599999</v>
      </c>
      <c r="W186">
        <f t="shared" si="36"/>
        <v>-44.572649550000101</v>
      </c>
      <c r="X186">
        <f t="shared" si="37"/>
        <v>3.2553565133699998</v>
      </c>
      <c r="Y186">
        <f t="shared" si="38"/>
        <v>-47.828006063370097</v>
      </c>
      <c r="Z186">
        <f t="shared" si="39"/>
        <v>50841.823179538456</v>
      </c>
      <c r="AB186">
        <f t="shared" si="40"/>
        <v>2.0222E-2</v>
      </c>
      <c r="AC186">
        <f t="shared" si="41"/>
        <v>1872.0520544400001</v>
      </c>
      <c r="AD186">
        <f t="shared" si="42"/>
        <v>-50.572188700000119</v>
      </c>
      <c r="AE186">
        <f t="shared" si="43"/>
        <v>3.6935319201800003</v>
      </c>
      <c r="AF186">
        <f t="shared" si="44"/>
        <v>-54.265720620180119</v>
      </c>
      <c r="AG186">
        <f t="shared" si="50"/>
        <v>18666.172549694638</v>
      </c>
      <c r="AH186" t="b">
        <f t="shared" si="45"/>
        <v>1</v>
      </c>
    </row>
    <row r="187" spans="4:34" x14ac:dyDescent="0.4">
      <c r="D187" t="s">
        <v>58</v>
      </c>
      <c r="E187" t="s">
        <v>37</v>
      </c>
      <c r="F187" s="9">
        <v>46001.416666666664</v>
      </c>
      <c r="G187">
        <v>14.31</v>
      </c>
      <c r="H187" s="9">
        <v>46003.416666666664</v>
      </c>
      <c r="I187">
        <v>14.09</v>
      </c>
      <c r="J187">
        <v>520.05999999999995</v>
      </c>
      <c r="K187" s="12">
        <v>7442.17</v>
      </c>
      <c r="L187">
        <v>11.08</v>
      </c>
      <c r="M187">
        <v>-125.49</v>
      </c>
      <c r="N187" s="13">
        <v>-1.6899999999999998E-2</v>
      </c>
      <c r="O187" t="s">
        <v>38</v>
      </c>
      <c r="Q187">
        <f t="shared" si="46"/>
        <v>-114.41320000000032</v>
      </c>
      <c r="R187">
        <f t="shared" si="47"/>
        <v>-125.49320000000031</v>
      </c>
      <c r="S187">
        <f t="shared" si="48"/>
        <v>7327.6453999999994</v>
      </c>
      <c r="U187">
        <f t="shared" si="35"/>
        <v>115.303983</v>
      </c>
      <c r="V187">
        <f t="shared" si="49"/>
        <v>1649.99999673</v>
      </c>
      <c r="W187">
        <f t="shared" si="36"/>
        <v>-25.366876260000073</v>
      </c>
      <c r="X187">
        <f t="shared" si="37"/>
        <v>3.2746331172000001</v>
      </c>
      <c r="Y187">
        <f t="shared" si="38"/>
        <v>-28.641509377200073</v>
      </c>
      <c r="Z187">
        <f t="shared" si="39"/>
        <v>50889.651185601826</v>
      </c>
      <c r="AB187">
        <f t="shared" si="40"/>
        <v>131.04815300000001</v>
      </c>
      <c r="AC187">
        <f t="shared" si="41"/>
        <v>1875.2990694300001</v>
      </c>
      <c r="AD187">
        <f t="shared" si="42"/>
        <v>-28.830593660000087</v>
      </c>
      <c r="AE187">
        <f t="shared" si="43"/>
        <v>3.7217675452000001</v>
      </c>
      <c r="AF187">
        <f t="shared" si="44"/>
        <v>-32.552361205200086</v>
      </c>
      <c r="AG187">
        <f t="shared" si="50"/>
        <v>18720.438270314819</v>
      </c>
      <c r="AH187" t="b">
        <f t="shared" si="45"/>
        <v>1</v>
      </c>
    </row>
    <row r="188" spans="4:34" x14ac:dyDescent="0.4">
      <c r="D188" t="s">
        <v>61</v>
      </c>
      <c r="E188" t="s">
        <v>37</v>
      </c>
      <c r="F188" s="9">
        <v>46001.208333333336</v>
      </c>
      <c r="G188" s="12">
        <v>0.46489999999999998</v>
      </c>
      <c r="H188" s="9">
        <v>46003.208333333336</v>
      </c>
      <c r="I188" s="12">
        <v>0.42099999999999999</v>
      </c>
      <c r="J188" s="12">
        <v>18496.400000000001</v>
      </c>
      <c r="K188" s="12">
        <v>8599</v>
      </c>
      <c r="L188">
        <v>12.29</v>
      </c>
      <c r="M188">
        <v>-824.28</v>
      </c>
      <c r="N188" s="13">
        <v>-9.5899999999999999E-2</v>
      </c>
      <c r="O188" t="s">
        <v>38</v>
      </c>
      <c r="Q188">
        <f t="shared" si="46"/>
        <v>-811.99195999999995</v>
      </c>
      <c r="R188">
        <f t="shared" si="47"/>
        <v>-824.28195999999991</v>
      </c>
      <c r="S188">
        <f t="shared" si="48"/>
        <v>7786.9844000000003</v>
      </c>
      <c r="U188">
        <f t="shared" si="35"/>
        <v>3549.1503550000002</v>
      </c>
      <c r="V188">
        <f t="shared" si="49"/>
        <v>1650.0000000395</v>
      </c>
      <c r="W188">
        <f t="shared" si="36"/>
        <v>-155.8077005845</v>
      </c>
      <c r="X188">
        <f t="shared" si="37"/>
        <v>3.1441922994944997</v>
      </c>
      <c r="Y188">
        <f t="shared" si="38"/>
        <v>-158.9518928839945</v>
      </c>
      <c r="Z188">
        <f t="shared" si="39"/>
        <v>50918.292694979027</v>
      </c>
      <c r="AB188">
        <f t="shared" si="40"/>
        <v>4073.0057780000002</v>
      </c>
      <c r="AC188">
        <f t="shared" si="41"/>
        <v>1893.5403861922</v>
      </c>
      <c r="AD188">
        <f t="shared" si="42"/>
        <v>-178.80495365419998</v>
      </c>
      <c r="AE188">
        <f t="shared" si="43"/>
        <v>3.6082758187302</v>
      </c>
      <c r="AF188">
        <f t="shared" si="44"/>
        <v>-182.41322947293017</v>
      </c>
      <c r="AG188">
        <f t="shared" si="50"/>
        <v>18752.990631520017</v>
      </c>
      <c r="AH188" t="b">
        <f t="shared" si="45"/>
        <v>1</v>
      </c>
    </row>
    <row r="189" spans="4:34" x14ac:dyDescent="0.4">
      <c r="D189" t="s">
        <v>54</v>
      </c>
      <c r="E189" t="s">
        <v>37</v>
      </c>
      <c r="F189" s="9">
        <v>46001.166666666664</v>
      </c>
      <c r="G189">
        <v>138.19999999999999</v>
      </c>
      <c r="H189" s="9">
        <v>46003.166666666664</v>
      </c>
      <c r="I189">
        <v>137.12</v>
      </c>
      <c r="J189">
        <v>36.970999999999997</v>
      </c>
      <c r="K189" s="12">
        <v>5109.5200000000004</v>
      </c>
      <c r="L189">
        <v>7.63</v>
      </c>
      <c r="M189">
        <v>-47.56</v>
      </c>
      <c r="N189" s="13">
        <v>-9.2999999999999992E-3</v>
      </c>
      <c r="O189" t="s">
        <v>38</v>
      </c>
      <c r="Q189">
        <f t="shared" si="46"/>
        <v>-39.92867999999941</v>
      </c>
      <c r="R189">
        <f t="shared" si="47"/>
        <v>-47.558679999999413</v>
      </c>
      <c r="S189">
        <f t="shared" si="48"/>
        <v>5069.4635199999993</v>
      </c>
      <c r="U189">
        <f t="shared" si="35"/>
        <v>11.939219</v>
      </c>
      <c r="V189">
        <f t="shared" si="49"/>
        <v>1650.0000657999999</v>
      </c>
      <c r="W189">
        <f t="shared" si="36"/>
        <v>-12.894356519999809</v>
      </c>
      <c r="X189">
        <f t="shared" si="37"/>
        <v>3.2871057750800001</v>
      </c>
      <c r="Y189">
        <f t="shared" si="38"/>
        <v>-16.181462295079807</v>
      </c>
      <c r="Z189">
        <f t="shared" si="39"/>
        <v>51077.244587863024</v>
      </c>
      <c r="AB189">
        <f t="shared" si="40"/>
        <v>13.7149</v>
      </c>
      <c r="AC189">
        <f t="shared" si="41"/>
        <v>1895.3991799999999</v>
      </c>
      <c r="AD189">
        <f t="shared" si="42"/>
        <v>-14.812091999999781</v>
      </c>
      <c r="AE189">
        <f t="shared" si="43"/>
        <v>3.775986268</v>
      </c>
      <c r="AF189">
        <f t="shared" si="44"/>
        <v>-18.58807826799978</v>
      </c>
      <c r="AG189">
        <f t="shared" si="50"/>
        <v>18935.403860992948</v>
      </c>
      <c r="AH189" t="b">
        <f t="shared" si="45"/>
        <v>1</v>
      </c>
    </row>
    <row r="190" spans="4:34" x14ac:dyDescent="0.4">
      <c r="D190" t="s">
        <v>40</v>
      </c>
      <c r="E190" t="s">
        <v>41</v>
      </c>
      <c r="F190" s="9">
        <v>46001.583333333336</v>
      </c>
      <c r="G190">
        <v>432.62</v>
      </c>
      <c r="H190" s="9">
        <v>46002.916666666664</v>
      </c>
      <c r="I190">
        <v>459.75</v>
      </c>
      <c r="J190">
        <v>20.006</v>
      </c>
      <c r="K190" s="12">
        <v>8655.42</v>
      </c>
      <c r="L190">
        <v>13.39</v>
      </c>
      <c r="M190">
        <v>529.37</v>
      </c>
      <c r="N190" s="13">
        <v>6.1199999999999997E-2</v>
      </c>
      <c r="O190" t="s">
        <v>38</v>
      </c>
      <c r="Q190">
        <f t="shared" si="46"/>
        <v>542.76277999999991</v>
      </c>
      <c r="R190">
        <f t="shared" si="47"/>
        <v>529.37277999999992</v>
      </c>
      <c r="S190">
        <f t="shared" si="48"/>
        <v>9197.7584999999999</v>
      </c>
      <c r="U190">
        <f t="shared" si="35"/>
        <v>3.813971</v>
      </c>
      <c r="V190">
        <f t="shared" si="49"/>
        <v>1650.0001340199999</v>
      </c>
      <c r="W190">
        <f t="shared" si="36"/>
        <v>103.47303322999998</v>
      </c>
      <c r="X190">
        <f t="shared" si="37"/>
        <v>3.40347330127</v>
      </c>
      <c r="Y190">
        <f t="shared" si="38"/>
        <v>100.06955992872999</v>
      </c>
      <c r="Z190">
        <f t="shared" si="39"/>
        <v>51093.426050158101</v>
      </c>
      <c r="AB190">
        <f t="shared" si="40"/>
        <v>4.3547989999999999</v>
      </c>
      <c r="AC190">
        <f t="shared" si="41"/>
        <v>1883.97314338</v>
      </c>
      <c r="AD190">
        <f t="shared" si="42"/>
        <v>118.14569686999998</v>
      </c>
      <c r="AE190">
        <f t="shared" si="43"/>
        <v>3.8860919836300001</v>
      </c>
      <c r="AF190">
        <f t="shared" si="44"/>
        <v>114.25960488636998</v>
      </c>
      <c r="AG190">
        <f t="shared" si="50"/>
        <v>18953.991939260948</v>
      </c>
      <c r="AH190" t="b">
        <f t="shared" si="45"/>
        <v>1</v>
      </c>
    </row>
    <row r="191" spans="4:34" x14ac:dyDescent="0.4">
      <c r="D191" t="s">
        <v>43</v>
      </c>
      <c r="E191" t="s">
        <v>37</v>
      </c>
      <c r="F191" s="9">
        <v>46000.625</v>
      </c>
      <c r="G191">
        <v>1.6049</v>
      </c>
      <c r="H191" s="9">
        <v>46002.625</v>
      </c>
      <c r="I191">
        <v>1.5271999999999999</v>
      </c>
      <c r="J191" s="12">
        <v>1199.2</v>
      </c>
      <c r="K191" s="12">
        <v>1924.65</v>
      </c>
      <c r="L191">
        <v>2.82</v>
      </c>
      <c r="M191">
        <v>-95.99</v>
      </c>
      <c r="N191" s="13">
        <v>-4.99E-2</v>
      </c>
      <c r="O191" t="s">
        <v>38</v>
      </c>
      <c r="Q191">
        <f t="shared" si="46"/>
        <v>-93.177840000000131</v>
      </c>
      <c r="R191">
        <f t="shared" si="47"/>
        <v>-95.997840000000124</v>
      </c>
      <c r="S191">
        <f t="shared" si="48"/>
        <v>1831.41824</v>
      </c>
      <c r="U191">
        <f t="shared" si="35"/>
        <v>1028.101439</v>
      </c>
      <c r="V191">
        <f t="shared" si="49"/>
        <v>1649.9999994510999</v>
      </c>
      <c r="W191">
        <f t="shared" si="36"/>
        <v>-79.883481810300111</v>
      </c>
      <c r="X191">
        <f t="shared" si="37"/>
        <v>3.2201165170918999</v>
      </c>
      <c r="Y191">
        <f t="shared" si="38"/>
        <v>-83.103598327392007</v>
      </c>
      <c r="Z191">
        <f t="shared" si="39"/>
        <v>50993.356490229373</v>
      </c>
      <c r="AB191">
        <f t="shared" si="40"/>
        <v>1179.830551</v>
      </c>
      <c r="AC191">
        <f t="shared" si="41"/>
        <v>1893.5100512998999</v>
      </c>
      <c r="AD191">
        <f t="shared" si="42"/>
        <v>-91.672833812700119</v>
      </c>
      <c r="AE191">
        <f t="shared" si="43"/>
        <v>3.6953472687871001</v>
      </c>
      <c r="AF191">
        <f t="shared" si="44"/>
        <v>-95.368181081487222</v>
      </c>
      <c r="AG191">
        <f t="shared" si="50"/>
        <v>18839.732334374577</v>
      </c>
      <c r="AH191" t="b">
        <f t="shared" si="45"/>
        <v>1</v>
      </c>
    </row>
    <row r="192" spans="4:34" x14ac:dyDescent="0.4">
      <c r="D192" t="s">
        <v>53</v>
      </c>
      <c r="E192" t="s">
        <v>37</v>
      </c>
      <c r="F192" s="9">
        <v>46000.625</v>
      </c>
      <c r="G192">
        <v>885.47</v>
      </c>
      <c r="H192" s="9">
        <v>46002.625</v>
      </c>
      <c r="I192">
        <v>861.95</v>
      </c>
      <c r="J192" s="12">
        <v>11.173999999999999</v>
      </c>
      <c r="K192" s="12">
        <v>9894.33</v>
      </c>
      <c r="L192">
        <v>14.64</v>
      </c>
      <c r="M192">
        <v>-277.45999999999998</v>
      </c>
      <c r="N192" s="13">
        <v>-2.8000000000000001E-2</v>
      </c>
      <c r="O192" t="s">
        <v>38</v>
      </c>
      <c r="Q192">
        <f t="shared" si="46"/>
        <v>-262.81247999999977</v>
      </c>
      <c r="R192">
        <f t="shared" si="47"/>
        <v>-277.45247999999975</v>
      </c>
      <c r="S192">
        <f t="shared" si="48"/>
        <v>9631.4292999999998</v>
      </c>
      <c r="U192">
        <f t="shared" si="35"/>
        <v>1.8634170000000001</v>
      </c>
      <c r="V192">
        <f t="shared" si="49"/>
        <v>1649.9998509900001</v>
      </c>
      <c r="W192">
        <f t="shared" si="36"/>
        <v>-43.827567839999972</v>
      </c>
      <c r="X192">
        <f t="shared" si="37"/>
        <v>3.2561721341400007</v>
      </c>
      <c r="Y192">
        <f t="shared" si="38"/>
        <v>-47.083739974139974</v>
      </c>
      <c r="Z192">
        <f t="shared" si="39"/>
        <v>51076.460088556763</v>
      </c>
      <c r="AB192">
        <f t="shared" si="40"/>
        <v>2.1445430000000001</v>
      </c>
      <c r="AC192">
        <f t="shared" si="41"/>
        <v>1898.9284902100001</v>
      </c>
      <c r="AD192">
        <f t="shared" si="42"/>
        <v>-50.439651359999964</v>
      </c>
      <c r="AE192">
        <f t="shared" si="43"/>
        <v>3.7474173290600006</v>
      </c>
      <c r="AF192">
        <f t="shared" si="44"/>
        <v>-54.187068689059963</v>
      </c>
      <c r="AG192">
        <f t="shared" si="50"/>
        <v>18935.100515456066</v>
      </c>
      <c r="AH192" t="b">
        <f t="shared" si="45"/>
        <v>1</v>
      </c>
    </row>
    <row r="193" spans="4:34" x14ac:dyDescent="0.4">
      <c r="D193" t="s">
        <v>56</v>
      </c>
      <c r="E193" t="s">
        <v>37</v>
      </c>
      <c r="F193" s="9">
        <v>46001.583333333336</v>
      </c>
      <c r="G193" s="12">
        <v>3335.01</v>
      </c>
      <c r="H193" s="9">
        <v>46002.041666666664</v>
      </c>
      <c r="I193" s="12">
        <v>3274.93</v>
      </c>
      <c r="J193">
        <v>1.7818000000000001</v>
      </c>
      <c r="K193" s="12">
        <v>5942.51</v>
      </c>
      <c r="L193">
        <v>8.83</v>
      </c>
      <c r="M193">
        <v>-115.89</v>
      </c>
      <c r="N193" s="13">
        <v>-1.95E-2</v>
      </c>
      <c r="O193" t="s">
        <v>49</v>
      </c>
      <c r="Q193">
        <f t="shared" si="46"/>
        <v>-107.05054400000068</v>
      </c>
      <c r="R193">
        <f t="shared" si="47"/>
        <v>-115.88054400000068</v>
      </c>
      <c r="S193">
        <f t="shared" si="48"/>
        <v>5835.2702739999995</v>
      </c>
      <c r="U193">
        <f t="shared" si="35"/>
        <v>0.494751</v>
      </c>
      <c r="V193">
        <f t="shared" si="49"/>
        <v>1649.9995325100001</v>
      </c>
      <c r="W193">
        <f t="shared" si="36"/>
        <v>-29.724640080000189</v>
      </c>
      <c r="X193">
        <f t="shared" si="37"/>
        <v>3.2702744249400002</v>
      </c>
      <c r="Y193">
        <f t="shared" si="38"/>
        <v>-32.994914504940191</v>
      </c>
      <c r="Z193">
        <f t="shared" si="39"/>
        <v>51123.543828530906</v>
      </c>
      <c r="AB193">
        <f t="shared" si="40"/>
        <v>0.57053299999999996</v>
      </c>
      <c r="AC193">
        <f t="shared" si="41"/>
        <v>1902.7332603299999</v>
      </c>
      <c r="AD193">
        <f t="shared" si="42"/>
        <v>-34.277622640000217</v>
      </c>
      <c r="AE193">
        <f t="shared" si="43"/>
        <v>3.7711888980200001</v>
      </c>
      <c r="AF193">
        <f t="shared" si="44"/>
        <v>-38.048811538020217</v>
      </c>
      <c r="AG193">
        <f t="shared" si="50"/>
        <v>18989.287584145128</v>
      </c>
      <c r="AH193" t="b">
        <f t="shared" si="45"/>
        <v>1</v>
      </c>
    </row>
    <row r="194" spans="4:34" x14ac:dyDescent="0.4">
      <c r="D194" t="s">
        <v>50</v>
      </c>
      <c r="E194" t="s">
        <v>37</v>
      </c>
      <c r="F194" s="9">
        <v>45999.875</v>
      </c>
      <c r="G194" s="12">
        <v>295.8</v>
      </c>
      <c r="H194" s="9">
        <v>46001.875</v>
      </c>
      <c r="I194" s="12">
        <v>298.3</v>
      </c>
      <c r="J194">
        <v>47.534799999999997</v>
      </c>
      <c r="K194" s="12">
        <v>14060.81</v>
      </c>
      <c r="L194">
        <v>21.18</v>
      </c>
      <c r="M194">
        <v>97.66</v>
      </c>
      <c r="N194" s="13">
        <v>6.8999999999999999E-3</v>
      </c>
      <c r="O194" t="s">
        <v>38</v>
      </c>
      <c r="Q194">
        <f t="shared" si="46"/>
        <v>118.83699999999999</v>
      </c>
      <c r="R194">
        <f t="shared" si="47"/>
        <v>97.656999999999982</v>
      </c>
      <c r="S194">
        <f t="shared" si="48"/>
        <v>14179.63084</v>
      </c>
      <c r="U194">
        <f t="shared" si="35"/>
        <v>5.578093</v>
      </c>
      <c r="V194">
        <f t="shared" si="49"/>
        <v>1649.9999094</v>
      </c>
      <c r="W194">
        <f t="shared" si="36"/>
        <v>13.945232499999999</v>
      </c>
      <c r="X194">
        <f t="shared" si="37"/>
        <v>3.3139450513000002</v>
      </c>
      <c r="Y194">
        <f t="shared" si="38"/>
        <v>10.6312874487</v>
      </c>
      <c r="Z194">
        <f t="shared" si="39"/>
        <v>51156.538743035846</v>
      </c>
      <c r="AB194">
        <f t="shared" si="40"/>
        <v>6.4283590000000004</v>
      </c>
      <c r="AC194">
        <f t="shared" si="41"/>
        <v>1901.5085922000003</v>
      </c>
      <c r="AD194">
        <f t="shared" si="42"/>
        <v>16.070897500000001</v>
      </c>
      <c r="AE194">
        <f t="shared" si="43"/>
        <v>3.8190880819000008</v>
      </c>
      <c r="AF194">
        <f t="shared" si="44"/>
        <v>12.251809418100001</v>
      </c>
      <c r="AG194">
        <f t="shared" si="50"/>
        <v>19027.336395683149</v>
      </c>
      <c r="AH194" t="b">
        <f t="shared" si="45"/>
        <v>1</v>
      </c>
    </row>
    <row r="195" spans="4:34" x14ac:dyDescent="0.4">
      <c r="D195" t="s">
        <v>60</v>
      </c>
      <c r="E195" t="s">
        <v>37</v>
      </c>
      <c r="F195" s="9">
        <v>45999.083333333336</v>
      </c>
      <c r="G195" s="12">
        <v>2.0682</v>
      </c>
      <c r="H195" s="9">
        <v>46001.583333333336</v>
      </c>
      <c r="I195" s="12">
        <v>2.0651999999999999</v>
      </c>
      <c r="J195" s="12">
        <v>1096.5</v>
      </c>
      <c r="K195" s="12">
        <v>2267.81</v>
      </c>
      <c r="L195">
        <v>3.4</v>
      </c>
      <c r="M195">
        <v>-6.69</v>
      </c>
      <c r="N195" s="13">
        <v>-2.8999999999999998E-3</v>
      </c>
      <c r="O195" t="s">
        <v>57</v>
      </c>
      <c r="Q195">
        <f t="shared" si="46"/>
        <v>-3.2895000000001247</v>
      </c>
      <c r="R195">
        <f t="shared" si="47"/>
        <v>-6.689500000000125</v>
      </c>
      <c r="S195">
        <f t="shared" si="48"/>
        <v>2264.4917999999998</v>
      </c>
      <c r="U195">
        <f t="shared" si="35"/>
        <v>797.79518399999995</v>
      </c>
      <c r="V195">
        <f t="shared" si="49"/>
        <v>1649.9999995487999</v>
      </c>
      <c r="W195">
        <f t="shared" si="36"/>
        <v>-2.3933855520000904</v>
      </c>
      <c r="X195">
        <f t="shared" si="37"/>
        <v>3.2976066135455997</v>
      </c>
      <c r="Y195">
        <f t="shared" si="38"/>
        <v>-5.6909921655456905</v>
      </c>
      <c r="Z195">
        <f t="shared" si="39"/>
        <v>51145.907455587148</v>
      </c>
      <c r="AB195">
        <f t="shared" si="40"/>
        <v>919.71982000000003</v>
      </c>
      <c r="AC195">
        <f t="shared" si="41"/>
        <v>1902.1645317240002</v>
      </c>
      <c r="AD195">
        <f t="shared" si="42"/>
        <v>-2.7591594600001046</v>
      </c>
      <c r="AE195">
        <f t="shared" si="43"/>
        <v>3.8015699039879998</v>
      </c>
      <c r="AF195">
        <f t="shared" si="44"/>
        <v>-6.5607293639881039</v>
      </c>
      <c r="AG195">
        <f t="shared" si="50"/>
        <v>19015.084586265049</v>
      </c>
      <c r="AH195" t="b">
        <f t="shared" si="45"/>
        <v>1</v>
      </c>
    </row>
    <row r="196" spans="4:34" x14ac:dyDescent="0.4">
      <c r="D196" t="s">
        <v>56</v>
      </c>
      <c r="E196" t="s">
        <v>37</v>
      </c>
      <c r="F196" s="9">
        <v>45999.083333333336</v>
      </c>
      <c r="G196" s="12">
        <v>3098.92</v>
      </c>
      <c r="H196" s="9">
        <v>46001.583333333336</v>
      </c>
      <c r="I196" s="12">
        <v>3335.01</v>
      </c>
      <c r="J196">
        <v>1.9034</v>
      </c>
      <c r="K196" s="12">
        <v>5898.49</v>
      </c>
      <c r="L196">
        <v>9.18</v>
      </c>
      <c r="M196">
        <v>440.19</v>
      </c>
      <c r="N196" s="13">
        <v>7.46E-2</v>
      </c>
      <c r="O196" t="s">
        <v>57</v>
      </c>
      <c r="Q196">
        <f t="shared" si="46"/>
        <v>449.37370600000025</v>
      </c>
      <c r="R196">
        <f t="shared" si="47"/>
        <v>440.19370600000025</v>
      </c>
      <c r="S196">
        <f t="shared" si="48"/>
        <v>6347.8580340000008</v>
      </c>
      <c r="U196">
        <f t="shared" si="35"/>
        <v>0.53244400000000003</v>
      </c>
      <c r="V196">
        <f t="shared" si="49"/>
        <v>1650.0013604800001</v>
      </c>
      <c r="W196">
        <f t="shared" si="36"/>
        <v>125.70470396000009</v>
      </c>
      <c r="X196">
        <f t="shared" si="37"/>
        <v>3.4257074249200001</v>
      </c>
      <c r="Y196">
        <f t="shared" si="38"/>
        <v>122.27899653508008</v>
      </c>
      <c r="Z196">
        <f t="shared" si="39"/>
        <v>51151.598447752694</v>
      </c>
      <c r="AB196">
        <f t="shared" si="40"/>
        <v>0.60929999999999995</v>
      </c>
      <c r="AC196">
        <f t="shared" si="41"/>
        <v>1888.1719559999999</v>
      </c>
      <c r="AD196">
        <f t="shared" si="42"/>
        <v>143.84963700000009</v>
      </c>
      <c r="AE196">
        <f t="shared" si="43"/>
        <v>3.9201935489999999</v>
      </c>
      <c r="AF196">
        <f t="shared" si="44"/>
        <v>139.92944345100008</v>
      </c>
      <c r="AG196">
        <f t="shared" si="50"/>
        <v>19021.645315629037</v>
      </c>
      <c r="AH196" t="b">
        <f t="shared" si="45"/>
        <v>1</v>
      </c>
    </row>
    <row r="197" spans="4:34" x14ac:dyDescent="0.4">
      <c r="D197" t="s">
        <v>40</v>
      </c>
      <c r="E197" t="s">
        <v>41</v>
      </c>
      <c r="F197" s="9">
        <v>46000.25</v>
      </c>
      <c r="G197" s="12">
        <v>408.29</v>
      </c>
      <c r="H197" s="9">
        <v>46001.583333333336</v>
      </c>
      <c r="I197" s="12">
        <v>432.62</v>
      </c>
      <c r="J197">
        <v>21.076000000000001</v>
      </c>
      <c r="K197" s="12">
        <v>8605.4699999999993</v>
      </c>
      <c r="L197">
        <v>13.29</v>
      </c>
      <c r="M197">
        <v>499.49</v>
      </c>
      <c r="N197" s="13">
        <v>5.8000000000000003E-2</v>
      </c>
      <c r="O197" t="s">
        <v>38</v>
      </c>
      <c r="Q197">
        <f t="shared" si="46"/>
        <v>512.77907999999968</v>
      </c>
      <c r="R197">
        <f t="shared" si="47"/>
        <v>499.48907999999966</v>
      </c>
      <c r="S197">
        <f t="shared" si="48"/>
        <v>9117.89912</v>
      </c>
      <c r="U197">
        <f t="shared" si="35"/>
        <v>4.041245</v>
      </c>
      <c r="V197">
        <f t="shared" si="49"/>
        <v>1649.99992105</v>
      </c>
      <c r="W197">
        <f t="shared" si="36"/>
        <v>98.323490849999942</v>
      </c>
      <c r="X197">
        <f t="shared" si="37"/>
        <v>3.39832333295</v>
      </c>
      <c r="Y197">
        <f t="shared" si="38"/>
        <v>94.925167517049942</v>
      </c>
      <c r="Z197">
        <f t="shared" si="39"/>
        <v>51029.319451217612</v>
      </c>
      <c r="AB197">
        <f t="shared" si="40"/>
        <v>4.5981310000000004</v>
      </c>
      <c r="AC197">
        <f t="shared" si="41"/>
        <v>1877.3709059900002</v>
      </c>
      <c r="AD197">
        <f t="shared" si="42"/>
        <v>111.87252722999993</v>
      </c>
      <c r="AE197">
        <f t="shared" si="43"/>
        <v>3.8666143392100008</v>
      </c>
      <c r="AF197">
        <f t="shared" si="44"/>
        <v>108.00591289078993</v>
      </c>
      <c r="AG197">
        <f t="shared" si="50"/>
        <v>18881.715872178036</v>
      </c>
      <c r="AH197" t="b">
        <f t="shared" si="45"/>
        <v>1</v>
      </c>
    </row>
    <row r="198" spans="4:34" x14ac:dyDescent="0.4">
      <c r="D198" t="s">
        <v>55</v>
      </c>
      <c r="E198" t="s">
        <v>37</v>
      </c>
      <c r="F198" s="9">
        <v>45999.541666666664</v>
      </c>
      <c r="G198" s="12">
        <v>4.9339999999999999E-5</v>
      </c>
      <c r="H198" s="9">
        <v>46001.541666666664</v>
      </c>
      <c r="I198" s="12">
        <v>6.3360000000000003E-5</v>
      </c>
      <c r="J198" s="12">
        <v>128625065.95</v>
      </c>
      <c r="K198" s="12">
        <v>6346.36</v>
      </c>
      <c r="L198">
        <v>10.87</v>
      </c>
      <c r="M198" s="12">
        <v>1792.45</v>
      </c>
      <c r="N198" s="13">
        <v>0.28239999999999998</v>
      </c>
      <c r="O198" t="s">
        <v>38</v>
      </c>
      <c r="Q198">
        <f t="shared" si="46"/>
        <v>1803.3234246190007</v>
      </c>
      <c r="R198">
        <f t="shared" si="47"/>
        <v>1792.4534246190008</v>
      </c>
      <c r="S198">
        <f t="shared" si="48"/>
        <v>8149.6841785920005</v>
      </c>
      <c r="U198">
        <f t="shared" si="35"/>
        <v>33441426.834212001</v>
      </c>
      <c r="V198">
        <f t="shared" si="49"/>
        <v>1650.00000000002</v>
      </c>
      <c r="W198">
        <f t="shared" si="36"/>
        <v>468.84880421565242</v>
      </c>
      <c r="X198">
        <f t="shared" si="37"/>
        <v>3.7688488042156929</v>
      </c>
      <c r="Y198">
        <f t="shared" si="38"/>
        <v>465.07995541143674</v>
      </c>
      <c r="Z198">
        <f t="shared" si="39"/>
        <v>50934.39428370056</v>
      </c>
      <c r="AB198">
        <f t="shared" si="40"/>
        <v>37006583.503307</v>
      </c>
      <c r="AC198">
        <f t="shared" si="41"/>
        <v>1825.9048300531674</v>
      </c>
      <c r="AD198">
        <f t="shared" si="42"/>
        <v>518.83230071636433</v>
      </c>
      <c r="AE198">
        <f t="shared" si="43"/>
        <v>4.1706419608226994</v>
      </c>
      <c r="AF198">
        <f t="shared" si="44"/>
        <v>514.66165875554168</v>
      </c>
      <c r="AG198">
        <f t="shared" si="50"/>
        <v>18773.709959287247</v>
      </c>
      <c r="AH198" t="b">
        <f t="shared" si="45"/>
        <v>1</v>
      </c>
    </row>
    <row r="199" spans="4:34" x14ac:dyDescent="0.4">
      <c r="D199" t="s">
        <v>52</v>
      </c>
      <c r="E199" t="s">
        <v>37</v>
      </c>
      <c r="F199" s="9">
        <v>45999.083333333336</v>
      </c>
      <c r="G199">
        <v>3.4510000000000001</v>
      </c>
      <c r="H199" s="9">
        <v>46001.083333333336</v>
      </c>
      <c r="I199">
        <v>3.6120000000000001</v>
      </c>
      <c r="J199">
        <v>775.44</v>
      </c>
      <c r="K199" s="12">
        <v>2676.04</v>
      </c>
      <c r="L199">
        <v>4.1100000000000003</v>
      </c>
      <c r="M199">
        <v>120.74</v>
      </c>
      <c r="N199" s="13">
        <v>4.5100000000000001E-2</v>
      </c>
      <c r="O199" t="s">
        <v>38</v>
      </c>
      <c r="Q199">
        <f t="shared" si="46"/>
        <v>124.84584000000004</v>
      </c>
      <c r="R199">
        <f t="shared" si="47"/>
        <v>120.73584000000004</v>
      </c>
      <c r="S199">
        <f t="shared" si="48"/>
        <v>2800.8892800000003</v>
      </c>
      <c r="U199">
        <f t="shared" si="35"/>
        <v>478.12228299999998</v>
      </c>
      <c r="V199">
        <f t="shared" si="49"/>
        <v>1649.9999986329999</v>
      </c>
      <c r="W199">
        <f t="shared" si="36"/>
        <v>76.977687563000018</v>
      </c>
      <c r="X199">
        <f t="shared" si="37"/>
        <v>3.3769776848290003</v>
      </c>
      <c r="Y199">
        <f t="shared" si="38"/>
        <v>73.600709878171017</v>
      </c>
      <c r="Z199">
        <f t="shared" si="39"/>
        <v>50469.314328289125</v>
      </c>
      <c r="AB199">
        <f t="shared" si="40"/>
        <v>526.74479199999996</v>
      </c>
      <c r="AC199">
        <f t="shared" si="41"/>
        <v>1817.7962771919999</v>
      </c>
      <c r="AD199">
        <f t="shared" si="42"/>
        <v>84.805911512000009</v>
      </c>
      <c r="AE199">
        <f t="shared" si="43"/>
        <v>3.7203984658960003</v>
      </c>
      <c r="AF199">
        <f t="shared" si="44"/>
        <v>81.085513046104012</v>
      </c>
      <c r="AG199">
        <f t="shared" si="50"/>
        <v>18259.048300531707</v>
      </c>
      <c r="AH199" t="b">
        <f t="shared" si="45"/>
        <v>1</v>
      </c>
    </row>
    <row r="200" spans="4:34" x14ac:dyDescent="0.4">
      <c r="D200" t="s">
        <v>54</v>
      </c>
      <c r="E200" t="s">
        <v>37</v>
      </c>
      <c r="F200" s="9">
        <v>45999.083333333336</v>
      </c>
      <c r="G200">
        <v>133.4</v>
      </c>
      <c r="H200" s="9">
        <v>46001.083333333336</v>
      </c>
      <c r="I200">
        <v>137.9</v>
      </c>
      <c r="J200" s="12">
        <v>38.179000000000002</v>
      </c>
      <c r="K200" s="12">
        <v>5093.12</v>
      </c>
      <c r="L200">
        <v>7.77</v>
      </c>
      <c r="M200">
        <v>164.04</v>
      </c>
      <c r="N200" s="13">
        <v>3.2199999999999999E-2</v>
      </c>
      <c r="O200" t="s">
        <v>38</v>
      </c>
      <c r="Q200">
        <f t="shared" si="46"/>
        <v>171.80549999999999</v>
      </c>
      <c r="R200">
        <f t="shared" si="47"/>
        <v>164.03549999999998</v>
      </c>
      <c r="S200">
        <f t="shared" si="48"/>
        <v>5264.8841000000002</v>
      </c>
      <c r="U200">
        <f t="shared" si="35"/>
        <v>12.368816000000001</v>
      </c>
      <c r="V200">
        <f t="shared" si="49"/>
        <v>1650.0000544000002</v>
      </c>
      <c r="W200">
        <f t="shared" si="36"/>
        <v>55.659672</v>
      </c>
      <c r="X200">
        <f t="shared" si="37"/>
        <v>3.3556597808000008</v>
      </c>
      <c r="Y200">
        <f t="shared" si="38"/>
        <v>52.304012219199997</v>
      </c>
      <c r="Z200">
        <f t="shared" si="39"/>
        <v>50395.713618410955</v>
      </c>
      <c r="AB200">
        <f t="shared" si="40"/>
        <v>13.583600000000001</v>
      </c>
      <c r="AC200">
        <f t="shared" si="41"/>
        <v>1812.0522400000002</v>
      </c>
      <c r="AD200">
        <f t="shared" si="42"/>
        <v>61.126200000000004</v>
      </c>
      <c r="AE200">
        <f t="shared" si="43"/>
        <v>3.6852306800000005</v>
      </c>
      <c r="AF200">
        <f t="shared" si="44"/>
        <v>57.440969320000001</v>
      </c>
      <c r="AG200">
        <f t="shared" si="50"/>
        <v>18177.962787485605</v>
      </c>
      <c r="AH200" t="b">
        <f t="shared" si="45"/>
        <v>1</v>
      </c>
    </row>
    <row r="201" spans="4:34" x14ac:dyDescent="0.4">
      <c r="D201" t="s">
        <v>58</v>
      </c>
      <c r="E201" t="s">
        <v>37</v>
      </c>
      <c r="F201" s="9">
        <v>45999.083333333336</v>
      </c>
      <c r="G201">
        <v>13.83</v>
      </c>
      <c r="H201" s="9">
        <v>46001.083333333336</v>
      </c>
      <c r="I201">
        <v>14.27</v>
      </c>
      <c r="J201" s="12">
        <v>536.49</v>
      </c>
      <c r="K201" s="12">
        <v>7419.7</v>
      </c>
      <c r="L201">
        <v>11.31</v>
      </c>
      <c r="M201">
        <v>224.75</v>
      </c>
      <c r="N201" s="13">
        <v>3.0300000000000001E-2</v>
      </c>
      <c r="O201" t="s">
        <v>38</v>
      </c>
      <c r="Q201">
        <f t="shared" si="46"/>
        <v>236.05559999999974</v>
      </c>
      <c r="R201">
        <f t="shared" si="47"/>
        <v>224.74559999999974</v>
      </c>
      <c r="S201">
        <f t="shared" si="48"/>
        <v>7655.7123000000001</v>
      </c>
      <c r="U201">
        <f t="shared" si="35"/>
        <v>119.305857</v>
      </c>
      <c r="V201">
        <f t="shared" si="49"/>
        <v>1650.0000023100001</v>
      </c>
      <c r="W201">
        <f t="shared" si="36"/>
        <v>52.494577079999942</v>
      </c>
      <c r="X201">
        <f t="shared" si="37"/>
        <v>3.3524945817000007</v>
      </c>
      <c r="Y201">
        <f t="shared" si="38"/>
        <v>49.142082498299942</v>
      </c>
      <c r="Z201">
        <f t="shared" si="39"/>
        <v>50343.409606191752</v>
      </c>
      <c r="AB201">
        <f t="shared" si="40"/>
        <v>130.63422700000001</v>
      </c>
      <c r="AC201">
        <f t="shared" si="41"/>
        <v>1806.6713594100002</v>
      </c>
      <c r="AD201">
        <f t="shared" si="42"/>
        <v>57.479059879999937</v>
      </c>
      <c r="AE201">
        <f t="shared" si="43"/>
        <v>3.6708217787000006</v>
      </c>
      <c r="AF201">
        <f t="shared" si="44"/>
        <v>53.808238101299935</v>
      </c>
      <c r="AG201">
        <f t="shared" si="50"/>
        <v>18120.521818165606</v>
      </c>
      <c r="AH201" t="b">
        <f t="shared" si="45"/>
        <v>1</v>
      </c>
    </row>
    <row r="202" spans="4:34" x14ac:dyDescent="0.4">
      <c r="D202" t="s">
        <v>61</v>
      </c>
      <c r="E202" t="s">
        <v>37</v>
      </c>
      <c r="F202" s="9">
        <v>45999.083333333336</v>
      </c>
      <c r="G202">
        <v>0.42099999999999999</v>
      </c>
      <c r="H202" s="9">
        <v>46001.083333333336</v>
      </c>
      <c r="I202">
        <v>0.46479999999999999</v>
      </c>
      <c r="J202" s="12">
        <v>20218</v>
      </c>
      <c r="K202" s="12">
        <v>8511.7900000000009</v>
      </c>
      <c r="L202">
        <v>13.43</v>
      </c>
      <c r="M202">
        <v>872.12</v>
      </c>
      <c r="N202" s="13">
        <v>0.10249999999999999</v>
      </c>
      <c r="O202" t="s">
        <v>38</v>
      </c>
      <c r="Q202">
        <f t="shared" si="46"/>
        <v>885.54840000000013</v>
      </c>
      <c r="R202">
        <f t="shared" si="47"/>
        <v>872.11840000000018</v>
      </c>
      <c r="S202">
        <f t="shared" si="48"/>
        <v>9397.3263999999999</v>
      </c>
      <c r="U202">
        <f t="shared" si="35"/>
        <v>3919.2399049999999</v>
      </c>
      <c r="V202">
        <f t="shared" si="49"/>
        <v>1650.0000000049999</v>
      </c>
      <c r="W202">
        <f t="shared" si="36"/>
        <v>171.66270783900001</v>
      </c>
      <c r="X202">
        <f t="shared" si="37"/>
        <v>3.4716627078489997</v>
      </c>
      <c r="Y202">
        <f t="shared" si="38"/>
        <v>168.19104513115101</v>
      </c>
      <c r="Z202">
        <f t="shared" si="39"/>
        <v>50294.267523693452</v>
      </c>
      <c r="AB202">
        <f t="shared" si="40"/>
        <v>4248.0785480000004</v>
      </c>
      <c r="AC202">
        <f t="shared" si="41"/>
        <v>1788.4410687080001</v>
      </c>
      <c r="AD202">
        <f t="shared" si="42"/>
        <v>186.06584040240003</v>
      </c>
      <c r="AE202">
        <f t="shared" si="43"/>
        <v>3.7629479778184001</v>
      </c>
      <c r="AF202">
        <f t="shared" si="44"/>
        <v>182.30289242458161</v>
      </c>
      <c r="AG202">
        <f t="shared" si="50"/>
        <v>18066.713580064305</v>
      </c>
      <c r="AH202" t="b">
        <f t="shared" si="45"/>
        <v>1</v>
      </c>
    </row>
    <row r="203" spans="4:34" x14ac:dyDescent="0.4">
      <c r="D203" t="s">
        <v>59</v>
      </c>
      <c r="E203" t="s">
        <v>37</v>
      </c>
      <c r="F203" s="9">
        <v>45998.541666666664</v>
      </c>
      <c r="G203" s="12">
        <v>89496.62</v>
      </c>
      <c r="H203" s="9">
        <v>46001.041666666664</v>
      </c>
      <c r="I203" s="12">
        <v>92158.98</v>
      </c>
      <c r="J203">
        <v>0.11973</v>
      </c>
      <c r="K203" s="12">
        <v>10715.61</v>
      </c>
      <c r="L203">
        <v>16.309999999999999</v>
      </c>
      <c r="M203">
        <v>302.45</v>
      </c>
      <c r="N203" s="13">
        <v>2.8199999999999999E-2</v>
      </c>
      <c r="O203" t="s">
        <v>57</v>
      </c>
      <c r="Q203">
        <f t="shared" si="46"/>
        <v>318.76436280000007</v>
      </c>
      <c r="R203">
        <f t="shared" si="47"/>
        <v>302.45436280000007</v>
      </c>
      <c r="S203">
        <f t="shared" si="48"/>
        <v>11034.1946754</v>
      </c>
      <c r="U203">
        <f t="shared" si="35"/>
        <v>1.8436000000000001E-2</v>
      </c>
      <c r="V203">
        <f t="shared" si="49"/>
        <v>1649.9596863199999</v>
      </c>
      <c r="W203">
        <f t="shared" si="36"/>
        <v>49.083268960000012</v>
      </c>
      <c r="X203">
        <f t="shared" si="37"/>
        <v>3.3490026415999998</v>
      </c>
      <c r="Y203">
        <f t="shared" si="38"/>
        <v>45.73426631840001</v>
      </c>
      <c r="Z203">
        <f t="shared" si="39"/>
        <v>50126.076478562303</v>
      </c>
      <c r="AB203">
        <f t="shared" si="40"/>
        <v>1.9928000000000001E-2</v>
      </c>
      <c r="AC203">
        <f t="shared" si="41"/>
        <v>1783.48864336</v>
      </c>
      <c r="AD203">
        <f t="shared" si="42"/>
        <v>53.055510080000012</v>
      </c>
      <c r="AE203">
        <f t="shared" si="43"/>
        <v>3.6200327967999999</v>
      </c>
      <c r="AF203">
        <f t="shared" si="44"/>
        <v>49.435477283200015</v>
      </c>
      <c r="AG203">
        <f t="shared" si="50"/>
        <v>17884.410687639724</v>
      </c>
      <c r="AH203" t="b">
        <f t="shared" si="45"/>
        <v>1</v>
      </c>
    </row>
    <row r="204" spans="4:34" x14ac:dyDescent="0.4">
      <c r="D204" t="s">
        <v>43</v>
      </c>
      <c r="E204" t="s">
        <v>37</v>
      </c>
      <c r="F204" s="9">
        <v>45998.541666666664</v>
      </c>
      <c r="G204">
        <v>1.5916999999999999</v>
      </c>
      <c r="H204" s="9">
        <v>46000.541666666664</v>
      </c>
      <c r="I204">
        <v>1.6072</v>
      </c>
      <c r="J204" s="12">
        <v>1208.0999999999999</v>
      </c>
      <c r="K204" s="12">
        <v>1923.06</v>
      </c>
      <c r="L204">
        <v>2.9</v>
      </c>
      <c r="M204">
        <v>15.83</v>
      </c>
      <c r="N204" s="13">
        <v>8.2000000000000007E-3</v>
      </c>
      <c r="O204" t="s">
        <v>38</v>
      </c>
      <c r="Q204">
        <f t="shared" si="46"/>
        <v>18.725550000000084</v>
      </c>
      <c r="R204">
        <f t="shared" si="47"/>
        <v>15.825550000000083</v>
      </c>
      <c r="S204">
        <f t="shared" si="48"/>
        <v>1941.6583199999998</v>
      </c>
      <c r="U204">
        <f t="shared" si="35"/>
        <v>1036.6275049999999</v>
      </c>
      <c r="V204">
        <f t="shared" si="49"/>
        <v>1649.9999997084997</v>
      </c>
      <c r="W204">
        <f t="shared" si="36"/>
        <v>16.067726327500072</v>
      </c>
      <c r="X204">
        <f t="shared" si="37"/>
        <v>3.3160677257444999</v>
      </c>
      <c r="Y204">
        <f t="shared" si="38"/>
        <v>12.751658601755572</v>
      </c>
      <c r="Z204">
        <f t="shared" si="39"/>
        <v>50080.342212243901</v>
      </c>
      <c r="AB204">
        <f t="shared" si="40"/>
        <v>1119.633253</v>
      </c>
      <c r="AC204">
        <f t="shared" si="41"/>
        <v>1782.1202488000997</v>
      </c>
      <c r="AD204">
        <f t="shared" si="42"/>
        <v>17.354315421500075</v>
      </c>
      <c r="AE204">
        <f t="shared" si="43"/>
        <v>3.5815948130217001</v>
      </c>
      <c r="AF204">
        <f t="shared" si="44"/>
        <v>13.772720608478375</v>
      </c>
      <c r="AG204">
        <f t="shared" si="50"/>
        <v>17834.975210356522</v>
      </c>
      <c r="AH204" t="b">
        <f t="shared" si="45"/>
        <v>1</v>
      </c>
    </row>
    <row r="205" spans="4:34" x14ac:dyDescent="0.4">
      <c r="D205" t="s">
        <v>53</v>
      </c>
      <c r="E205" t="s">
        <v>37</v>
      </c>
      <c r="F205" s="9">
        <v>45998.541666666664</v>
      </c>
      <c r="G205">
        <v>893.27</v>
      </c>
      <c r="H205" s="9">
        <v>46000.541666666664</v>
      </c>
      <c r="I205">
        <v>888.42</v>
      </c>
      <c r="J205" s="12">
        <v>11.084</v>
      </c>
      <c r="K205" s="12">
        <v>9901.19</v>
      </c>
      <c r="L205">
        <v>14.81</v>
      </c>
      <c r="M205">
        <v>-68.569999999999993</v>
      </c>
      <c r="N205" s="13">
        <v>-6.8999999999999999E-3</v>
      </c>
      <c r="O205" t="s">
        <v>38</v>
      </c>
      <c r="Q205">
        <f t="shared" si="46"/>
        <v>-53.757400000000253</v>
      </c>
      <c r="R205">
        <f t="shared" si="47"/>
        <v>-68.567400000000248</v>
      </c>
      <c r="S205">
        <f t="shared" si="48"/>
        <v>9847.2472799999996</v>
      </c>
      <c r="U205">
        <f t="shared" ref="U205:U268" si="51">ROUND(($Q$2)/G205,6)</f>
        <v>1.847146</v>
      </c>
      <c r="V205">
        <f t="shared" si="49"/>
        <v>1650.0001074199999</v>
      </c>
      <c r="W205">
        <f t="shared" ref="W205:W268" si="52">U205*(I205-G205)</f>
        <v>-8.9586581000000418</v>
      </c>
      <c r="X205">
        <f t="shared" ref="X205:X268" si="53">(G205+I205)*$R$2*U205</f>
        <v>3.2910415567399998</v>
      </c>
      <c r="Y205">
        <f t="shared" ref="Y205:Y268" si="54">W205-X205</f>
        <v>-12.249699656740042</v>
      </c>
      <c r="Z205">
        <f t="shared" ref="Z205:Z268" si="55">Z206+Y205</f>
        <v>50067.590553642141</v>
      </c>
      <c r="AB205">
        <f t="shared" ref="AB205:AB268" si="56">ROUND(((AH205*AG206 +(1-AH205)*AI205)/$P$2)/G205,6)</f>
        <v>1.996534</v>
      </c>
      <c r="AC205">
        <f t="shared" ref="AC205:AC268" si="57">AB205*G205</f>
        <v>1783.4439261800001</v>
      </c>
      <c r="AD205">
        <f t="shared" ref="AD205:AD268" si="58">AB205*(I205-G205)</f>
        <v>-9.6831899000000448</v>
      </c>
      <c r="AE205">
        <f t="shared" ref="AE205:AE268" si="59">(G205+I205)*$R$2*AB205</f>
        <v>3.5572046624600002</v>
      </c>
      <c r="AF205">
        <f t="shared" ref="AF205:AF268" si="60">AD205-AE205</f>
        <v>-13.240394562460045</v>
      </c>
      <c r="AG205">
        <f t="shared" si="50"/>
        <v>17821.202489748044</v>
      </c>
      <c r="AH205" t="b">
        <f t="shared" ref="AH205:AH268" si="61">ISBLANK(AI205)</f>
        <v>1</v>
      </c>
    </row>
    <row r="206" spans="4:34" x14ac:dyDescent="0.4">
      <c r="D206" t="s">
        <v>40</v>
      </c>
      <c r="E206" t="s">
        <v>41</v>
      </c>
      <c r="F206" s="9">
        <v>45998.75</v>
      </c>
      <c r="G206">
        <v>346.73</v>
      </c>
      <c r="H206" s="9">
        <v>46000.083333333336</v>
      </c>
      <c r="I206">
        <v>403.64</v>
      </c>
      <c r="J206">
        <v>24.422000000000001</v>
      </c>
      <c r="K206" s="12">
        <v>8467.86</v>
      </c>
      <c r="L206">
        <v>13.74</v>
      </c>
      <c r="M206" s="12">
        <v>1376.11</v>
      </c>
      <c r="N206" s="13">
        <v>0.16250000000000001</v>
      </c>
      <c r="O206" t="s">
        <v>38</v>
      </c>
      <c r="Q206">
        <f t="shared" ref="Q206:Q269" si="62">(I206-G206)*J206</f>
        <v>1389.8560199999993</v>
      </c>
      <c r="R206">
        <f t="shared" ref="R206:R269" si="63">Q206-L206</f>
        <v>1376.1160199999993</v>
      </c>
      <c r="S206">
        <f t="shared" ref="S206:S269" si="64">I206*J206</f>
        <v>9857.6960799999997</v>
      </c>
      <c r="U206">
        <f t="shared" si="51"/>
        <v>4.7587460000000004</v>
      </c>
      <c r="V206">
        <f t="shared" ref="V206:V269" si="65">U206*G206</f>
        <v>1650.0000005800002</v>
      </c>
      <c r="W206">
        <f t="shared" si="52"/>
        <v>270.82023485999986</v>
      </c>
      <c r="X206">
        <f t="shared" si="53"/>
        <v>3.5708202360200003</v>
      </c>
      <c r="Y206">
        <f t="shared" si="54"/>
        <v>267.24941462397987</v>
      </c>
      <c r="Z206">
        <f t="shared" si="55"/>
        <v>50079.840253298884</v>
      </c>
      <c r="AB206">
        <f t="shared" si="56"/>
        <v>5.0616279999999998</v>
      </c>
      <c r="AC206">
        <f t="shared" si="57"/>
        <v>1755.0182764399999</v>
      </c>
      <c r="AD206">
        <f t="shared" si="58"/>
        <v>288.05724947999983</v>
      </c>
      <c r="AE206">
        <f t="shared" si="59"/>
        <v>3.7980938023599999</v>
      </c>
      <c r="AF206">
        <f t="shared" si="60"/>
        <v>284.25915567763985</v>
      </c>
      <c r="AG206">
        <f t="shared" si="50"/>
        <v>17834.442884310505</v>
      </c>
      <c r="AH206" t="b">
        <f t="shared" si="61"/>
        <v>1</v>
      </c>
    </row>
    <row r="207" spans="4:34" x14ac:dyDescent="0.4">
      <c r="D207" t="s">
        <v>50</v>
      </c>
      <c r="E207" t="s">
        <v>37</v>
      </c>
      <c r="F207" s="9">
        <v>45997.625</v>
      </c>
      <c r="G207" s="12">
        <v>279.2</v>
      </c>
      <c r="H207" s="9">
        <v>45999.625</v>
      </c>
      <c r="I207" s="12">
        <v>296.39999999999998</v>
      </c>
      <c r="J207">
        <v>50.060400000000001</v>
      </c>
      <c r="K207" s="12">
        <v>13976.87</v>
      </c>
      <c r="L207">
        <v>21.61</v>
      </c>
      <c r="M207" s="12">
        <v>839.43</v>
      </c>
      <c r="N207" s="13">
        <v>6.0100000000000001E-2</v>
      </c>
      <c r="O207" t="s">
        <v>38</v>
      </c>
      <c r="Q207">
        <f t="shared" si="62"/>
        <v>861.03887999999949</v>
      </c>
      <c r="R207">
        <f t="shared" si="63"/>
        <v>839.42887999999948</v>
      </c>
      <c r="S207">
        <f t="shared" si="64"/>
        <v>14837.902559999999</v>
      </c>
      <c r="U207">
        <f t="shared" si="51"/>
        <v>5.9097419999999996</v>
      </c>
      <c r="V207">
        <f t="shared" si="65"/>
        <v>1649.9999663999997</v>
      </c>
      <c r="W207">
        <f t="shared" si="52"/>
        <v>101.64756239999993</v>
      </c>
      <c r="X207">
        <f t="shared" si="53"/>
        <v>3.4016474951999993</v>
      </c>
      <c r="Y207">
        <f t="shared" si="54"/>
        <v>98.245914904799932</v>
      </c>
      <c r="Z207">
        <f t="shared" si="55"/>
        <v>49812.590838674907</v>
      </c>
      <c r="AB207">
        <f t="shared" si="56"/>
        <v>6.2486759999999997</v>
      </c>
      <c r="AC207">
        <f t="shared" si="57"/>
        <v>1744.6303391999998</v>
      </c>
      <c r="AD207">
        <f t="shared" si="58"/>
        <v>107.47722719999993</v>
      </c>
      <c r="AE207">
        <f t="shared" si="59"/>
        <v>3.5967379055999991</v>
      </c>
      <c r="AF207">
        <f t="shared" si="60"/>
        <v>103.88048929439994</v>
      </c>
      <c r="AG207">
        <f t="shared" si="50"/>
        <v>17550.183728632866</v>
      </c>
      <c r="AH207" t="b">
        <f t="shared" si="61"/>
        <v>1</v>
      </c>
    </row>
    <row r="208" spans="4:34" x14ac:dyDescent="0.4">
      <c r="D208" t="s">
        <v>48</v>
      </c>
      <c r="E208" t="s">
        <v>37</v>
      </c>
      <c r="F208" s="9">
        <v>45997.041666666664</v>
      </c>
      <c r="G208">
        <v>0.1178</v>
      </c>
      <c r="H208" s="9">
        <v>45999.041666666664</v>
      </c>
      <c r="I208">
        <v>0.1115</v>
      </c>
      <c r="J208" s="12">
        <v>37717.9</v>
      </c>
      <c r="K208" s="12">
        <v>4443.18</v>
      </c>
      <c r="L208">
        <v>6.49</v>
      </c>
      <c r="M208" s="12">
        <v>-244.11</v>
      </c>
      <c r="N208" s="13">
        <v>-5.4899999999999997E-2</v>
      </c>
      <c r="O208" t="s">
        <v>38</v>
      </c>
      <c r="Q208">
        <f t="shared" si="62"/>
        <v>-237.62277</v>
      </c>
      <c r="R208">
        <f t="shared" si="63"/>
        <v>-244.11277000000001</v>
      </c>
      <c r="S208">
        <f t="shared" si="64"/>
        <v>4205.5458500000004</v>
      </c>
      <c r="U208">
        <f t="shared" si="51"/>
        <v>14006.791171000001</v>
      </c>
      <c r="V208">
        <f t="shared" si="65"/>
        <v>1649.9999999438</v>
      </c>
      <c r="W208">
        <f t="shared" si="52"/>
        <v>-88.242784377300012</v>
      </c>
      <c r="X208">
        <f t="shared" si="53"/>
        <v>3.2117572155103002</v>
      </c>
      <c r="Y208">
        <f t="shared" si="54"/>
        <v>-91.454541592810315</v>
      </c>
      <c r="Z208">
        <f t="shared" si="55"/>
        <v>49714.344923770106</v>
      </c>
      <c r="AB208">
        <f t="shared" si="56"/>
        <v>14892.650102</v>
      </c>
      <c r="AC208">
        <f t="shared" si="57"/>
        <v>1754.3541820155999</v>
      </c>
      <c r="AD208">
        <f t="shared" si="58"/>
        <v>-93.823695642600001</v>
      </c>
      <c r="AE208">
        <f t="shared" si="59"/>
        <v>3.4148846683886003</v>
      </c>
      <c r="AF208">
        <f t="shared" si="60"/>
        <v>-97.238580310988596</v>
      </c>
      <c r="AG208">
        <f t="shared" si="50"/>
        <v>17446.303239338467</v>
      </c>
      <c r="AH208" t="b">
        <f t="shared" si="61"/>
        <v>1</v>
      </c>
    </row>
    <row r="209" spans="4:34" x14ac:dyDescent="0.4">
      <c r="D209" t="s">
        <v>55</v>
      </c>
      <c r="E209" t="s">
        <v>37</v>
      </c>
      <c r="F209" s="9">
        <v>45997.041666666664</v>
      </c>
      <c r="G209">
        <v>5.8959999999999998E-5</v>
      </c>
      <c r="H209" s="9">
        <v>45999.041666666664</v>
      </c>
      <c r="I209">
        <v>5.1910000000000003E-5</v>
      </c>
      <c r="J209" s="12">
        <v>108956600.38</v>
      </c>
      <c r="K209" s="12">
        <v>6424.08</v>
      </c>
      <c r="L209">
        <v>9.06</v>
      </c>
      <c r="M209" s="12">
        <v>-777.2</v>
      </c>
      <c r="N209" s="13">
        <v>-0.121</v>
      </c>
      <c r="O209" t="s">
        <v>38</v>
      </c>
      <c r="Q209">
        <f t="shared" si="62"/>
        <v>-768.14403267899945</v>
      </c>
      <c r="R209">
        <f t="shared" si="63"/>
        <v>-777.2040326789994</v>
      </c>
      <c r="S209">
        <f t="shared" si="64"/>
        <v>5655.9371257257999</v>
      </c>
      <c r="U209">
        <f t="shared" si="51"/>
        <v>27985074.626866002</v>
      </c>
      <c r="V209">
        <f t="shared" si="65"/>
        <v>1650.0000000000193</v>
      </c>
      <c r="W209">
        <f t="shared" si="52"/>
        <v>-197.29477611940518</v>
      </c>
      <c r="X209">
        <f t="shared" si="53"/>
        <v>3.1027052238806334</v>
      </c>
      <c r="Y209">
        <f t="shared" si="54"/>
        <v>-200.39748134328582</v>
      </c>
      <c r="Z209">
        <f t="shared" si="55"/>
        <v>49805.799465362914</v>
      </c>
      <c r="AB209">
        <f t="shared" si="56"/>
        <v>30120815.920540001</v>
      </c>
      <c r="AC209">
        <f t="shared" si="57"/>
        <v>1775.9233066750385</v>
      </c>
      <c r="AD209">
        <f t="shared" si="58"/>
        <v>-212.35175223980687</v>
      </c>
      <c r="AE209">
        <f t="shared" si="59"/>
        <v>3.3394948611102699</v>
      </c>
      <c r="AF209">
        <f t="shared" si="60"/>
        <v>-215.69124710091714</v>
      </c>
      <c r="AG209">
        <f t="shared" si="50"/>
        <v>17543.541819649457</v>
      </c>
      <c r="AH209" t="b">
        <f t="shared" si="61"/>
        <v>1</v>
      </c>
    </row>
    <row r="210" spans="4:34" x14ac:dyDescent="0.4">
      <c r="D210" t="s">
        <v>43</v>
      </c>
      <c r="E210" t="s">
        <v>37</v>
      </c>
      <c r="F210" s="9">
        <v>45995.958333333336</v>
      </c>
      <c r="G210">
        <v>1.6665000000000001</v>
      </c>
      <c r="H210" s="9">
        <v>45997.958333333336</v>
      </c>
      <c r="I210">
        <v>1.5599000000000001</v>
      </c>
      <c r="J210" s="12">
        <v>1161.5</v>
      </c>
      <c r="K210" s="12">
        <v>1935.73</v>
      </c>
      <c r="L210">
        <v>2.81</v>
      </c>
      <c r="M210">
        <v>-126.63</v>
      </c>
      <c r="N210" s="13">
        <v>-6.54E-2</v>
      </c>
      <c r="O210" t="s">
        <v>38</v>
      </c>
      <c r="Q210">
        <f t="shared" si="62"/>
        <v>-123.81590000000003</v>
      </c>
      <c r="R210">
        <f t="shared" si="63"/>
        <v>-126.62590000000003</v>
      </c>
      <c r="S210">
        <f t="shared" si="64"/>
        <v>1811.82385</v>
      </c>
      <c r="U210">
        <f t="shared" si="51"/>
        <v>990.09901000000002</v>
      </c>
      <c r="V210">
        <f t="shared" si="65"/>
        <v>1650.0000001650001</v>
      </c>
      <c r="W210">
        <f t="shared" si="52"/>
        <v>-105.54455446600004</v>
      </c>
      <c r="X210">
        <f t="shared" si="53"/>
        <v>3.194455445864</v>
      </c>
      <c r="Y210">
        <f t="shared" si="54"/>
        <v>-108.73900991186403</v>
      </c>
      <c r="Z210">
        <f t="shared" si="55"/>
        <v>50006.196946706201</v>
      </c>
      <c r="AB210">
        <f t="shared" si="56"/>
        <v>1072.730102</v>
      </c>
      <c r="AC210">
        <f t="shared" si="57"/>
        <v>1787.704714983</v>
      </c>
      <c r="AD210">
        <f t="shared" si="58"/>
        <v>-114.35302887320003</v>
      </c>
      <c r="AE210">
        <f t="shared" si="59"/>
        <v>3.4610564010928</v>
      </c>
      <c r="AF210">
        <f t="shared" si="60"/>
        <v>-117.81408527429284</v>
      </c>
      <c r="AG210">
        <f t="shared" si="50"/>
        <v>17759.233066750374</v>
      </c>
      <c r="AH210" t="b">
        <f t="shared" si="61"/>
        <v>1</v>
      </c>
    </row>
    <row r="211" spans="4:34" x14ac:dyDescent="0.4">
      <c r="D211" t="s">
        <v>40</v>
      </c>
      <c r="E211" t="s">
        <v>41</v>
      </c>
      <c r="F211" s="9">
        <v>45996.541666666664</v>
      </c>
      <c r="G211" s="12">
        <v>388.15</v>
      </c>
      <c r="H211" s="9">
        <v>45997.875</v>
      </c>
      <c r="I211" s="12">
        <v>334.21</v>
      </c>
      <c r="J211">
        <v>22.126000000000001</v>
      </c>
      <c r="K211" s="12">
        <v>8588.4</v>
      </c>
      <c r="L211">
        <v>11.99</v>
      </c>
      <c r="M211" s="12">
        <v>-1205.46</v>
      </c>
      <c r="N211" s="13">
        <v>-0.1404</v>
      </c>
      <c r="O211" t="s">
        <v>38</v>
      </c>
      <c r="Q211">
        <f t="shared" si="62"/>
        <v>-1193.4764399999999</v>
      </c>
      <c r="R211">
        <f t="shared" si="63"/>
        <v>-1205.4664399999999</v>
      </c>
      <c r="S211">
        <f t="shared" si="64"/>
        <v>7394.7304599999998</v>
      </c>
      <c r="U211">
        <f t="shared" si="51"/>
        <v>4.250934</v>
      </c>
      <c r="V211">
        <f t="shared" si="65"/>
        <v>1650.0000321</v>
      </c>
      <c r="W211">
        <f t="shared" si="52"/>
        <v>-229.29537995999999</v>
      </c>
      <c r="X211">
        <f t="shared" si="53"/>
        <v>3.0707046842399994</v>
      </c>
      <c r="Y211">
        <f t="shared" si="54"/>
        <v>-232.36608464424</v>
      </c>
      <c r="Z211">
        <f t="shared" si="55"/>
        <v>50114.935956618065</v>
      </c>
      <c r="AB211">
        <f t="shared" si="56"/>
        <v>4.6714929999999999</v>
      </c>
      <c r="AC211">
        <f t="shared" si="57"/>
        <v>1813.2400079499998</v>
      </c>
      <c r="AD211">
        <f t="shared" si="58"/>
        <v>-251.98033242</v>
      </c>
      <c r="AE211">
        <f t="shared" si="59"/>
        <v>3.3744996834799994</v>
      </c>
      <c r="AF211">
        <f t="shared" si="60"/>
        <v>-255.35483210347999</v>
      </c>
      <c r="AG211">
        <f t="shared" si="50"/>
        <v>17877.047152024668</v>
      </c>
      <c r="AH211" t="b">
        <f t="shared" si="61"/>
        <v>1</v>
      </c>
    </row>
    <row r="212" spans="4:34" x14ac:dyDescent="0.4">
      <c r="D212" t="s">
        <v>55</v>
      </c>
      <c r="E212" t="s">
        <v>37</v>
      </c>
      <c r="F212" s="9">
        <v>45994.666666666664</v>
      </c>
      <c r="G212">
        <v>2.8039999999999999E-5</v>
      </c>
      <c r="H212" s="9">
        <v>45996.666666666664</v>
      </c>
      <c r="I212">
        <v>5.0420000000000002E-5</v>
      </c>
      <c r="J212" s="12">
        <v>212211173.63</v>
      </c>
      <c r="K212" s="12">
        <v>5950.4</v>
      </c>
      <c r="L212">
        <v>12.49</v>
      </c>
      <c r="M212" s="12">
        <v>4736.8</v>
      </c>
      <c r="N212" s="13">
        <v>0.79600000000000004</v>
      </c>
      <c r="O212" t="s">
        <v>38</v>
      </c>
      <c r="Q212">
        <f t="shared" si="62"/>
        <v>4749.2860658394002</v>
      </c>
      <c r="R212">
        <f t="shared" si="63"/>
        <v>4736.7960658394004</v>
      </c>
      <c r="S212">
        <f t="shared" si="64"/>
        <v>10699.6873744246</v>
      </c>
      <c r="U212">
        <f t="shared" si="51"/>
        <v>58844507.845934004</v>
      </c>
      <c r="V212">
        <f t="shared" si="65"/>
        <v>1649.9999999999893</v>
      </c>
      <c r="W212">
        <f t="shared" si="52"/>
        <v>1316.9400855920032</v>
      </c>
      <c r="X212">
        <f t="shared" si="53"/>
        <v>4.616940085591982</v>
      </c>
      <c r="Y212">
        <f t="shared" si="54"/>
        <v>1312.3231455064113</v>
      </c>
      <c r="Z212">
        <f t="shared" si="55"/>
        <v>50347.302041262308</v>
      </c>
      <c r="AB212">
        <f t="shared" si="56"/>
        <v>59901915.213673003</v>
      </c>
      <c r="AC212">
        <f t="shared" si="57"/>
        <v>1679.6497025913909</v>
      </c>
      <c r="AD212">
        <f t="shared" si="58"/>
        <v>1340.6048624820019</v>
      </c>
      <c r="AE212">
        <f t="shared" si="59"/>
        <v>4.6999042676647838</v>
      </c>
      <c r="AF212">
        <f t="shared" si="60"/>
        <v>1335.9049582143371</v>
      </c>
      <c r="AG212">
        <f t="shared" si="50"/>
        <v>18132.401984128148</v>
      </c>
      <c r="AH212" t="b">
        <f t="shared" si="61"/>
        <v>1</v>
      </c>
    </row>
    <row r="213" spans="4:34" x14ac:dyDescent="0.4">
      <c r="D213" t="s">
        <v>58</v>
      </c>
      <c r="E213" t="s">
        <v>37</v>
      </c>
      <c r="F213" s="9">
        <v>45994.666666666664</v>
      </c>
      <c r="G213">
        <v>14.4</v>
      </c>
      <c r="H213" s="9">
        <v>45996.666666666664</v>
      </c>
      <c r="I213">
        <v>13.95</v>
      </c>
      <c r="J213">
        <v>516.94000000000005</v>
      </c>
      <c r="K213" s="12">
        <v>7444.06</v>
      </c>
      <c r="L213">
        <v>10.99</v>
      </c>
      <c r="M213">
        <v>-243.61</v>
      </c>
      <c r="N213" s="13">
        <v>-3.27E-2</v>
      </c>
      <c r="O213" t="s">
        <v>38</v>
      </c>
      <c r="Q213">
        <f t="shared" si="62"/>
        <v>-232.62300000000059</v>
      </c>
      <c r="R213">
        <f t="shared" si="63"/>
        <v>-243.6130000000006</v>
      </c>
      <c r="S213">
        <f t="shared" si="64"/>
        <v>7211.3130000000001</v>
      </c>
      <c r="U213">
        <f t="shared" si="51"/>
        <v>114.583333</v>
      </c>
      <c r="V213">
        <f t="shared" si="65"/>
        <v>1649.9999952000001</v>
      </c>
      <c r="W213">
        <f t="shared" si="52"/>
        <v>-51.562499850000123</v>
      </c>
      <c r="X213">
        <f t="shared" si="53"/>
        <v>3.2484374905500002</v>
      </c>
      <c r="Y213">
        <f t="shared" si="54"/>
        <v>-54.810937340550126</v>
      </c>
      <c r="Z213">
        <f t="shared" si="55"/>
        <v>49034.978895755899</v>
      </c>
      <c r="AB213">
        <f t="shared" si="56"/>
        <v>117.031103</v>
      </c>
      <c r="AC213">
        <f t="shared" si="57"/>
        <v>1685.2478832000002</v>
      </c>
      <c r="AD213">
        <f t="shared" si="58"/>
        <v>-52.663996350000126</v>
      </c>
      <c r="AE213">
        <f t="shared" si="59"/>
        <v>3.3178317700500006</v>
      </c>
      <c r="AF213">
        <f t="shared" si="60"/>
        <v>-55.981828120050125</v>
      </c>
      <c r="AG213">
        <f t="shared" si="50"/>
        <v>16796.49702591381</v>
      </c>
      <c r="AH213" t="b">
        <f t="shared" si="61"/>
        <v>1</v>
      </c>
    </row>
    <row r="214" spans="4:34" x14ac:dyDescent="0.4">
      <c r="D214" t="s">
        <v>60</v>
      </c>
      <c r="E214" t="s">
        <v>37</v>
      </c>
      <c r="F214" s="9">
        <v>45994.083333333336</v>
      </c>
      <c r="G214">
        <v>2.1617000000000002</v>
      </c>
      <c r="H214" s="9">
        <v>45996.583333333336</v>
      </c>
      <c r="I214">
        <v>2.0663999999999998</v>
      </c>
      <c r="J214" s="12">
        <v>1053.8</v>
      </c>
      <c r="K214" s="12">
        <v>2278.19</v>
      </c>
      <c r="L214">
        <v>3.34</v>
      </c>
      <c r="M214">
        <v>-103.77</v>
      </c>
      <c r="N214" s="13">
        <v>-4.5499999999999999E-2</v>
      </c>
      <c r="O214" t="s">
        <v>57</v>
      </c>
      <c r="Q214">
        <f t="shared" si="62"/>
        <v>-100.42714000000041</v>
      </c>
      <c r="R214">
        <f t="shared" si="63"/>
        <v>-103.76714000000041</v>
      </c>
      <c r="S214">
        <f t="shared" si="64"/>
        <v>2177.5723199999998</v>
      </c>
      <c r="U214">
        <f t="shared" si="51"/>
        <v>763.28815299999997</v>
      </c>
      <c r="V214">
        <f t="shared" si="65"/>
        <v>1650.0000003401001</v>
      </c>
      <c r="W214">
        <f t="shared" si="52"/>
        <v>-72.741360980900296</v>
      </c>
      <c r="X214">
        <f t="shared" si="53"/>
        <v>3.2272586396992993</v>
      </c>
      <c r="Y214">
        <f t="shared" si="54"/>
        <v>-75.968619620599597</v>
      </c>
      <c r="Z214">
        <f t="shared" si="55"/>
        <v>49089.789833096453</v>
      </c>
      <c r="AB214">
        <f t="shared" si="56"/>
        <v>783.19976099999997</v>
      </c>
      <c r="AC214">
        <f t="shared" si="57"/>
        <v>1693.0429233537</v>
      </c>
      <c r="AD214">
        <f t="shared" si="58"/>
        <v>-74.638937223300303</v>
      </c>
      <c r="AE214">
        <f t="shared" si="59"/>
        <v>3.3114469094840993</v>
      </c>
      <c r="AF214">
        <f t="shared" si="60"/>
        <v>-77.950384132784407</v>
      </c>
      <c r="AG214">
        <f t="shared" si="50"/>
        <v>16852.47885403386</v>
      </c>
      <c r="AH214" t="b">
        <f t="shared" si="61"/>
        <v>1</v>
      </c>
    </row>
    <row r="215" spans="4:34" x14ac:dyDescent="0.4">
      <c r="D215" t="s">
        <v>56</v>
      </c>
      <c r="E215" t="s">
        <v>37</v>
      </c>
      <c r="F215" s="9">
        <v>45993.958333333336</v>
      </c>
      <c r="G215" s="12">
        <v>3018.79</v>
      </c>
      <c r="H215" s="9">
        <v>45996.458333333336</v>
      </c>
      <c r="I215" s="12">
        <v>3136.14</v>
      </c>
      <c r="J215" s="12">
        <v>1.9466000000000001</v>
      </c>
      <c r="K215" s="12">
        <v>5876.55</v>
      </c>
      <c r="L215">
        <v>8.99</v>
      </c>
      <c r="M215">
        <v>219.45</v>
      </c>
      <c r="N215" s="13">
        <v>3.73E-2</v>
      </c>
      <c r="O215" t="s">
        <v>57</v>
      </c>
      <c r="Q215">
        <f t="shared" si="62"/>
        <v>228.43350999999984</v>
      </c>
      <c r="R215">
        <f t="shared" si="63"/>
        <v>219.44350999999983</v>
      </c>
      <c r="S215">
        <f t="shared" si="64"/>
        <v>6104.8101240000005</v>
      </c>
      <c r="U215">
        <f t="shared" si="51"/>
        <v>0.54657699999999998</v>
      </c>
      <c r="V215">
        <f t="shared" si="65"/>
        <v>1650.00118183</v>
      </c>
      <c r="W215">
        <f t="shared" si="52"/>
        <v>64.140810949999945</v>
      </c>
      <c r="X215">
        <f t="shared" si="53"/>
        <v>3.3641431746100001</v>
      </c>
      <c r="Y215">
        <f t="shared" si="54"/>
        <v>60.776667775389946</v>
      </c>
      <c r="Z215">
        <f t="shared" si="55"/>
        <v>49165.758452717055</v>
      </c>
      <c r="AB215">
        <f t="shared" si="56"/>
        <v>0.55877699999999997</v>
      </c>
      <c r="AC215">
        <f t="shared" si="57"/>
        <v>1686.83041983</v>
      </c>
      <c r="AD215">
        <f t="shared" si="58"/>
        <v>65.572480949999942</v>
      </c>
      <c r="AE215">
        <f t="shared" si="59"/>
        <v>3.4392333206100001</v>
      </c>
      <c r="AF215">
        <f t="shared" si="60"/>
        <v>62.133247629389942</v>
      </c>
      <c r="AG215">
        <f t="shared" si="50"/>
        <v>16930.429238166646</v>
      </c>
      <c r="AH215" t="b">
        <f t="shared" si="61"/>
        <v>1</v>
      </c>
    </row>
    <row r="216" spans="4:34" x14ac:dyDescent="0.4">
      <c r="D216" t="s">
        <v>40</v>
      </c>
      <c r="E216" t="s">
        <v>41</v>
      </c>
      <c r="F216" s="9">
        <v>45995.083333333336</v>
      </c>
      <c r="G216" s="12">
        <v>345.52</v>
      </c>
      <c r="H216" s="9">
        <v>45996.416666666664</v>
      </c>
      <c r="I216" s="12">
        <v>386.81</v>
      </c>
      <c r="J216">
        <v>24.565999999999999</v>
      </c>
      <c r="K216" s="12">
        <v>8488.32</v>
      </c>
      <c r="L216">
        <v>13.49</v>
      </c>
      <c r="M216" s="12">
        <v>1000.84</v>
      </c>
      <c r="N216" s="13">
        <v>0.1179</v>
      </c>
      <c r="O216" t="s">
        <v>38</v>
      </c>
      <c r="Q216">
        <f t="shared" si="62"/>
        <v>1014.3301400000005</v>
      </c>
      <c r="R216">
        <f t="shared" si="63"/>
        <v>1000.8401400000005</v>
      </c>
      <c r="S216">
        <f t="shared" si="64"/>
        <v>9502.3744599999991</v>
      </c>
      <c r="U216">
        <f t="shared" si="51"/>
        <v>4.7754110000000001</v>
      </c>
      <c r="V216">
        <f t="shared" si="65"/>
        <v>1650.0000087199999</v>
      </c>
      <c r="W216">
        <f t="shared" si="52"/>
        <v>197.17672019000011</v>
      </c>
      <c r="X216">
        <f t="shared" si="53"/>
        <v>3.4971767376299998</v>
      </c>
      <c r="Y216">
        <f t="shared" si="54"/>
        <v>193.6795434523701</v>
      </c>
      <c r="Z216">
        <f t="shared" si="55"/>
        <v>49104.981784941665</v>
      </c>
      <c r="AB216">
        <f t="shared" si="56"/>
        <v>4.8253620000000002</v>
      </c>
      <c r="AC216">
        <f t="shared" si="57"/>
        <v>1667.25907824</v>
      </c>
      <c r="AD216">
        <f t="shared" si="58"/>
        <v>199.23919698000012</v>
      </c>
      <c r="AE216">
        <f t="shared" si="59"/>
        <v>3.53375735346</v>
      </c>
      <c r="AF216">
        <f t="shared" si="60"/>
        <v>195.70543962654011</v>
      </c>
      <c r="AG216">
        <f t="shared" si="50"/>
        <v>16868.295990537255</v>
      </c>
      <c r="AH216" t="b">
        <f t="shared" si="61"/>
        <v>1</v>
      </c>
    </row>
    <row r="217" spans="4:34" x14ac:dyDescent="0.4">
      <c r="D217" t="s">
        <v>59</v>
      </c>
      <c r="E217" t="s">
        <v>37</v>
      </c>
      <c r="F217" s="9">
        <v>45993.916666666664</v>
      </c>
      <c r="G217" s="12">
        <v>91603.41</v>
      </c>
      <c r="H217" s="9">
        <v>45996.416666666664</v>
      </c>
      <c r="I217" s="12">
        <v>91164</v>
      </c>
      <c r="J217">
        <v>0.11705</v>
      </c>
      <c r="K217" s="12">
        <v>10722.36</v>
      </c>
      <c r="L217">
        <v>16.04</v>
      </c>
      <c r="M217">
        <v>-67.48</v>
      </c>
      <c r="N217" s="13">
        <v>-6.3E-3</v>
      </c>
      <c r="O217" t="s">
        <v>57</v>
      </c>
      <c r="Q217">
        <f t="shared" si="62"/>
        <v>-51.432940500000406</v>
      </c>
      <c r="R217">
        <f t="shared" si="63"/>
        <v>-67.472940500000405</v>
      </c>
      <c r="S217">
        <f t="shared" si="64"/>
        <v>10670.7462</v>
      </c>
      <c r="U217">
        <f t="shared" si="51"/>
        <v>1.8012E-2</v>
      </c>
      <c r="V217">
        <f t="shared" si="65"/>
        <v>1649.9606209200001</v>
      </c>
      <c r="W217">
        <f t="shared" si="52"/>
        <v>-7.914652920000063</v>
      </c>
      <c r="X217">
        <f t="shared" si="53"/>
        <v>3.2920065889200001</v>
      </c>
      <c r="Y217">
        <f t="shared" si="54"/>
        <v>-11.206659508920064</v>
      </c>
      <c r="Z217">
        <f t="shared" si="55"/>
        <v>48911.302241489298</v>
      </c>
      <c r="AB217">
        <f t="shared" si="56"/>
        <v>1.8213E-2</v>
      </c>
      <c r="AC217">
        <f t="shared" si="57"/>
        <v>1668.37290633</v>
      </c>
      <c r="AD217">
        <f t="shared" si="58"/>
        <v>-8.0029743300000629</v>
      </c>
      <c r="AE217">
        <f t="shared" si="59"/>
        <v>3.3287428383300002</v>
      </c>
      <c r="AF217">
        <f t="shared" si="60"/>
        <v>-11.331717168330062</v>
      </c>
      <c r="AG217">
        <f t="shared" si="50"/>
        <v>16672.590550910714</v>
      </c>
      <c r="AH217" t="b">
        <f t="shared" si="61"/>
        <v>1</v>
      </c>
    </row>
    <row r="218" spans="4:34" x14ac:dyDescent="0.4">
      <c r="D218" t="s">
        <v>48</v>
      </c>
      <c r="E218" t="s">
        <v>37</v>
      </c>
      <c r="F218" s="9">
        <v>45994.166666666664</v>
      </c>
      <c r="G218" s="12">
        <v>0.1255</v>
      </c>
      <c r="H218" s="9">
        <v>45996.166666666664</v>
      </c>
      <c r="I218" s="12">
        <v>0.1178</v>
      </c>
      <c r="J218" s="12">
        <v>35627.5</v>
      </c>
      <c r="K218" s="12">
        <v>4471.26</v>
      </c>
      <c r="L218">
        <v>6.5</v>
      </c>
      <c r="M218">
        <v>-280.83</v>
      </c>
      <c r="N218" s="13">
        <v>-6.2799999999999995E-2</v>
      </c>
      <c r="O218" t="s">
        <v>38</v>
      </c>
      <c r="Q218">
        <f t="shared" si="62"/>
        <v>-274.33174999999994</v>
      </c>
      <c r="R218">
        <f t="shared" si="63"/>
        <v>-280.83174999999994</v>
      </c>
      <c r="S218">
        <f t="shared" si="64"/>
        <v>4196.9195</v>
      </c>
      <c r="U218">
        <f t="shared" si="51"/>
        <v>13147.410359</v>
      </c>
      <c r="V218">
        <f t="shared" si="65"/>
        <v>1650.0000000544999</v>
      </c>
      <c r="W218">
        <f t="shared" si="52"/>
        <v>-101.23505976429998</v>
      </c>
      <c r="X218">
        <f t="shared" si="53"/>
        <v>3.1987649403447005</v>
      </c>
      <c r="Y218">
        <f t="shared" si="54"/>
        <v>-104.43382470464468</v>
      </c>
      <c r="Z218">
        <f t="shared" si="55"/>
        <v>48922.508900998218</v>
      </c>
      <c r="AB218">
        <f t="shared" si="56"/>
        <v>13378.639695</v>
      </c>
      <c r="AC218">
        <f t="shared" si="57"/>
        <v>1679.0192817225</v>
      </c>
      <c r="AD218">
        <f t="shared" si="58"/>
        <v>-103.01552565149998</v>
      </c>
      <c r="AE218">
        <f t="shared" si="59"/>
        <v>3.2550230377935003</v>
      </c>
      <c r="AF218">
        <f t="shared" si="60"/>
        <v>-106.27054868929349</v>
      </c>
      <c r="AG218">
        <f t="shared" si="50"/>
        <v>16683.922268079044</v>
      </c>
      <c r="AH218" t="b">
        <f t="shared" si="61"/>
        <v>1</v>
      </c>
    </row>
    <row r="219" spans="4:34" x14ac:dyDescent="0.4">
      <c r="D219" t="s">
        <v>50</v>
      </c>
      <c r="E219" t="s">
        <v>37</v>
      </c>
      <c r="F219" s="9">
        <v>45994.125</v>
      </c>
      <c r="G219">
        <v>279.3</v>
      </c>
      <c r="H219" s="9">
        <v>45996.125</v>
      </c>
      <c r="I219">
        <v>289.2</v>
      </c>
      <c r="J219" s="12">
        <v>49.8733</v>
      </c>
      <c r="K219" s="12">
        <v>13929.62</v>
      </c>
      <c r="L219">
        <v>21.26</v>
      </c>
      <c r="M219">
        <v>472.48</v>
      </c>
      <c r="N219" s="13">
        <v>3.39E-2</v>
      </c>
      <c r="O219" t="s">
        <v>38</v>
      </c>
      <c r="Q219">
        <f t="shared" si="62"/>
        <v>493.74566999999888</v>
      </c>
      <c r="R219">
        <f t="shared" si="63"/>
        <v>472.48566999999889</v>
      </c>
      <c r="S219">
        <f t="shared" si="64"/>
        <v>14423.35836</v>
      </c>
      <c r="U219">
        <f t="shared" si="51"/>
        <v>5.9076259999999996</v>
      </c>
      <c r="V219">
        <f t="shared" si="65"/>
        <v>1649.9999418</v>
      </c>
      <c r="W219">
        <f t="shared" si="52"/>
        <v>58.485497399999865</v>
      </c>
      <c r="X219">
        <f t="shared" si="53"/>
        <v>3.3584853809999999</v>
      </c>
      <c r="Y219">
        <f t="shared" si="54"/>
        <v>55.127012018999864</v>
      </c>
      <c r="Z219">
        <f t="shared" si="55"/>
        <v>49026.942725702866</v>
      </c>
      <c r="AB219">
        <f t="shared" si="56"/>
        <v>5.9915079999999996</v>
      </c>
      <c r="AC219">
        <f t="shared" si="57"/>
        <v>1673.4281844</v>
      </c>
      <c r="AD219">
        <f t="shared" si="58"/>
        <v>59.315929199999857</v>
      </c>
      <c r="AE219">
        <f t="shared" si="59"/>
        <v>3.406172298</v>
      </c>
      <c r="AF219">
        <f t="shared" si="60"/>
        <v>55.909756901999856</v>
      </c>
      <c r="AG219">
        <f t="shared" si="50"/>
        <v>16790.192816768336</v>
      </c>
      <c r="AH219" t="b">
        <f t="shared" si="61"/>
        <v>1</v>
      </c>
    </row>
    <row r="220" spans="4:34" x14ac:dyDescent="0.4">
      <c r="D220" t="s">
        <v>61</v>
      </c>
      <c r="E220" t="s">
        <v>37</v>
      </c>
      <c r="F220" s="9">
        <v>45994.083333333336</v>
      </c>
      <c r="G220" s="12">
        <v>0.43590000000000001</v>
      </c>
      <c r="H220" s="9">
        <v>45996.083333333336</v>
      </c>
      <c r="I220" s="12">
        <v>0.43980000000000002</v>
      </c>
      <c r="J220" s="12">
        <v>19512.400000000001</v>
      </c>
      <c r="K220" s="12">
        <v>8505.4599999999991</v>
      </c>
      <c r="L220">
        <v>12.82</v>
      </c>
      <c r="M220">
        <v>63.28</v>
      </c>
      <c r="N220" s="13">
        <v>7.4000000000000003E-3</v>
      </c>
      <c r="O220" t="s">
        <v>38</v>
      </c>
      <c r="Q220">
        <f t="shared" si="62"/>
        <v>76.098360000000284</v>
      </c>
      <c r="R220">
        <f t="shared" si="63"/>
        <v>63.278360000000283</v>
      </c>
      <c r="S220">
        <f t="shared" si="64"/>
        <v>8581.5535200000013</v>
      </c>
      <c r="U220">
        <f t="shared" si="51"/>
        <v>3785.271851</v>
      </c>
      <c r="V220">
        <f t="shared" si="65"/>
        <v>1649.9999998508999</v>
      </c>
      <c r="W220">
        <f t="shared" si="52"/>
        <v>14.762560218900054</v>
      </c>
      <c r="X220">
        <f t="shared" si="53"/>
        <v>3.3147625599207005</v>
      </c>
      <c r="Y220">
        <f t="shared" si="54"/>
        <v>11.447797658979354</v>
      </c>
      <c r="Z220">
        <f t="shared" si="55"/>
        <v>48971.815713683864</v>
      </c>
      <c r="AB220">
        <f t="shared" si="56"/>
        <v>3836.3571379999998</v>
      </c>
      <c r="AC220">
        <f t="shared" si="57"/>
        <v>1672.2680764541999</v>
      </c>
      <c r="AD220">
        <f t="shared" si="58"/>
        <v>14.961792838200056</v>
      </c>
      <c r="AE220">
        <f t="shared" si="59"/>
        <v>3.3594979457466003</v>
      </c>
      <c r="AF220">
        <f t="shared" si="60"/>
        <v>11.602294892453456</v>
      </c>
      <c r="AG220">
        <f t="shared" si="50"/>
        <v>16734.283059866335</v>
      </c>
      <c r="AH220" t="b">
        <f t="shared" si="61"/>
        <v>1</v>
      </c>
    </row>
    <row r="221" spans="4:34" x14ac:dyDescent="0.4">
      <c r="D221" t="s">
        <v>53</v>
      </c>
      <c r="E221" t="s">
        <v>37</v>
      </c>
      <c r="F221" s="9">
        <v>45994.083333333336</v>
      </c>
      <c r="G221" s="12">
        <v>883.72</v>
      </c>
      <c r="H221" s="9">
        <v>45996.083333333336</v>
      </c>
      <c r="I221" s="12">
        <v>903.89</v>
      </c>
      <c r="J221">
        <v>11.18</v>
      </c>
      <c r="K221" s="12">
        <v>9880.14</v>
      </c>
      <c r="L221">
        <v>14.99</v>
      </c>
      <c r="M221">
        <v>210.51</v>
      </c>
      <c r="N221" s="13">
        <v>2.1299999999999999E-2</v>
      </c>
      <c r="O221" t="s">
        <v>38</v>
      </c>
      <c r="Q221">
        <f t="shared" si="62"/>
        <v>225.50059999999954</v>
      </c>
      <c r="R221">
        <f t="shared" si="63"/>
        <v>210.51059999999953</v>
      </c>
      <c r="S221">
        <f t="shared" si="64"/>
        <v>10105.4902</v>
      </c>
      <c r="U221">
        <f t="shared" si="51"/>
        <v>1.8671070000000001</v>
      </c>
      <c r="V221">
        <f t="shared" si="65"/>
        <v>1649.9997980400001</v>
      </c>
      <c r="W221">
        <f t="shared" si="52"/>
        <v>37.659548189999924</v>
      </c>
      <c r="X221">
        <f t="shared" si="53"/>
        <v>3.3376591442700003</v>
      </c>
      <c r="Y221">
        <f t="shared" si="54"/>
        <v>34.321889045729925</v>
      </c>
      <c r="Z221">
        <f t="shared" si="55"/>
        <v>48960.367916024887</v>
      </c>
      <c r="AB221">
        <f t="shared" si="56"/>
        <v>1.888377</v>
      </c>
      <c r="AC221">
        <f t="shared" si="57"/>
        <v>1668.79652244</v>
      </c>
      <c r="AD221">
        <f t="shared" si="58"/>
        <v>38.08856408999992</v>
      </c>
      <c r="AE221">
        <f t="shared" si="59"/>
        <v>3.3756816089700004</v>
      </c>
      <c r="AF221">
        <f t="shared" si="60"/>
        <v>34.712882481029922</v>
      </c>
      <c r="AG221">
        <f t="shared" si="50"/>
        <v>16722.68076497388</v>
      </c>
      <c r="AH221" t="b">
        <f t="shared" si="61"/>
        <v>1</v>
      </c>
    </row>
    <row r="222" spans="4:34" x14ac:dyDescent="0.4">
      <c r="D222" t="s">
        <v>43</v>
      </c>
      <c r="E222" t="s">
        <v>37</v>
      </c>
      <c r="F222" s="9">
        <v>45993.958333333336</v>
      </c>
      <c r="G222">
        <v>1.6443000000000001</v>
      </c>
      <c r="H222" s="9">
        <v>45995.958333333336</v>
      </c>
      <c r="I222">
        <v>1.6665000000000001</v>
      </c>
      <c r="J222" s="12">
        <v>1175.8</v>
      </c>
      <c r="K222" s="12">
        <v>1933.41</v>
      </c>
      <c r="L222">
        <v>2.92</v>
      </c>
      <c r="M222">
        <v>23.18</v>
      </c>
      <c r="N222" s="13">
        <v>1.2E-2</v>
      </c>
      <c r="O222" t="s">
        <v>38</v>
      </c>
      <c r="Q222">
        <f t="shared" si="62"/>
        <v>26.102759999999996</v>
      </c>
      <c r="R222">
        <f t="shared" si="63"/>
        <v>23.182759999999995</v>
      </c>
      <c r="S222">
        <f t="shared" si="64"/>
        <v>1959.4707000000001</v>
      </c>
      <c r="U222">
        <f t="shared" si="51"/>
        <v>1003.4665209999999</v>
      </c>
      <c r="V222">
        <f t="shared" si="65"/>
        <v>1650.0000004803001</v>
      </c>
      <c r="W222">
        <f t="shared" si="52"/>
        <v>22.276956766199998</v>
      </c>
      <c r="X222">
        <f t="shared" si="53"/>
        <v>3.3222769577268001</v>
      </c>
      <c r="Y222">
        <f t="shared" si="54"/>
        <v>18.954679808473198</v>
      </c>
      <c r="Z222">
        <f t="shared" si="55"/>
        <v>48926.046026979158</v>
      </c>
      <c r="AB222">
        <f t="shared" si="56"/>
        <v>1013.733459</v>
      </c>
      <c r="AC222">
        <f t="shared" si="57"/>
        <v>1666.8819266337002</v>
      </c>
      <c r="AD222">
        <f t="shared" si="58"/>
        <v>22.5048827898</v>
      </c>
      <c r="AE222">
        <f t="shared" si="59"/>
        <v>3.3562687360572006</v>
      </c>
      <c r="AF222">
        <f t="shared" si="60"/>
        <v>19.148614053742801</v>
      </c>
      <c r="AG222">
        <f t="shared" si="50"/>
        <v>16687.967882492849</v>
      </c>
      <c r="AH222" t="b">
        <f t="shared" si="61"/>
        <v>1</v>
      </c>
    </row>
    <row r="223" spans="4:34" x14ac:dyDescent="0.4">
      <c r="D223" t="s">
        <v>54</v>
      </c>
      <c r="E223" t="s">
        <v>37</v>
      </c>
      <c r="F223" s="9">
        <v>45993.958333333336</v>
      </c>
      <c r="G223">
        <v>139.97999999999999</v>
      </c>
      <c r="H223" s="9">
        <v>45995.958333333336</v>
      </c>
      <c r="I223">
        <v>139.44999999999999</v>
      </c>
      <c r="J223">
        <v>36.402999999999999</v>
      </c>
      <c r="K223" s="12">
        <v>5095.8100000000004</v>
      </c>
      <c r="L223">
        <v>7.63</v>
      </c>
      <c r="M223">
        <v>-26.92</v>
      </c>
      <c r="N223" s="13">
        <v>-5.3E-3</v>
      </c>
      <c r="O223" t="s">
        <v>38</v>
      </c>
      <c r="Q223">
        <f t="shared" si="62"/>
        <v>-19.293590000000041</v>
      </c>
      <c r="R223">
        <f t="shared" si="63"/>
        <v>-26.92359000000004</v>
      </c>
      <c r="S223">
        <f t="shared" si="64"/>
        <v>5076.3983499999995</v>
      </c>
      <c r="U223">
        <f t="shared" si="51"/>
        <v>11.787398</v>
      </c>
      <c r="V223">
        <f t="shared" si="65"/>
        <v>1649.9999720399999</v>
      </c>
      <c r="W223">
        <f t="shared" si="52"/>
        <v>-6.2473209400000131</v>
      </c>
      <c r="X223">
        <f t="shared" si="53"/>
        <v>3.2937526231399992</v>
      </c>
      <c r="Y223">
        <f t="shared" si="54"/>
        <v>-9.5410735631400119</v>
      </c>
      <c r="Z223">
        <f t="shared" si="55"/>
        <v>48907.091347170688</v>
      </c>
      <c r="AB223">
        <f t="shared" si="56"/>
        <v>11.91489</v>
      </c>
      <c r="AC223">
        <f t="shared" si="57"/>
        <v>1667.8463021999999</v>
      </c>
      <c r="AD223">
        <f t="shared" si="58"/>
        <v>-6.3148917000000138</v>
      </c>
      <c r="AE223">
        <f t="shared" si="59"/>
        <v>3.3293777126999995</v>
      </c>
      <c r="AF223">
        <f t="shared" si="60"/>
        <v>-9.6442694127000124</v>
      </c>
      <c r="AG223">
        <f t="shared" si="50"/>
        <v>16668.819268439107</v>
      </c>
      <c r="AH223" t="b">
        <f t="shared" si="61"/>
        <v>1</v>
      </c>
    </row>
    <row r="224" spans="4:34" x14ac:dyDescent="0.4">
      <c r="D224" t="s">
        <v>52</v>
      </c>
      <c r="E224" t="s">
        <v>37</v>
      </c>
      <c r="F224" s="9">
        <v>45993.583333333336</v>
      </c>
      <c r="G224">
        <v>3.6589999999999998</v>
      </c>
      <c r="H224" s="9">
        <v>45995.583333333336</v>
      </c>
      <c r="I224">
        <v>3.7</v>
      </c>
      <c r="J224">
        <v>730.65</v>
      </c>
      <c r="K224" s="12">
        <v>2673.45</v>
      </c>
      <c r="L224">
        <v>4.03</v>
      </c>
      <c r="M224">
        <v>25.92</v>
      </c>
      <c r="N224" s="13">
        <v>9.7000000000000003E-3</v>
      </c>
      <c r="O224" t="s">
        <v>38</v>
      </c>
      <c r="Q224">
        <f t="shared" si="62"/>
        <v>29.95665000000027</v>
      </c>
      <c r="R224">
        <f t="shared" si="63"/>
        <v>25.926650000000269</v>
      </c>
      <c r="S224">
        <f t="shared" si="64"/>
        <v>2703.4050000000002</v>
      </c>
      <c r="U224">
        <f t="shared" si="51"/>
        <v>450.942881</v>
      </c>
      <c r="V224">
        <f t="shared" si="65"/>
        <v>1650.0000015789999</v>
      </c>
      <c r="W224">
        <f t="shared" si="52"/>
        <v>18.488658121000167</v>
      </c>
      <c r="X224">
        <f t="shared" si="53"/>
        <v>3.3184886612789999</v>
      </c>
      <c r="Y224">
        <f t="shared" si="54"/>
        <v>15.170169459721167</v>
      </c>
      <c r="Z224">
        <f t="shared" si="55"/>
        <v>48916.632420733826</v>
      </c>
      <c r="AB224">
        <f t="shared" si="56"/>
        <v>455.401568</v>
      </c>
      <c r="AC224">
        <f t="shared" si="57"/>
        <v>1666.3143373119999</v>
      </c>
      <c r="AD224">
        <f t="shared" si="58"/>
        <v>18.67146428800017</v>
      </c>
      <c r="AE224">
        <f t="shared" si="59"/>
        <v>3.3513001389119998</v>
      </c>
      <c r="AF224">
        <f t="shared" si="60"/>
        <v>15.320164149088169</v>
      </c>
      <c r="AG224">
        <f t="shared" si="50"/>
        <v>16678.463537851807</v>
      </c>
      <c r="AH224" t="b">
        <f t="shared" si="61"/>
        <v>1</v>
      </c>
    </row>
    <row r="225" spans="4:35" x14ac:dyDescent="0.4">
      <c r="D225" t="s">
        <v>40</v>
      </c>
      <c r="E225" t="s">
        <v>41</v>
      </c>
      <c r="F225" s="9">
        <v>45993.416666666664</v>
      </c>
      <c r="G225">
        <v>326.08</v>
      </c>
      <c r="H225" s="9">
        <v>45994.75</v>
      </c>
      <c r="I225">
        <v>358.56</v>
      </c>
      <c r="J225" s="12">
        <v>25.777999999999999</v>
      </c>
      <c r="K225" s="12">
        <v>8405.91</v>
      </c>
      <c r="L225">
        <v>13.24</v>
      </c>
      <c r="M225">
        <v>824.03</v>
      </c>
      <c r="N225" s="13">
        <v>9.8000000000000004E-2</v>
      </c>
      <c r="O225" t="s">
        <v>38</v>
      </c>
      <c r="Q225">
        <f t="shared" si="62"/>
        <v>837.26944000000037</v>
      </c>
      <c r="R225">
        <f t="shared" si="63"/>
        <v>824.02944000000036</v>
      </c>
      <c r="S225">
        <f t="shared" si="64"/>
        <v>9242.9596799999999</v>
      </c>
      <c r="U225">
        <f t="shared" si="51"/>
        <v>5.0601079999999996</v>
      </c>
      <c r="V225">
        <f t="shared" si="65"/>
        <v>1650.0000166399998</v>
      </c>
      <c r="W225">
        <f t="shared" si="52"/>
        <v>164.35230784000007</v>
      </c>
      <c r="X225">
        <f t="shared" si="53"/>
        <v>3.4643523411199997</v>
      </c>
      <c r="Y225">
        <f t="shared" si="54"/>
        <v>160.88795549888007</v>
      </c>
      <c r="Z225">
        <f t="shared" si="55"/>
        <v>48901.462251274104</v>
      </c>
      <c r="AB225">
        <f t="shared" si="56"/>
        <v>5.0607930000000003</v>
      </c>
      <c r="AC225">
        <f t="shared" si="57"/>
        <v>1650.2233814399999</v>
      </c>
      <c r="AD225">
        <f t="shared" si="58"/>
        <v>164.37455664000009</v>
      </c>
      <c r="AE225">
        <f t="shared" si="59"/>
        <v>3.4648213195200004</v>
      </c>
      <c r="AF225">
        <f t="shared" si="60"/>
        <v>160.90973532048008</v>
      </c>
      <c r="AG225">
        <f t="shared" si="50"/>
        <v>16663.143373702718</v>
      </c>
      <c r="AH225" t="b">
        <f t="shared" si="61"/>
        <v>1</v>
      </c>
    </row>
    <row r="226" spans="4:35" x14ac:dyDescent="0.4">
      <c r="D226" t="s">
        <v>55</v>
      </c>
      <c r="E226" t="s">
        <v>37</v>
      </c>
      <c r="F226" s="9">
        <v>45992.541666666664</v>
      </c>
      <c r="G226">
        <v>2.5219999999999999E-5</v>
      </c>
      <c r="H226" s="9">
        <v>45994.541666666664</v>
      </c>
      <c r="I226">
        <v>2.798E-5</v>
      </c>
      <c r="J226" s="12">
        <v>233422209.88999999</v>
      </c>
      <c r="K226" s="12">
        <v>5886.91</v>
      </c>
      <c r="L226">
        <v>9.31</v>
      </c>
      <c r="M226">
        <v>634.92999999999995</v>
      </c>
      <c r="N226" s="13">
        <v>0.1079</v>
      </c>
      <c r="O226" t="s">
        <v>38</v>
      </c>
      <c r="Q226">
        <f t="shared" si="62"/>
        <v>644.24529929640016</v>
      </c>
      <c r="R226">
        <f t="shared" si="63"/>
        <v>634.93529929640022</v>
      </c>
      <c r="S226">
        <f t="shared" si="64"/>
        <v>6531.1534327221998</v>
      </c>
      <c r="U226">
        <f t="shared" si="51"/>
        <v>65424266.455193996</v>
      </c>
      <c r="V226">
        <f t="shared" si="65"/>
        <v>1649.9999999999925</v>
      </c>
      <c r="W226">
        <f t="shared" si="52"/>
        <v>180.57097541633547</v>
      </c>
      <c r="X226">
        <f t="shared" si="53"/>
        <v>3.4805709754163208</v>
      </c>
      <c r="Y226">
        <f t="shared" si="54"/>
        <v>177.09040444091914</v>
      </c>
      <c r="Z226">
        <f t="shared" si="55"/>
        <v>48740.574295775223</v>
      </c>
      <c r="AB226">
        <f t="shared" si="56"/>
        <v>64738302.934179001</v>
      </c>
      <c r="AC226">
        <f t="shared" si="57"/>
        <v>1632.6999999999944</v>
      </c>
      <c r="AD226">
        <f t="shared" si="58"/>
        <v>178.67771609833409</v>
      </c>
      <c r="AE226">
        <f t="shared" si="59"/>
        <v>3.4440777160983229</v>
      </c>
      <c r="AF226">
        <f t="shared" si="60"/>
        <v>175.23363838223577</v>
      </c>
      <c r="AG226">
        <f t="shared" si="50"/>
        <v>16502.233638382237</v>
      </c>
      <c r="AH226" t="b">
        <f t="shared" si="61"/>
        <v>0</v>
      </c>
      <c r="AI226">
        <v>16327</v>
      </c>
    </row>
    <row r="227" spans="4:35" hidden="1" x14ac:dyDescent="0.4">
      <c r="D227" t="s">
        <v>48</v>
      </c>
      <c r="E227" t="s">
        <v>37</v>
      </c>
      <c r="F227" s="9">
        <v>45991.583333333336</v>
      </c>
      <c r="G227">
        <v>0.111</v>
      </c>
      <c r="H227" s="9">
        <v>45993.583333333336</v>
      </c>
      <c r="I227">
        <v>0.1198</v>
      </c>
      <c r="J227" s="12">
        <v>39970.9</v>
      </c>
      <c r="K227" s="12">
        <v>4436.78</v>
      </c>
      <c r="L227">
        <v>6.92</v>
      </c>
      <c r="M227" s="12">
        <v>344.82</v>
      </c>
      <c r="N227" s="13">
        <v>7.7700000000000005E-2</v>
      </c>
      <c r="O227" t="s">
        <v>38</v>
      </c>
      <c r="Q227">
        <f t="shared" si="62"/>
        <v>351.74392000000012</v>
      </c>
      <c r="R227">
        <f t="shared" si="63"/>
        <v>344.8239200000001</v>
      </c>
      <c r="S227">
        <f t="shared" si="64"/>
        <v>4788.5138200000001</v>
      </c>
      <c r="U227">
        <f t="shared" si="51"/>
        <v>14864.864865</v>
      </c>
      <c r="V227">
        <f t="shared" si="65"/>
        <v>1650.0000000150001</v>
      </c>
      <c r="W227">
        <f t="shared" si="52"/>
        <v>130.81081081200003</v>
      </c>
      <c r="X227">
        <f t="shared" si="53"/>
        <v>3.4308108108419999</v>
      </c>
      <c r="Y227">
        <f t="shared" si="54"/>
        <v>127.38000000115802</v>
      </c>
      <c r="Z227">
        <f t="shared" si="55"/>
        <v>48563.483891334305</v>
      </c>
      <c r="AB227">
        <f t="shared" si="56"/>
        <v>90303.657577000005</v>
      </c>
      <c r="AC227">
        <f t="shared" si="57"/>
        <v>10023.705991047002</v>
      </c>
      <c r="AD227">
        <f t="shared" si="58"/>
        <v>794.67218667760028</v>
      </c>
      <c r="AE227">
        <f t="shared" si="59"/>
        <v>20.842084168771603</v>
      </c>
      <c r="AF227">
        <f t="shared" si="60"/>
        <v>773.83010250882865</v>
      </c>
      <c r="AG227">
        <f t="shared" si="50"/>
        <v>101010.89001325595</v>
      </c>
      <c r="AH227" t="b">
        <f t="shared" si="61"/>
        <v>1</v>
      </c>
    </row>
    <row r="228" spans="4:35" hidden="1" x14ac:dyDescent="0.4">
      <c r="D228" t="s">
        <v>43</v>
      </c>
      <c r="E228" t="s">
        <v>37</v>
      </c>
      <c r="F228" s="9">
        <v>45991.291666666664</v>
      </c>
      <c r="G228" s="12">
        <v>1.5091000000000001</v>
      </c>
      <c r="H228" s="9">
        <v>45993.291666666664</v>
      </c>
      <c r="I228" s="12">
        <v>1.3572</v>
      </c>
      <c r="J228" s="12">
        <v>1294.3</v>
      </c>
      <c r="K228" s="12">
        <v>1953.35</v>
      </c>
      <c r="L228">
        <v>2.78</v>
      </c>
      <c r="M228">
        <v>-199.39</v>
      </c>
      <c r="N228" s="13">
        <v>-0.1021</v>
      </c>
      <c r="O228" t="s">
        <v>38</v>
      </c>
      <c r="Q228">
        <f t="shared" si="62"/>
        <v>-196.60417000000018</v>
      </c>
      <c r="R228">
        <f t="shared" si="63"/>
        <v>-199.38417000000018</v>
      </c>
      <c r="S228">
        <f t="shared" si="64"/>
        <v>1756.6239599999999</v>
      </c>
      <c r="U228">
        <f t="shared" si="51"/>
        <v>1093.3669070000001</v>
      </c>
      <c r="V228">
        <f t="shared" si="65"/>
        <v>1649.9999993537003</v>
      </c>
      <c r="W228">
        <f t="shared" si="52"/>
        <v>-166.08243317330016</v>
      </c>
      <c r="X228">
        <f t="shared" si="53"/>
        <v>3.1339175655341003</v>
      </c>
      <c r="Y228">
        <f t="shared" si="54"/>
        <v>-169.21635073883425</v>
      </c>
      <c r="Z228">
        <f t="shared" si="55"/>
        <v>48436.103891333143</v>
      </c>
      <c r="AB228">
        <f t="shared" si="56"/>
        <v>6710.9997020000001</v>
      </c>
      <c r="AC228">
        <f t="shared" si="57"/>
        <v>10127.5696502882</v>
      </c>
      <c r="AD228">
        <f t="shared" si="58"/>
        <v>-1019.400854733801</v>
      </c>
      <c r="AE228">
        <f t="shared" si="59"/>
        <v>19.2357384458426</v>
      </c>
      <c r="AF228">
        <f t="shared" si="60"/>
        <v>-1038.6365931796436</v>
      </c>
      <c r="AG228">
        <f t="shared" si="50"/>
        <v>100237.05991074712</v>
      </c>
      <c r="AH228" t="b">
        <f t="shared" si="61"/>
        <v>1</v>
      </c>
    </row>
    <row r="229" spans="4:35" hidden="1" x14ac:dyDescent="0.4">
      <c r="D229" t="s">
        <v>40</v>
      </c>
      <c r="E229" t="s">
        <v>41</v>
      </c>
      <c r="F229" s="9">
        <v>45991.333333333336</v>
      </c>
      <c r="G229" s="12">
        <v>461.33</v>
      </c>
      <c r="H229" s="9">
        <v>45992.666666666664</v>
      </c>
      <c r="I229" s="12">
        <v>361.1</v>
      </c>
      <c r="J229">
        <v>18.628</v>
      </c>
      <c r="K229" s="12">
        <v>8593.77</v>
      </c>
      <c r="L229">
        <v>11.49</v>
      </c>
      <c r="M229" s="12">
        <v>-1878.57</v>
      </c>
      <c r="N229" s="13">
        <v>-0.21859999999999999</v>
      </c>
      <c r="O229" t="s">
        <v>38</v>
      </c>
      <c r="Q229">
        <f t="shared" si="62"/>
        <v>-1867.0844399999994</v>
      </c>
      <c r="R229">
        <f t="shared" si="63"/>
        <v>-1878.5744399999994</v>
      </c>
      <c r="S229">
        <f t="shared" si="64"/>
        <v>6726.5708000000004</v>
      </c>
      <c r="U229">
        <f t="shared" si="51"/>
        <v>3.5766149999999999</v>
      </c>
      <c r="V229">
        <f t="shared" si="65"/>
        <v>1649.9997979499999</v>
      </c>
      <c r="W229">
        <f t="shared" si="52"/>
        <v>-358.48412144999986</v>
      </c>
      <c r="X229">
        <f t="shared" si="53"/>
        <v>2.9415154744500001</v>
      </c>
      <c r="Y229">
        <f t="shared" si="54"/>
        <v>-361.42563692444986</v>
      </c>
      <c r="Z229">
        <f t="shared" si="55"/>
        <v>48605.320242071975</v>
      </c>
      <c r="AB229">
        <f t="shared" si="56"/>
        <v>22.444623</v>
      </c>
      <c r="AC229">
        <f t="shared" si="57"/>
        <v>10354.37792859</v>
      </c>
      <c r="AD229">
        <f t="shared" si="58"/>
        <v>-2249.6245632899991</v>
      </c>
      <c r="AE229">
        <f t="shared" si="59"/>
        <v>18.459131293890003</v>
      </c>
      <c r="AF229">
        <f t="shared" si="60"/>
        <v>-2268.0836945838892</v>
      </c>
      <c r="AG229">
        <f t="shared" si="50"/>
        <v>101275.69650392677</v>
      </c>
      <c r="AH229" t="b">
        <f t="shared" si="61"/>
        <v>1</v>
      </c>
    </row>
    <row r="230" spans="4:35" hidden="1" x14ac:dyDescent="0.4">
      <c r="D230" t="s">
        <v>60</v>
      </c>
      <c r="E230" t="s">
        <v>37</v>
      </c>
      <c r="F230" s="9">
        <v>45989.375</v>
      </c>
      <c r="G230">
        <v>2.2437999999999998</v>
      </c>
      <c r="H230" s="9">
        <v>45991.875</v>
      </c>
      <c r="I230">
        <v>2.1964999999999999</v>
      </c>
      <c r="J230" s="12">
        <v>1017.6</v>
      </c>
      <c r="K230" s="12">
        <v>2283.34</v>
      </c>
      <c r="L230">
        <v>3.39</v>
      </c>
      <c r="M230">
        <v>-51.52</v>
      </c>
      <c r="N230" s="13">
        <v>-2.2599999999999999E-2</v>
      </c>
      <c r="O230" t="s">
        <v>57</v>
      </c>
      <c r="Q230">
        <f t="shared" si="62"/>
        <v>-48.132479999999894</v>
      </c>
      <c r="R230">
        <f t="shared" si="63"/>
        <v>-51.522479999999895</v>
      </c>
      <c r="S230">
        <f t="shared" si="64"/>
        <v>2235.1583999999998</v>
      </c>
      <c r="U230">
        <f t="shared" si="51"/>
        <v>735.35965799999997</v>
      </c>
      <c r="V230">
        <f t="shared" si="65"/>
        <v>1650.0000006203998</v>
      </c>
      <c r="W230">
        <f t="shared" si="52"/>
        <v>-34.782511823399922</v>
      </c>
      <c r="X230">
        <f t="shared" si="53"/>
        <v>3.2652174894173993</v>
      </c>
      <c r="Y230">
        <f t="shared" si="54"/>
        <v>-38.047729312817324</v>
      </c>
      <c r="Z230">
        <f t="shared" si="55"/>
        <v>48966.745878996422</v>
      </c>
      <c r="AB230">
        <f t="shared" si="56"/>
        <v>4625.3273920000001</v>
      </c>
      <c r="AC230">
        <f t="shared" si="57"/>
        <v>10378.3096021696</v>
      </c>
      <c r="AD230">
        <f t="shared" si="58"/>
        <v>-218.77798564159954</v>
      </c>
      <c r="AE230">
        <f t="shared" si="59"/>
        <v>20.537841218697597</v>
      </c>
      <c r="AF230">
        <f t="shared" si="60"/>
        <v>-239.31582686029714</v>
      </c>
      <c r="AG230">
        <f t="shared" si="50"/>
        <v>103543.78019851066</v>
      </c>
      <c r="AH230" t="b">
        <f t="shared" si="61"/>
        <v>1</v>
      </c>
    </row>
    <row r="231" spans="4:35" hidden="1" x14ac:dyDescent="0.4">
      <c r="D231" t="s">
        <v>59</v>
      </c>
      <c r="E231" t="s">
        <v>37</v>
      </c>
      <c r="F231" s="9">
        <v>45989.375</v>
      </c>
      <c r="G231" s="12">
        <v>91707.33</v>
      </c>
      <c r="H231" s="9">
        <v>45991.875</v>
      </c>
      <c r="I231" s="12">
        <v>91335.22</v>
      </c>
      <c r="J231" s="12">
        <v>0.11698</v>
      </c>
      <c r="K231" s="12">
        <v>10728.32</v>
      </c>
      <c r="L231">
        <v>16.059999999999999</v>
      </c>
      <c r="M231">
        <v>-59.59</v>
      </c>
      <c r="N231" s="13">
        <v>-5.5999999999999999E-3</v>
      </c>
      <c r="O231" t="s">
        <v>57</v>
      </c>
      <c r="Q231">
        <f t="shared" si="62"/>
        <v>-43.529427800000072</v>
      </c>
      <c r="R231">
        <f t="shared" si="63"/>
        <v>-59.589427800000067</v>
      </c>
      <c r="S231">
        <f t="shared" si="64"/>
        <v>10684.3940356</v>
      </c>
      <c r="U231">
        <f t="shared" si="51"/>
        <v>1.7992000000000001E-2</v>
      </c>
      <c r="V231">
        <f t="shared" si="65"/>
        <v>1649.9982813600002</v>
      </c>
      <c r="W231">
        <f t="shared" si="52"/>
        <v>-6.6950031200000106</v>
      </c>
      <c r="X231">
        <f t="shared" si="53"/>
        <v>3.2933015596000002</v>
      </c>
      <c r="Y231">
        <f t="shared" si="54"/>
        <v>-9.9883046796000112</v>
      </c>
      <c r="Z231">
        <f t="shared" si="55"/>
        <v>49004.793608309243</v>
      </c>
      <c r="AB231">
        <f t="shared" si="56"/>
        <v>0.113236</v>
      </c>
      <c r="AC231">
        <f t="shared" si="57"/>
        <v>10384.571219880001</v>
      </c>
      <c r="AD231">
        <f t="shared" si="58"/>
        <v>-42.13624796000007</v>
      </c>
      <c r="AE231">
        <f t="shared" si="59"/>
        <v>20.727006191800001</v>
      </c>
      <c r="AF231">
        <f t="shared" si="60"/>
        <v>-62.863254151800071</v>
      </c>
      <c r="AG231">
        <f t="shared" si="50"/>
        <v>103783.09602537096</v>
      </c>
      <c r="AH231" t="b">
        <f t="shared" si="61"/>
        <v>1</v>
      </c>
    </row>
    <row r="232" spans="4:35" hidden="1" x14ac:dyDescent="0.4">
      <c r="D232" t="s">
        <v>55</v>
      </c>
      <c r="E232" t="s">
        <v>37</v>
      </c>
      <c r="F232" s="9">
        <v>45989.583333333336</v>
      </c>
      <c r="G232">
        <v>2.8119999999999998E-5</v>
      </c>
      <c r="H232" s="9">
        <v>45991.583333333336</v>
      </c>
      <c r="I232">
        <v>2.7710000000000001E-5</v>
      </c>
      <c r="J232" s="12">
        <v>209686461.16</v>
      </c>
      <c r="K232" s="12">
        <v>5896.38</v>
      </c>
      <c r="L232">
        <v>8.7799999999999994</v>
      </c>
      <c r="M232">
        <v>-94.75</v>
      </c>
      <c r="N232" s="13">
        <v>-1.61E-2</v>
      </c>
      <c r="O232" t="s">
        <v>38</v>
      </c>
      <c r="Q232">
        <f t="shared" si="62"/>
        <v>-85.971449075599537</v>
      </c>
      <c r="R232">
        <f t="shared" si="63"/>
        <v>-94.751449075599538</v>
      </c>
      <c r="S232">
        <f t="shared" si="64"/>
        <v>5810.4118387436001</v>
      </c>
      <c r="U232">
        <f t="shared" si="51"/>
        <v>58677098.150781997</v>
      </c>
      <c r="V232">
        <f t="shared" si="65"/>
        <v>1649.9999999999895</v>
      </c>
      <c r="W232">
        <f t="shared" si="52"/>
        <v>-24.057610241820488</v>
      </c>
      <c r="X232">
        <f t="shared" si="53"/>
        <v>3.2759423897581588</v>
      </c>
      <c r="Y232">
        <f t="shared" si="54"/>
        <v>-27.333552631578648</v>
      </c>
      <c r="Z232">
        <f t="shared" si="55"/>
        <v>49014.781912988845</v>
      </c>
      <c r="AB232">
        <f t="shared" si="56"/>
        <v>369908512.66706401</v>
      </c>
      <c r="AC232">
        <f t="shared" si="57"/>
        <v>10401.82737619784</v>
      </c>
      <c r="AD232">
        <f t="shared" si="58"/>
        <v>-151.66249019349542</v>
      </c>
      <c r="AE232">
        <f t="shared" si="59"/>
        <v>20.651992262202182</v>
      </c>
      <c r="AF232">
        <f t="shared" si="60"/>
        <v>-172.3144824556976</v>
      </c>
      <c r="AG232">
        <f t="shared" si="50"/>
        <v>103845.95927952277</v>
      </c>
      <c r="AH232" t="b">
        <f t="shared" si="61"/>
        <v>1</v>
      </c>
    </row>
    <row r="233" spans="4:35" hidden="1" x14ac:dyDescent="0.4">
      <c r="D233" t="s">
        <v>58</v>
      </c>
      <c r="E233" t="s">
        <v>37</v>
      </c>
      <c r="F233" s="9">
        <v>45989.375</v>
      </c>
      <c r="G233">
        <v>13.53</v>
      </c>
      <c r="H233" s="9">
        <v>45991.375</v>
      </c>
      <c r="I233">
        <v>13.03</v>
      </c>
      <c r="J233">
        <v>552.30999999999995</v>
      </c>
      <c r="K233" s="12">
        <v>7472.78</v>
      </c>
      <c r="L233">
        <v>11</v>
      </c>
      <c r="M233">
        <v>-287.16000000000003</v>
      </c>
      <c r="N233" s="13">
        <v>-3.8399999999999997E-2</v>
      </c>
      <c r="O233" t="s">
        <v>38</v>
      </c>
      <c r="Q233">
        <f t="shared" si="62"/>
        <v>-276.15499999999997</v>
      </c>
      <c r="R233">
        <f t="shared" si="63"/>
        <v>-287.15499999999997</v>
      </c>
      <c r="S233">
        <f t="shared" si="64"/>
        <v>7196.5992999999989</v>
      </c>
      <c r="U233">
        <f t="shared" si="51"/>
        <v>121.95122000000001</v>
      </c>
      <c r="V233">
        <f t="shared" si="65"/>
        <v>1650.0000066</v>
      </c>
      <c r="W233">
        <f t="shared" si="52"/>
        <v>-60.975610000000003</v>
      </c>
      <c r="X233">
        <f t="shared" si="53"/>
        <v>3.2390244032000002</v>
      </c>
      <c r="Y233">
        <f t="shared" si="54"/>
        <v>-64.214634403200009</v>
      </c>
      <c r="Z233">
        <f t="shared" si="55"/>
        <v>49042.115465620423</v>
      </c>
      <c r="AB233">
        <f t="shared" si="56"/>
        <v>771.80098499999997</v>
      </c>
      <c r="AC233">
        <f t="shared" si="57"/>
        <v>10442.467327049999</v>
      </c>
      <c r="AD233">
        <f t="shared" si="58"/>
        <v>-385.90049249999998</v>
      </c>
      <c r="AE233">
        <f t="shared" si="59"/>
        <v>20.499034161600001</v>
      </c>
      <c r="AF233">
        <f t="shared" si="60"/>
        <v>-406.39952666159996</v>
      </c>
      <c r="AG233">
        <f t="shared" si="50"/>
        <v>104018.27376197846</v>
      </c>
      <c r="AH233" t="b">
        <f t="shared" si="61"/>
        <v>1</v>
      </c>
    </row>
    <row r="234" spans="4:35" hidden="1" x14ac:dyDescent="0.4">
      <c r="D234" t="s">
        <v>43</v>
      </c>
      <c r="E234" t="s">
        <v>37</v>
      </c>
      <c r="F234" s="9">
        <v>45989.166666666664</v>
      </c>
      <c r="G234">
        <v>1.5387</v>
      </c>
      <c r="H234" s="9">
        <v>45991.166666666664</v>
      </c>
      <c r="I234">
        <v>1.5165999999999999</v>
      </c>
      <c r="J234" s="12">
        <v>1271.4000000000001</v>
      </c>
      <c r="K234" s="12">
        <v>1956.45</v>
      </c>
      <c r="L234">
        <v>2.91</v>
      </c>
      <c r="M234">
        <v>-31.01</v>
      </c>
      <c r="N234" s="13">
        <v>-1.5900000000000001E-2</v>
      </c>
      <c r="O234" t="s">
        <v>38</v>
      </c>
      <c r="Q234">
        <f t="shared" si="62"/>
        <v>-28.097940000000012</v>
      </c>
      <c r="R234">
        <f t="shared" si="63"/>
        <v>-31.007940000000012</v>
      </c>
      <c r="S234">
        <f t="shared" si="64"/>
        <v>1928.20524</v>
      </c>
      <c r="U234">
        <f t="shared" si="51"/>
        <v>1072.3337879999999</v>
      </c>
      <c r="V234">
        <f t="shared" si="65"/>
        <v>1649.9999995955998</v>
      </c>
      <c r="W234">
        <f t="shared" si="52"/>
        <v>-23.698576714800009</v>
      </c>
      <c r="X234">
        <f t="shared" si="53"/>
        <v>3.2763014224763998</v>
      </c>
      <c r="Y234">
        <f t="shared" si="54"/>
        <v>-26.974878137276409</v>
      </c>
      <c r="Z234">
        <f t="shared" si="55"/>
        <v>49106.330100023624</v>
      </c>
      <c r="AB234">
        <f t="shared" si="56"/>
        <v>6797.6649500000003</v>
      </c>
      <c r="AC234">
        <f t="shared" si="57"/>
        <v>10459.567058565</v>
      </c>
      <c r="AD234">
        <f t="shared" si="58"/>
        <v>-150.22839539500006</v>
      </c>
      <c r="AE234">
        <f t="shared" si="59"/>
        <v>20.768905721734999</v>
      </c>
      <c r="AF234">
        <f t="shared" si="60"/>
        <v>-170.99730111673506</v>
      </c>
      <c r="AG234">
        <f t="shared" ref="AG234:AG297" si="66">AG235*AH234 + (1-AH234)*AI234+AF234</f>
        <v>104424.67328864006</v>
      </c>
      <c r="AH234" t="b">
        <f t="shared" si="61"/>
        <v>1</v>
      </c>
    </row>
    <row r="235" spans="4:35" hidden="1" x14ac:dyDescent="0.4">
      <c r="D235" t="s">
        <v>54</v>
      </c>
      <c r="E235" t="s">
        <v>37</v>
      </c>
      <c r="F235" s="9">
        <v>45988.666666666664</v>
      </c>
      <c r="G235">
        <v>142.13999999999999</v>
      </c>
      <c r="H235" s="9">
        <v>45990.666666666664</v>
      </c>
      <c r="I235">
        <v>137.63999999999999</v>
      </c>
      <c r="J235">
        <v>35.969000000000001</v>
      </c>
      <c r="K235" s="12">
        <v>5112.75</v>
      </c>
      <c r="L235">
        <v>7.55</v>
      </c>
      <c r="M235">
        <v>-169.41</v>
      </c>
      <c r="N235" s="13">
        <v>-3.3099999999999997E-2</v>
      </c>
      <c r="O235" t="s">
        <v>38</v>
      </c>
      <c r="Q235">
        <f t="shared" si="62"/>
        <v>-161.8605</v>
      </c>
      <c r="R235">
        <f t="shared" si="63"/>
        <v>-169.41050000000001</v>
      </c>
      <c r="S235">
        <f t="shared" si="64"/>
        <v>4950.7731599999997</v>
      </c>
      <c r="U235">
        <f t="shared" si="51"/>
        <v>11.608274</v>
      </c>
      <c r="V235">
        <f t="shared" si="65"/>
        <v>1650.0000663599999</v>
      </c>
      <c r="W235">
        <f t="shared" si="52"/>
        <v>-52.237232999999996</v>
      </c>
      <c r="X235">
        <f t="shared" si="53"/>
        <v>3.2477628997199997</v>
      </c>
      <c r="Y235">
        <f t="shared" si="54"/>
        <v>-55.484995899719998</v>
      </c>
      <c r="Z235">
        <f t="shared" si="55"/>
        <v>49133.304978160901</v>
      </c>
      <c r="AB235">
        <f t="shared" si="56"/>
        <v>73.834659000000002</v>
      </c>
      <c r="AC235">
        <f t="shared" si="57"/>
        <v>10494.858430259999</v>
      </c>
      <c r="AD235">
        <f t="shared" si="58"/>
        <v>-332.2559655</v>
      </c>
      <c r="AE235">
        <f t="shared" si="59"/>
        <v>20.657460895019998</v>
      </c>
      <c r="AF235">
        <f t="shared" si="60"/>
        <v>-352.91342639502</v>
      </c>
      <c r="AG235">
        <f t="shared" si="66"/>
        <v>104595.67058975679</v>
      </c>
      <c r="AH235" t="b">
        <f t="shared" si="61"/>
        <v>1</v>
      </c>
    </row>
    <row r="236" spans="4:35" hidden="1" x14ac:dyDescent="0.4">
      <c r="D236" t="s">
        <v>50</v>
      </c>
      <c r="E236" t="s">
        <v>37</v>
      </c>
      <c r="F236" s="9">
        <v>45988.5</v>
      </c>
      <c r="G236">
        <v>306.2</v>
      </c>
      <c r="H236" s="9">
        <v>45990.5</v>
      </c>
      <c r="I236">
        <v>299.3</v>
      </c>
      <c r="J236">
        <v>45.601399999999998</v>
      </c>
      <c r="K236" s="12">
        <v>13963.16</v>
      </c>
      <c r="L236">
        <v>20.71</v>
      </c>
      <c r="M236">
        <v>-335.36</v>
      </c>
      <c r="N236" s="13">
        <v>-2.4E-2</v>
      </c>
      <c r="O236" t="s">
        <v>38</v>
      </c>
      <c r="Q236">
        <f t="shared" si="62"/>
        <v>-314.64965999999896</v>
      </c>
      <c r="R236">
        <f t="shared" si="63"/>
        <v>-335.35965999999894</v>
      </c>
      <c r="S236">
        <f t="shared" si="64"/>
        <v>13648.499019999999</v>
      </c>
      <c r="U236">
        <f t="shared" si="51"/>
        <v>5.3886349999999998</v>
      </c>
      <c r="V236">
        <f t="shared" si="65"/>
        <v>1650.0000369999998</v>
      </c>
      <c r="W236">
        <f t="shared" si="52"/>
        <v>-37.181581499999879</v>
      </c>
      <c r="X236">
        <f t="shared" si="53"/>
        <v>3.2628184925000001</v>
      </c>
      <c r="Y236">
        <f t="shared" si="54"/>
        <v>-40.444399992499882</v>
      </c>
      <c r="Z236">
        <f t="shared" si="55"/>
        <v>49188.789974060623</v>
      </c>
      <c r="AB236">
        <f t="shared" si="56"/>
        <v>34.358741000000002</v>
      </c>
      <c r="AC236">
        <f t="shared" si="57"/>
        <v>10520.6464942</v>
      </c>
      <c r="AD236">
        <f t="shared" si="58"/>
        <v>-237.07531289999923</v>
      </c>
      <c r="AE236">
        <f t="shared" si="59"/>
        <v>20.804217675500002</v>
      </c>
      <c r="AF236">
        <f t="shared" si="60"/>
        <v>-257.87953057549925</v>
      </c>
      <c r="AG236">
        <f t="shared" si="66"/>
        <v>104948.58401615181</v>
      </c>
      <c r="AH236" t="b">
        <f t="shared" si="61"/>
        <v>1</v>
      </c>
    </row>
    <row r="237" spans="4:35" hidden="1" x14ac:dyDescent="0.4">
      <c r="D237" t="s">
        <v>53</v>
      </c>
      <c r="E237" t="s">
        <v>37</v>
      </c>
      <c r="F237" s="9">
        <v>45988.458333333336</v>
      </c>
      <c r="G237" s="12">
        <v>894.54</v>
      </c>
      <c r="H237" s="9">
        <v>45990.458333333336</v>
      </c>
      <c r="I237" s="12">
        <v>879.3</v>
      </c>
      <c r="J237">
        <v>11.065</v>
      </c>
      <c r="K237" s="12">
        <v>9898.4699999999993</v>
      </c>
      <c r="L237">
        <v>14.72</v>
      </c>
      <c r="M237">
        <v>-183.35</v>
      </c>
      <c r="N237" s="13">
        <v>-1.8499999999999999E-2</v>
      </c>
      <c r="O237" t="s">
        <v>38</v>
      </c>
      <c r="Q237">
        <f t="shared" si="62"/>
        <v>-168.6306000000001</v>
      </c>
      <c r="R237">
        <f t="shared" si="63"/>
        <v>-183.3506000000001</v>
      </c>
      <c r="S237">
        <f t="shared" si="64"/>
        <v>9729.4544999999998</v>
      </c>
      <c r="U237">
        <f t="shared" si="51"/>
        <v>1.8445229999999999</v>
      </c>
      <c r="V237">
        <f t="shared" si="65"/>
        <v>1649.9996044199997</v>
      </c>
      <c r="W237">
        <f t="shared" si="52"/>
        <v>-28.110530520000015</v>
      </c>
      <c r="X237">
        <f t="shared" si="53"/>
        <v>3.2718886783199994</v>
      </c>
      <c r="Y237">
        <f t="shared" si="54"/>
        <v>-31.382419198320015</v>
      </c>
      <c r="Z237">
        <f t="shared" si="55"/>
        <v>49229.234374053121</v>
      </c>
      <c r="AB237">
        <f t="shared" si="56"/>
        <v>11.783367999999999</v>
      </c>
      <c r="AC237">
        <f t="shared" si="57"/>
        <v>10540.694010719999</v>
      </c>
      <c r="AD237">
        <f t="shared" si="58"/>
        <v>-179.57852832000009</v>
      </c>
      <c r="AE237">
        <f t="shared" si="59"/>
        <v>20.901809493119998</v>
      </c>
      <c r="AF237">
        <f t="shared" si="60"/>
        <v>-200.48033781312009</v>
      </c>
      <c r="AG237">
        <f t="shared" si="66"/>
        <v>105206.46354672732</v>
      </c>
      <c r="AH237" t="b">
        <f t="shared" si="61"/>
        <v>1</v>
      </c>
    </row>
    <row r="238" spans="4:35" hidden="1" x14ac:dyDescent="0.4">
      <c r="D238" t="s">
        <v>56</v>
      </c>
      <c r="E238" t="s">
        <v>37</v>
      </c>
      <c r="F238" s="9">
        <v>45989.833333333336</v>
      </c>
      <c r="G238" s="12">
        <v>3050.83</v>
      </c>
      <c r="H238" s="9">
        <v>45990.291666666664</v>
      </c>
      <c r="I238" s="12">
        <v>2991</v>
      </c>
      <c r="J238" s="12">
        <v>1.9301999999999999</v>
      </c>
      <c r="K238" s="12">
        <v>5888.97</v>
      </c>
      <c r="L238">
        <v>8.75</v>
      </c>
      <c r="M238">
        <v>-124.22</v>
      </c>
      <c r="N238" s="13">
        <v>-2.1100000000000001E-2</v>
      </c>
      <c r="O238" t="s">
        <v>49</v>
      </c>
      <c r="Q238">
        <f t="shared" si="62"/>
        <v>-115.48386599999985</v>
      </c>
      <c r="R238">
        <f t="shared" si="63"/>
        <v>-124.23386599999985</v>
      </c>
      <c r="S238">
        <f t="shared" si="64"/>
        <v>5773.2281999999996</v>
      </c>
      <c r="U238">
        <f t="shared" si="51"/>
        <v>0.54083599999999998</v>
      </c>
      <c r="V238">
        <f t="shared" si="65"/>
        <v>1649.99869388</v>
      </c>
      <c r="W238">
        <f t="shared" si="52"/>
        <v>-32.358217879999962</v>
      </c>
      <c r="X238">
        <f t="shared" si="53"/>
        <v>3.2676391698799998</v>
      </c>
      <c r="Y238">
        <f t="shared" si="54"/>
        <v>-35.625857049879961</v>
      </c>
      <c r="Z238">
        <f t="shared" si="55"/>
        <v>49260.616793251444</v>
      </c>
      <c r="AB238">
        <f t="shared" si="56"/>
        <v>3.4625010000000001</v>
      </c>
      <c r="AC238">
        <f t="shared" si="57"/>
        <v>10563.50192583</v>
      </c>
      <c r="AD238">
        <f t="shared" si="58"/>
        <v>-207.16143482999976</v>
      </c>
      <c r="AE238">
        <f t="shared" si="59"/>
        <v>20.919842416830001</v>
      </c>
      <c r="AF238">
        <f t="shared" si="60"/>
        <v>-228.08127724682976</v>
      </c>
      <c r="AG238">
        <f t="shared" si="66"/>
        <v>105406.94388454044</v>
      </c>
      <c r="AH238" t="b">
        <f t="shared" si="61"/>
        <v>1</v>
      </c>
    </row>
    <row r="239" spans="4:35" hidden="1" x14ac:dyDescent="0.4">
      <c r="D239" t="s">
        <v>61</v>
      </c>
      <c r="E239" t="s">
        <v>37</v>
      </c>
      <c r="F239" s="9">
        <v>45988.291666666664</v>
      </c>
      <c r="G239">
        <v>0.4345</v>
      </c>
      <c r="H239" s="9">
        <v>45990.291666666664</v>
      </c>
      <c r="I239">
        <v>0.41599999999999998</v>
      </c>
      <c r="J239" s="12">
        <v>19661.8</v>
      </c>
      <c r="K239" s="12">
        <v>8543.09</v>
      </c>
      <c r="L239">
        <v>12.54</v>
      </c>
      <c r="M239">
        <v>-376.29</v>
      </c>
      <c r="N239" s="13">
        <v>-4.3999999999999997E-2</v>
      </c>
      <c r="O239" t="s">
        <v>38</v>
      </c>
      <c r="Q239">
        <f t="shared" si="62"/>
        <v>-363.74330000000032</v>
      </c>
      <c r="R239">
        <f t="shared" si="63"/>
        <v>-376.28330000000034</v>
      </c>
      <c r="S239">
        <f t="shared" si="64"/>
        <v>8179.3087999999989</v>
      </c>
      <c r="U239">
        <f t="shared" si="51"/>
        <v>3797.4683540000001</v>
      </c>
      <c r="V239">
        <f t="shared" si="65"/>
        <v>1649.9999998129999</v>
      </c>
      <c r="W239">
        <f t="shared" si="52"/>
        <v>-70.253164549000061</v>
      </c>
      <c r="X239">
        <f t="shared" si="53"/>
        <v>3.229746835077</v>
      </c>
      <c r="Y239">
        <f t="shared" si="54"/>
        <v>-73.482911384077056</v>
      </c>
      <c r="Z239">
        <f t="shared" si="55"/>
        <v>49296.242650301327</v>
      </c>
      <c r="AB239">
        <f t="shared" si="56"/>
        <v>24420.615946999998</v>
      </c>
      <c r="AC239">
        <f t="shared" si="57"/>
        <v>10610.7576289715</v>
      </c>
      <c r="AD239">
        <f t="shared" si="58"/>
        <v>-451.78139501950039</v>
      </c>
      <c r="AE239">
        <f t="shared" si="59"/>
        <v>20.769733862923498</v>
      </c>
      <c r="AF239">
        <f t="shared" si="60"/>
        <v>-472.55112888242388</v>
      </c>
      <c r="AG239">
        <f t="shared" si="66"/>
        <v>105635.02516178727</v>
      </c>
      <c r="AH239" t="b">
        <f t="shared" si="61"/>
        <v>1</v>
      </c>
    </row>
    <row r="240" spans="4:35" hidden="1" x14ac:dyDescent="0.4">
      <c r="D240" t="s">
        <v>56</v>
      </c>
      <c r="E240" t="s">
        <v>37</v>
      </c>
      <c r="F240" s="9">
        <v>45987.291666666664</v>
      </c>
      <c r="G240" s="12">
        <v>2945.9</v>
      </c>
      <c r="H240" s="9">
        <v>45989.791666666664</v>
      </c>
      <c r="I240" s="12">
        <v>3043.49</v>
      </c>
      <c r="J240">
        <v>1.9926999999999999</v>
      </c>
      <c r="K240" s="12">
        <v>5870.42</v>
      </c>
      <c r="L240">
        <v>8.9499999999999993</v>
      </c>
      <c r="M240">
        <v>185.52</v>
      </c>
      <c r="N240" s="13">
        <v>3.1600000000000003E-2</v>
      </c>
      <c r="O240" t="s">
        <v>57</v>
      </c>
      <c r="Q240">
        <f t="shared" si="62"/>
        <v>194.46759299999937</v>
      </c>
      <c r="R240">
        <f t="shared" si="63"/>
        <v>185.51759299999938</v>
      </c>
      <c r="S240">
        <f t="shared" si="64"/>
        <v>6064.7625229999994</v>
      </c>
      <c r="U240">
        <f t="shared" si="51"/>
        <v>0.56010000000000004</v>
      </c>
      <c r="V240">
        <f t="shared" si="65"/>
        <v>1649.9985900000001</v>
      </c>
      <c r="W240">
        <f t="shared" si="52"/>
        <v>54.66015899999983</v>
      </c>
      <c r="X240">
        <f t="shared" si="53"/>
        <v>3.3546573390000001</v>
      </c>
      <c r="Y240">
        <f t="shared" si="54"/>
        <v>51.30550166099983</v>
      </c>
      <c r="Z240">
        <f t="shared" si="55"/>
        <v>49369.725561685402</v>
      </c>
      <c r="AB240">
        <f t="shared" si="56"/>
        <v>3.5907079999999998</v>
      </c>
      <c r="AC240">
        <f t="shared" si="57"/>
        <v>10577.866697199999</v>
      </c>
      <c r="AD240">
        <f t="shared" si="58"/>
        <v>350.41719371999886</v>
      </c>
      <c r="AE240">
        <f t="shared" si="59"/>
        <v>21.506150588119997</v>
      </c>
      <c r="AF240">
        <f t="shared" si="60"/>
        <v>328.91104313187884</v>
      </c>
      <c r="AG240">
        <f t="shared" si="66"/>
        <v>106107.57629066969</v>
      </c>
      <c r="AH240" t="b">
        <f t="shared" si="61"/>
        <v>1</v>
      </c>
    </row>
    <row r="241" spans="4:34" hidden="1" x14ac:dyDescent="0.4">
      <c r="D241" t="s">
        <v>52</v>
      </c>
      <c r="E241" t="s">
        <v>37</v>
      </c>
      <c r="F241" s="9">
        <v>45987.708333333336</v>
      </c>
      <c r="G241" s="12">
        <v>4.1520000000000001</v>
      </c>
      <c r="H241" s="9">
        <v>45989.708333333336</v>
      </c>
      <c r="I241" s="12">
        <v>4.0949999999999998</v>
      </c>
      <c r="J241">
        <v>644.87</v>
      </c>
      <c r="K241" s="12">
        <v>2677.53</v>
      </c>
      <c r="L241">
        <v>3.99</v>
      </c>
      <c r="M241" s="12">
        <v>-40.75</v>
      </c>
      <c r="N241" s="13">
        <v>-1.52E-2</v>
      </c>
      <c r="O241" t="s">
        <v>38</v>
      </c>
      <c r="Q241">
        <f t="shared" si="62"/>
        <v>-36.757590000000249</v>
      </c>
      <c r="R241">
        <f t="shared" si="63"/>
        <v>-40.747590000000251</v>
      </c>
      <c r="S241">
        <f t="shared" si="64"/>
        <v>2640.7426499999997</v>
      </c>
      <c r="U241">
        <f t="shared" si="51"/>
        <v>397.398844</v>
      </c>
      <c r="V241">
        <f t="shared" si="65"/>
        <v>1650.0000002880001</v>
      </c>
      <c r="W241">
        <f t="shared" si="52"/>
        <v>-22.651734108000152</v>
      </c>
      <c r="X241">
        <f t="shared" si="53"/>
        <v>3.2773482664680005</v>
      </c>
      <c r="Y241">
        <f t="shared" si="54"/>
        <v>-25.929082374468152</v>
      </c>
      <c r="Z241">
        <f t="shared" si="55"/>
        <v>49318.4200600244</v>
      </c>
      <c r="AB241">
        <f t="shared" si="56"/>
        <v>2551.6655529999998</v>
      </c>
      <c r="AC241">
        <f t="shared" si="57"/>
        <v>10594.515376055999</v>
      </c>
      <c r="AD241">
        <f t="shared" si="58"/>
        <v>-145.44493652100095</v>
      </c>
      <c r="AE241">
        <f t="shared" si="59"/>
        <v>21.043585815591001</v>
      </c>
      <c r="AF241">
        <f t="shared" si="60"/>
        <v>-166.48852233659196</v>
      </c>
      <c r="AG241">
        <f t="shared" si="66"/>
        <v>105778.66524753781</v>
      </c>
      <c r="AH241" t="b">
        <f t="shared" si="61"/>
        <v>1</v>
      </c>
    </row>
    <row r="242" spans="4:34" hidden="1" x14ac:dyDescent="0.4">
      <c r="D242" t="s">
        <v>55</v>
      </c>
      <c r="E242" t="s">
        <v>37</v>
      </c>
      <c r="F242" s="9">
        <v>45987.583333333336</v>
      </c>
      <c r="G242" s="12">
        <v>2.73E-5</v>
      </c>
      <c r="H242" s="9">
        <v>45989.583333333336</v>
      </c>
      <c r="I242" s="12">
        <v>2.8119999999999998E-5</v>
      </c>
      <c r="J242" s="12">
        <v>215370625.81</v>
      </c>
      <c r="K242" s="12">
        <v>5879.62</v>
      </c>
      <c r="L242">
        <v>8.9499999999999993</v>
      </c>
      <c r="M242">
        <v>167.65</v>
      </c>
      <c r="N242" s="13">
        <v>2.8500000000000001E-2</v>
      </c>
      <c r="O242" t="s">
        <v>38</v>
      </c>
      <c r="Q242">
        <f t="shared" si="62"/>
        <v>176.60391316419978</v>
      </c>
      <c r="R242">
        <f t="shared" si="63"/>
        <v>167.65391316419979</v>
      </c>
      <c r="S242">
        <f t="shared" si="64"/>
        <v>6056.2219977772002</v>
      </c>
      <c r="U242">
        <f t="shared" si="51"/>
        <v>60439560.439560004</v>
      </c>
      <c r="V242">
        <f t="shared" si="65"/>
        <v>1649.9999999999882</v>
      </c>
      <c r="W242">
        <f t="shared" si="52"/>
        <v>49.560439560439136</v>
      </c>
      <c r="X242">
        <f t="shared" si="53"/>
        <v>3.349560439560415</v>
      </c>
      <c r="Y242">
        <f t="shared" si="54"/>
        <v>46.210879120878722</v>
      </c>
      <c r="Z242">
        <f t="shared" si="55"/>
        <v>49344.349142398867</v>
      </c>
      <c r="AB242">
        <f t="shared" si="56"/>
        <v>386993648.95880401</v>
      </c>
      <c r="AC242">
        <f t="shared" si="57"/>
        <v>10564.926616575349</v>
      </c>
      <c r="AD242">
        <f t="shared" si="58"/>
        <v>317.33479214621889</v>
      </c>
      <c r="AE242">
        <f t="shared" si="59"/>
        <v>21.447188025296917</v>
      </c>
      <c r="AF242">
        <f t="shared" si="60"/>
        <v>295.88760412092199</v>
      </c>
      <c r="AG242">
        <f t="shared" si="66"/>
        <v>105945.15376987439</v>
      </c>
      <c r="AH242" t="b">
        <f t="shared" si="61"/>
        <v>1</v>
      </c>
    </row>
    <row r="243" spans="4:34" hidden="1" x14ac:dyDescent="0.4">
      <c r="D243" t="s">
        <v>60</v>
      </c>
      <c r="E243" t="s">
        <v>37</v>
      </c>
      <c r="F243" s="9">
        <v>45986.875</v>
      </c>
      <c r="G243">
        <v>2.1964000000000001</v>
      </c>
      <c r="H243" s="9">
        <v>45989.375</v>
      </c>
      <c r="I243">
        <v>2.2437999999999998</v>
      </c>
      <c r="J243" s="12">
        <v>1037.5</v>
      </c>
      <c r="K243" s="12">
        <v>2278.77</v>
      </c>
      <c r="L243">
        <v>3.46</v>
      </c>
      <c r="M243">
        <v>45.72</v>
      </c>
      <c r="N243" s="13">
        <v>2.01E-2</v>
      </c>
      <c r="O243" t="s">
        <v>57</v>
      </c>
      <c r="Q243">
        <f t="shared" si="62"/>
        <v>49.177499999999654</v>
      </c>
      <c r="R243">
        <f t="shared" si="63"/>
        <v>45.717499999999653</v>
      </c>
      <c r="S243">
        <f t="shared" si="64"/>
        <v>2327.9424999999997</v>
      </c>
      <c r="U243">
        <f t="shared" si="51"/>
        <v>751.22928400000001</v>
      </c>
      <c r="V243">
        <f t="shared" si="65"/>
        <v>1649.9999993776</v>
      </c>
      <c r="W243">
        <f t="shared" si="52"/>
        <v>35.608268061599752</v>
      </c>
      <c r="X243">
        <f t="shared" si="53"/>
        <v>3.3356082668167999</v>
      </c>
      <c r="Y243">
        <f t="shared" si="54"/>
        <v>32.272659794782953</v>
      </c>
      <c r="Z243">
        <f t="shared" si="55"/>
        <v>49298.138263277986</v>
      </c>
      <c r="AB243">
        <f t="shared" si="56"/>
        <v>4800.7206409999999</v>
      </c>
      <c r="AC243">
        <f t="shared" si="57"/>
        <v>10544.302815892401</v>
      </c>
      <c r="AD243">
        <f t="shared" si="58"/>
        <v>227.55415838339837</v>
      </c>
      <c r="AE243">
        <f t="shared" si="59"/>
        <v>21.3161597901682</v>
      </c>
      <c r="AF243">
        <f t="shared" si="60"/>
        <v>206.23799859323017</v>
      </c>
      <c r="AG243">
        <f t="shared" si="66"/>
        <v>105649.26616575348</v>
      </c>
      <c r="AH243" t="b">
        <f t="shared" si="61"/>
        <v>1</v>
      </c>
    </row>
    <row r="244" spans="4:34" hidden="1" x14ac:dyDescent="0.4">
      <c r="D244" t="s">
        <v>59</v>
      </c>
      <c r="E244" t="s">
        <v>37</v>
      </c>
      <c r="F244" s="9">
        <v>45986.875</v>
      </c>
      <c r="G244" s="12">
        <v>87360</v>
      </c>
      <c r="H244" s="9">
        <v>45989.375</v>
      </c>
      <c r="I244" s="12">
        <v>91707.33</v>
      </c>
      <c r="J244" s="12">
        <v>0.12221</v>
      </c>
      <c r="K244" s="12">
        <v>10676.83</v>
      </c>
      <c r="L244">
        <v>16.41</v>
      </c>
      <c r="M244">
        <v>514.87</v>
      </c>
      <c r="N244" s="13">
        <v>4.82E-2</v>
      </c>
      <c r="O244" t="s">
        <v>57</v>
      </c>
      <c r="Q244">
        <f t="shared" si="62"/>
        <v>531.28719930000022</v>
      </c>
      <c r="R244">
        <f t="shared" si="63"/>
        <v>514.87719930000026</v>
      </c>
      <c r="S244">
        <f t="shared" si="64"/>
        <v>11207.5527993</v>
      </c>
      <c r="U244">
        <f t="shared" si="51"/>
        <v>1.8887000000000001E-2</v>
      </c>
      <c r="V244">
        <f t="shared" si="65"/>
        <v>1649.9683200000002</v>
      </c>
      <c r="W244">
        <f t="shared" si="52"/>
        <v>82.108021710000031</v>
      </c>
      <c r="X244">
        <f t="shared" si="53"/>
        <v>3.3820446617100006</v>
      </c>
      <c r="Y244">
        <f t="shared" si="54"/>
        <v>78.725977048290034</v>
      </c>
      <c r="Z244">
        <f t="shared" si="55"/>
        <v>49265.865603483202</v>
      </c>
      <c r="AB244">
        <f t="shared" si="56"/>
        <v>0.120126</v>
      </c>
      <c r="AC244">
        <f t="shared" si="57"/>
        <v>10494.20736</v>
      </c>
      <c r="AD244">
        <f t="shared" si="58"/>
        <v>522.2273635800002</v>
      </c>
      <c r="AE244">
        <f t="shared" si="59"/>
        <v>21.510642083580002</v>
      </c>
      <c r="AF244">
        <f t="shared" si="60"/>
        <v>500.71672149642018</v>
      </c>
      <c r="AG244">
        <f t="shared" si="66"/>
        <v>105443.02816716024</v>
      </c>
      <c r="AH244" t="b">
        <f t="shared" si="61"/>
        <v>1</v>
      </c>
    </row>
    <row r="245" spans="4:34" hidden="1" x14ac:dyDescent="0.4">
      <c r="D245" t="s">
        <v>40</v>
      </c>
      <c r="E245" t="s">
        <v>41</v>
      </c>
      <c r="F245" s="9">
        <v>45987.875</v>
      </c>
      <c r="G245">
        <v>520.92999999999995</v>
      </c>
      <c r="H245" s="9">
        <v>45989.208333333336</v>
      </c>
      <c r="I245">
        <v>470.75</v>
      </c>
      <c r="J245">
        <v>16.658999999999999</v>
      </c>
      <c r="K245" s="12">
        <v>8678.61</v>
      </c>
      <c r="L245">
        <v>12.39</v>
      </c>
      <c r="M245">
        <v>-848.34</v>
      </c>
      <c r="N245" s="13">
        <v>-9.7799999999999998E-2</v>
      </c>
      <c r="O245" t="s">
        <v>38</v>
      </c>
      <c r="Q245">
        <f t="shared" si="62"/>
        <v>-835.9486199999991</v>
      </c>
      <c r="R245">
        <f t="shared" si="63"/>
        <v>-848.33861999999908</v>
      </c>
      <c r="S245">
        <f t="shared" si="64"/>
        <v>7842.2242499999993</v>
      </c>
      <c r="U245">
        <f t="shared" si="51"/>
        <v>3.1674120000000001</v>
      </c>
      <c r="V245">
        <f t="shared" si="65"/>
        <v>1649.99993316</v>
      </c>
      <c r="W245">
        <f t="shared" si="52"/>
        <v>-158.94073415999983</v>
      </c>
      <c r="X245">
        <f t="shared" si="53"/>
        <v>3.1410591321600001</v>
      </c>
      <c r="Y245">
        <f t="shared" si="54"/>
        <v>-162.08179329215983</v>
      </c>
      <c r="Z245">
        <f t="shared" si="55"/>
        <v>49187.13962643491</v>
      </c>
      <c r="AB245">
        <f t="shared" si="56"/>
        <v>20.345037000000001</v>
      </c>
      <c r="AC245">
        <f t="shared" si="57"/>
        <v>10598.34012441</v>
      </c>
      <c r="AD245">
        <f t="shared" si="58"/>
        <v>-1020.913956659999</v>
      </c>
      <c r="AE245">
        <f t="shared" si="59"/>
        <v>20.175766292160002</v>
      </c>
      <c r="AF245">
        <f t="shared" si="60"/>
        <v>-1041.089722952159</v>
      </c>
      <c r="AG245">
        <f t="shared" si="66"/>
        <v>104942.31144566383</v>
      </c>
      <c r="AH245" t="b">
        <f t="shared" si="61"/>
        <v>1</v>
      </c>
    </row>
    <row r="246" spans="4:34" hidden="1" x14ac:dyDescent="0.4">
      <c r="D246" t="s">
        <v>43</v>
      </c>
      <c r="E246" t="s">
        <v>37</v>
      </c>
      <c r="F246" s="9">
        <v>45986.75</v>
      </c>
      <c r="G246">
        <v>1.4966999999999999</v>
      </c>
      <c r="H246" s="9">
        <v>45988.75</v>
      </c>
      <c r="I246">
        <v>1.5664</v>
      </c>
      <c r="J246" s="12">
        <v>1301.3</v>
      </c>
      <c r="K246" s="12">
        <v>1947.68</v>
      </c>
      <c r="L246">
        <v>2.99</v>
      </c>
      <c r="M246">
        <v>87.71</v>
      </c>
      <c r="N246" s="13">
        <v>4.4999999999999998E-2</v>
      </c>
      <c r="O246" t="s">
        <v>38</v>
      </c>
      <c r="Q246">
        <f t="shared" si="62"/>
        <v>90.700610000000125</v>
      </c>
      <c r="R246">
        <f t="shared" si="63"/>
        <v>87.710610000000131</v>
      </c>
      <c r="S246">
        <f t="shared" si="64"/>
        <v>2038.3563199999999</v>
      </c>
      <c r="U246">
        <f t="shared" si="51"/>
        <v>1102.425336</v>
      </c>
      <c r="V246">
        <f t="shared" si="65"/>
        <v>1650.0000003912</v>
      </c>
      <c r="W246">
        <f t="shared" si="52"/>
        <v>76.839045919200103</v>
      </c>
      <c r="X246">
        <f t="shared" si="53"/>
        <v>3.3768390467016003</v>
      </c>
      <c r="Y246">
        <f t="shared" si="54"/>
        <v>73.462206872498498</v>
      </c>
      <c r="Z246">
        <f t="shared" si="55"/>
        <v>49349.221419727066</v>
      </c>
      <c r="AB246">
        <f t="shared" si="56"/>
        <v>7049.7512930000003</v>
      </c>
      <c r="AC246">
        <f t="shared" si="57"/>
        <v>10551.3627602331</v>
      </c>
      <c r="AD246">
        <f t="shared" si="58"/>
        <v>491.36766512210068</v>
      </c>
      <c r="AE246">
        <f t="shared" si="59"/>
        <v>21.594093185588299</v>
      </c>
      <c r="AF246">
        <f t="shared" si="60"/>
        <v>469.77357193651238</v>
      </c>
      <c r="AG246">
        <f t="shared" si="66"/>
        <v>105983.40116861599</v>
      </c>
      <c r="AH246" t="b">
        <f t="shared" si="61"/>
        <v>1</v>
      </c>
    </row>
    <row r="247" spans="4:34" hidden="1" x14ac:dyDescent="0.4">
      <c r="D247" t="s">
        <v>58</v>
      </c>
      <c r="E247" t="s">
        <v>37</v>
      </c>
      <c r="F247" s="9">
        <v>45986.708333333336</v>
      </c>
      <c r="G247">
        <v>12.93</v>
      </c>
      <c r="H247" s="9">
        <v>45988.708333333336</v>
      </c>
      <c r="I247">
        <v>13.48</v>
      </c>
      <c r="J247">
        <v>575.58000000000004</v>
      </c>
      <c r="K247" s="12">
        <v>7442.26</v>
      </c>
      <c r="L247">
        <v>11.4</v>
      </c>
      <c r="M247">
        <v>305.17</v>
      </c>
      <c r="N247" s="13">
        <v>4.1000000000000002E-2</v>
      </c>
      <c r="O247" t="s">
        <v>38</v>
      </c>
      <c r="Q247">
        <f t="shared" si="62"/>
        <v>316.56900000000041</v>
      </c>
      <c r="R247">
        <f t="shared" si="63"/>
        <v>305.16900000000044</v>
      </c>
      <c r="S247">
        <f t="shared" si="64"/>
        <v>7758.818400000001</v>
      </c>
      <c r="U247">
        <f t="shared" si="51"/>
        <v>127.610209</v>
      </c>
      <c r="V247">
        <f t="shared" si="65"/>
        <v>1650.0000023699999</v>
      </c>
      <c r="W247">
        <f t="shared" si="52"/>
        <v>70.185614950000087</v>
      </c>
      <c r="X247">
        <f t="shared" si="53"/>
        <v>3.37018561969</v>
      </c>
      <c r="Y247">
        <f t="shared" si="54"/>
        <v>66.815429330310081</v>
      </c>
      <c r="Z247">
        <f t="shared" si="55"/>
        <v>49275.759212854566</v>
      </c>
      <c r="AB247">
        <f t="shared" si="56"/>
        <v>812.74618599999997</v>
      </c>
      <c r="AC247">
        <f t="shared" si="57"/>
        <v>10508.80818498</v>
      </c>
      <c r="AD247">
        <f t="shared" si="58"/>
        <v>447.01040230000058</v>
      </c>
      <c r="AE247">
        <f t="shared" si="59"/>
        <v>21.464626772259997</v>
      </c>
      <c r="AF247">
        <f t="shared" si="60"/>
        <v>425.5457755277406</v>
      </c>
      <c r="AG247">
        <f t="shared" si="66"/>
        <v>105513.62759667948</v>
      </c>
      <c r="AH247" t="b">
        <f t="shared" si="61"/>
        <v>1</v>
      </c>
    </row>
    <row r="248" spans="4:34" hidden="1" x14ac:dyDescent="0.4">
      <c r="D248" t="s">
        <v>48</v>
      </c>
      <c r="E248" t="s">
        <v>37</v>
      </c>
      <c r="F248" s="9">
        <v>45986.583333333336</v>
      </c>
      <c r="G248">
        <v>0.14099999999999999</v>
      </c>
      <c r="H248" s="9">
        <v>45988.583333333336</v>
      </c>
      <c r="I248">
        <v>0.1381</v>
      </c>
      <c r="J248" s="12">
        <v>31536</v>
      </c>
      <c r="K248" s="12">
        <v>4446.58</v>
      </c>
      <c r="L248">
        <v>6.6</v>
      </c>
      <c r="M248">
        <v>-98.06</v>
      </c>
      <c r="N248" s="13">
        <v>-2.2100000000000002E-2</v>
      </c>
      <c r="O248" t="s">
        <v>38</v>
      </c>
      <c r="Q248">
        <f t="shared" si="62"/>
        <v>-91.454399999999552</v>
      </c>
      <c r="R248">
        <f t="shared" si="63"/>
        <v>-98.054399999999546</v>
      </c>
      <c r="S248">
        <f t="shared" si="64"/>
        <v>4355.1216000000004</v>
      </c>
      <c r="U248">
        <f t="shared" si="51"/>
        <v>11702.12766</v>
      </c>
      <c r="V248">
        <f t="shared" si="65"/>
        <v>1650.0000000599998</v>
      </c>
      <c r="W248">
        <f t="shared" si="52"/>
        <v>-33.936170213999837</v>
      </c>
      <c r="X248">
        <f t="shared" si="53"/>
        <v>3.2660638299060003</v>
      </c>
      <c r="Y248">
        <f t="shared" si="54"/>
        <v>-37.20223404390584</v>
      </c>
      <c r="Z248">
        <f t="shared" si="55"/>
        <v>49208.943783524257</v>
      </c>
      <c r="AB248">
        <f t="shared" si="56"/>
        <v>74698.976836000002</v>
      </c>
      <c r="AC248">
        <f t="shared" si="57"/>
        <v>10532.555733875999</v>
      </c>
      <c r="AD248">
        <f t="shared" si="58"/>
        <v>-216.62703282439895</v>
      </c>
      <c r="AE248">
        <f t="shared" si="59"/>
        <v>20.848484434927602</v>
      </c>
      <c r="AF248">
        <f t="shared" si="60"/>
        <v>-237.47551725932655</v>
      </c>
      <c r="AG248">
        <f t="shared" si="66"/>
        <v>105088.08182115173</v>
      </c>
      <c r="AH248" t="b">
        <f t="shared" si="61"/>
        <v>1</v>
      </c>
    </row>
    <row r="249" spans="4:34" hidden="1" x14ac:dyDescent="0.4">
      <c r="D249" t="s">
        <v>54</v>
      </c>
      <c r="E249" t="s">
        <v>37</v>
      </c>
      <c r="F249" s="9">
        <v>45986.458333333336</v>
      </c>
      <c r="G249">
        <v>136.63999999999999</v>
      </c>
      <c r="H249" s="9">
        <v>45988.458333333336</v>
      </c>
      <c r="I249">
        <v>142.31</v>
      </c>
      <c r="J249">
        <v>37.268000000000001</v>
      </c>
      <c r="K249" s="12">
        <v>5092.3999999999996</v>
      </c>
      <c r="L249">
        <v>7.8</v>
      </c>
      <c r="M249">
        <v>203.51</v>
      </c>
      <c r="N249" s="13">
        <v>0.04</v>
      </c>
      <c r="O249" t="s">
        <v>38</v>
      </c>
      <c r="Q249">
        <f t="shared" si="62"/>
        <v>211.3095600000006</v>
      </c>
      <c r="R249">
        <f t="shared" si="63"/>
        <v>203.50956000000059</v>
      </c>
      <c r="S249">
        <f t="shared" si="64"/>
        <v>5303.6090800000002</v>
      </c>
      <c r="U249">
        <f t="shared" si="51"/>
        <v>12.075526999999999</v>
      </c>
      <c r="V249">
        <f t="shared" si="65"/>
        <v>1650.0000092799996</v>
      </c>
      <c r="W249">
        <f t="shared" si="52"/>
        <v>68.468238090000185</v>
      </c>
      <c r="X249">
        <f t="shared" si="53"/>
        <v>3.3684682566499995</v>
      </c>
      <c r="Y249">
        <f t="shared" si="54"/>
        <v>65.09976983335018</v>
      </c>
      <c r="Z249">
        <f t="shared" si="55"/>
        <v>49246.146017568164</v>
      </c>
      <c r="AB249">
        <f t="shared" si="56"/>
        <v>76.779591999999994</v>
      </c>
      <c r="AC249">
        <f t="shared" si="57"/>
        <v>10491.163450879998</v>
      </c>
      <c r="AD249">
        <f t="shared" si="58"/>
        <v>435.34028664000118</v>
      </c>
      <c r="AE249">
        <f t="shared" si="59"/>
        <v>21.417667188399996</v>
      </c>
      <c r="AF249">
        <f t="shared" si="60"/>
        <v>413.92261945160118</v>
      </c>
      <c r="AG249">
        <f t="shared" si="66"/>
        <v>105325.55733841106</v>
      </c>
      <c r="AH249" t="b">
        <f t="shared" si="61"/>
        <v>1</v>
      </c>
    </row>
    <row r="250" spans="4:34" hidden="1" x14ac:dyDescent="0.4">
      <c r="D250" t="s">
        <v>50</v>
      </c>
      <c r="E250" t="s">
        <v>37</v>
      </c>
      <c r="F250" s="9">
        <v>45986.416666666664</v>
      </c>
      <c r="G250">
        <v>292.5</v>
      </c>
      <c r="H250" s="9">
        <v>45988.416666666664</v>
      </c>
      <c r="I250">
        <v>306.7</v>
      </c>
      <c r="J250" s="12">
        <v>47.5139</v>
      </c>
      <c r="K250" s="12">
        <v>13897.82</v>
      </c>
      <c r="L250">
        <v>21.35</v>
      </c>
      <c r="M250">
        <v>653.34</v>
      </c>
      <c r="N250" s="13">
        <v>4.7E-2</v>
      </c>
      <c r="O250" t="s">
        <v>38</v>
      </c>
      <c r="Q250">
        <f t="shared" si="62"/>
        <v>674.6973799999995</v>
      </c>
      <c r="R250">
        <f t="shared" si="63"/>
        <v>653.34737999999948</v>
      </c>
      <c r="S250">
        <f t="shared" si="64"/>
        <v>14572.513129999999</v>
      </c>
      <c r="U250">
        <f t="shared" si="51"/>
        <v>5.6410260000000001</v>
      </c>
      <c r="V250">
        <f t="shared" si="65"/>
        <v>1650.0001050000001</v>
      </c>
      <c r="W250">
        <f t="shared" si="52"/>
        <v>80.102569199999934</v>
      </c>
      <c r="X250">
        <f t="shared" si="53"/>
        <v>3.3801027792000005</v>
      </c>
      <c r="Y250">
        <f t="shared" si="54"/>
        <v>76.722466420799933</v>
      </c>
      <c r="Z250">
        <f t="shared" si="55"/>
        <v>49181.046247734812</v>
      </c>
      <c r="AB250">
        <f t="shared" si="56"/>
        <v>35.701219999999999</v>
      </c>
      <c r="AC250">
        <f t="shared" si="57"/>
        <v>10442.60685</v>
      </c>
      <c r="AD250">
        <f t="shared" si="58"/>
        <v>506.95732399999957</v>
      </c>
      <c r="AE250">
        <f t="shared" si="59"/>
        <v>21.392171024000003</v>
      </c>
      <c r="AF250">
        <f t="shared" si="60"/>
        <v>485.56515297599958</v>
      </c>
      <c r="AG250">
        <f t="shared" si="66"/>
        <v>104911.63471895947</v>
      </c>
      <c r="AH250" t="b">
        <f t="shared" si="61"/>
        <v>1</v>
      </c>
    </row>
    <row r="251" spans="4:34" hidden="1" x14ac:dyDescent="0.4">
      <c r="D251" t="s">
        <v>61</v>
      </c>
      <c r="E251" t="s">
        <v>37</v>
      </c>
      <c r="F251" s="9">
        <v>45986.208333333336</v>
      </c>
      <c r="G251">
        <v>0.42609999999999998</v>
      </c>
      <c r="H251" s="9">
        <v>45988.208333333336</v>
      </c>
      <c r="I251">
        <v>0.43359999999999999</v>
      </c>
      <c r="J251" s="12">
        <v>20017.2</v>
      </c>
      <c r="K251" s="12">
        <v>8529.3700000000008</v>
      </c>
      <c r="L251">
        <v>12.91</v>
      </c>
      <c r="M251">
        <v>137.22</v>
      </c>
      <c r="N251" s="13">
        <v>1.61E-2</v>
      </c>
      <c r="O251" t="s">
        <v>38</v>
      </c>
      <c r="Q251">
        <f t="shared" si="62"/>
        <v>150.12900000000013</v>
      </c>
      <c r="R251">
        <f t="shared" si="63"/>
        <v>137.21900000000014</v>
      </c>
      <c r="S251">
        <f t="shared" si="64"/>
        <v>8679.4579200000007</v>
      </c>
      <c r="U251">
        <f t="shared" si="51"/>
        <v>3872.3304389999998</v>
      </c>
      <c r="V251">
        <f t="shared" si="65"/>
        <v>1650.0000000578998</v>
      </c>
      <c r="W251">
        <f t="shared" si="52"/>
        <v>29.042478292500025</v>
      </c>
      <c r="X251">
        <f t="shared" si="53"/>
        <v>3.3290424784082995</v>
      </c>
      <c r="Y251">
        <f t="shared" si="54"/>
        <v>25.713435814091724</v>
      </c>
      <c r="Z251">
        <f t="shared" si="55"/>
        <v>49104.323781314015</v>
      </c>
      <c r="AB251">
        <f t="shared" si="56"/>
        <v>24469.276279999998</v>
      </c>
      <c r="AC251">
        <f t="shared" si="57"/>
        <v>10426.358622907999</v>
      </c>
      <c r="AD251">
        <f t="shared" si="58"/>
        <v>183.51957210000015</v>
      </c>
      <c r="AE251">
        <f t="shared" si="59"/>
        <v>21.036236817915995</v>
      </c>
      <c r="AF251">
        <f t="shared" si="60"/>
        <v>162.48333528208414</v>
      </c>
      <c r="AG251">
        <f t="shared" si="66"/>
        <v>104426.06956598347</v>
      </c>
      <c r="AH251" t="b">
        <f t="shared" si="61"/>
        <v>1</v>
      </c>
    </row>
    <row r="252" spans="4:34" hidden="1" x14ac:dyDescent="0.4">
      <c r="D252" t="s">
        <v>53</v>
      </c>
      <c r="E252" t="s">
        <v>37</v>
      </c>
      <c r="F252" s="9">
        <v>45986.208333333336</v>
      </c>
      <c r="G252" s="12">
        <v>863.35</v>
      </c>
      <c r="H252" s="9">
        <v>45988.208333333336</v>
      </c>
      <c r="I252" s="12">
        <v>896</v>
      </c>
      <c r="J252">
        <v>11.423</v>
      </c>
      <c r="K252" s="12">
        <v>9862.68</v>
      </c>
      <c r="L252">
        <v>15.07</v>
      </c>
      <c r="M252">
        <v>357.89</v>
      </c>
      <c r="N252" s="13">
        <v>3.6299999999999999E-2</v>
      </c>
      <c r="O252" t="s">
        <v>38</v>
      </c>
      <c r="Q252">
        <f t="shared" si="62"/>
        <v>372.96094999999974</v>
      </c>
      <c r="R252">
        <f t="shared" si="63"/>
        <v>357.89094999999975</v>
      </c>
      <c r="S252">
        <f t="shared" si="64"/>
        <v>10235.008</v>
      </c>
      <c r="U252">
        <f t="shared" si="51"/>
        <v>1.91116</v>
      </c>
      <c r="V252">
        <f t="shared" si="65"/>
        <v>1649.999986</v>
      </c>
      <c r="W252">
        <f t="shared" si="52"/>
        <v>62.399373999999959</v>
      </c>
      <c r="X252">
        <f t="shared" si="53"/>
        <v>3.3623993459999997</v>
      </c>
      <c r="Y252">
        <f t="shared" si="54"/>
        <v>59.036974653999962</v>
      </c>
      <c r="Z252">
        <f t="shared" si="55"/>
        <v>49078.610345499925</v>
      </c>
      <c r="AB252">
        <f t="shared" si="56"/>
        <v>12.033574</v>
      </c>
      <c r="AC252">
        <f t="shared" si="57"/>
        <v>10389.186112900001</v>
      </c>
      <c r="AD252">
        <f t="shared" si="58"/>
        <v>392.89619109999973</v>
      </c>
      <c r="AE252">
        <f t="shared" si="59"/>
        <v>21.171268416899998</v>
      </c>
      <c r="AF252">
        <f t="shared" si="60"/>
        <v>371.72492268309975</v>
      </c>
      <c r="AG252">
        <f t="shared" si="66"/>
        <v>104263.58623070139</v>
      </c>
      <c r="AH252" t="b">
        <f t="shared" si="61"/>
        <v>1</v>
      </c>
    </row>
    <row r="253" spans="4:34" hidden="1" x14ac:dyDescent="0.4">
      <c r="D253" t="s">
        <v>52</v>
      </c>
      <c r="E253" t="s">
        <v>37</v>
      </c>
      <c r="F253" s="9">
        <v>45985.625</v>
      </c>
      <c r="G253" s="12">
        <v>3.9359999999999999</v>
      </c>
      <c r="H253" s="9">
        <v>45987.625</v>
      </c>
      <c r="I253" s="12">
        <v>4.1539999999999999</v>
      </c>
      <c r="J253">
        <v>676.62</v>
      </c>
      <c r="K253" s="12">
        <v>2663.19</v>
      </c>
      <c r="L253">
        <v>4.1100000000000003</v>
      </c>
      <c r="M253">
        <v>143.4</v>
      </c>
      <c r="N253" s="13">
        <v>5.3800000000000001E-2</v>
      </c>
      <c r="O253" t="s">
        <v>38</v>
      </c>
      <c r="Q253">
        <f t="shared" si="62"/>
        <v>147.50315999999998</v>
      </c>
      <c r="R253">
        <f t="shared" si="63"/>
        <v>143.39315999999997</v>
      </c>
      <c r="S253">
        <f t="shared" si="64"/>
        <v>2810.6794799999998</v>
      </c>
      <c r="U253">
        <f t="shared" si="51"/>
        <v>419.20731699999999</v>
      </c>
      <c r="V253">
        <f t="shared" si="65"/>
        <v>1649.9999997119999</v>
      </c>
      <c r="W253">
        <f t="shared" si="52"/>
        <v>91.387195105999979</v>
      </c>
      <c r="X253">
        <f t="shared" si="53"/>
        <v>3.39138719453</v>
      </c>
      <c r="Y253">
        <f t="shared" si="54"/>
        <v>87.995807911469981</v>
      </c>
      <c r="Z253">
        <f t="shared" si="55"/>
        <v>49019.573370845923</v>
      </c>
      <c r="AB253">
        <f t="shared" si="56"/>
        <v>2625.5268540000002</v>
      </c>
      <c r="AC253">
        <f t="shared" si="57"/>
        <v>10334.073697344</v>
      </c>
      <c r="AD253">
        <f t="shared" si="58"/>
        <v>572.36485417199992</v>
      </c>
      <c r="AE253">
        <f t="shared" si="59"/>
        <v>21.24051224886</v>
      </c>
      <c r="AF253">
        <f t="shared" si="60"/>
        <v>551.12434192313992</v>
      </c>
      <c r="AG253">
        <f t="shared" si="66"/>
        <v>103891.86130801828</v>
      </c>
      <c r="AH253" t="b">
        <f t="shared" si="61"/>
        <v>1</v>
      </c>
    </row>
    <row r="254" spans="4:34" hidden="1" x14ac:dyDescent="0.4">
      <c r="D254" t="s">
        <v>55</v>
      </c>
      <c r="E254" t="s">
        <v>37</v>
      </c>
      <c r="F254" s="9">
        <v>45985.583333333336</v>
      </c>
      <c r="G254" s="12">
        <v>2.6639999999999999E-5</v>
      </c>
      <c r="H254" s="9">
        <v>45987.583333333336</v>
      </c>
      <c r="I254" s="12">
        <v>2.73E-5</v>
      </c>
      <c r="J254" s="12">
        <v>220194296.44</v>
      </c>
      <c r="K254" s="12">
        <v>5865.98</v>
      </c>
      <c r="L254">
        <v>8.91</v>
      </c>
      <c r="M254">
        <v>136.41999999999999</v>
      </c>
      <c r="N254" s="13">
        <v>2.3300000000000001E-2</v>
      </c>
      <c r="O254" t="s">
        <v>38</v>
      </c>
      <c r="Q254">
        <f t="shared" si="62"/>
        <v>145.3282356504001</v>
      </c>
      <c r="R254">
        <f t="shared" si="63"/>
        <v>136.41823565040011</v>
      </c>
      <c r="S254">
        <f t="shared" si="64"/>
        <v>6011.3042928119994</v>
      </c>
      <c r="U254">
        <f t="shared" si="51"/>
        <v>61936936.936936997</v>
      </c>
      <c r="V254">
        <f t="shared" si="65"/>
        <v>1650.0000000000016</v>
      </c>
      <c r="W254">
        <f t="shared" si="52"/>
        <v>40.878378378378443</v>
      </c>
      <c r="X254">
        <f t="shared" si="53"/>
        <v>3.340878378378382</v>
      </c>
      <c r="Y254">
        <f t="shared" si="54"/>
        <v>37.537500000000058</v>
      </c>
      <c r="Z254">
        <f t="shared" si="55"/>
        <v>48931.57756293445</v>
      </c>
      <c r="AB254">
        <f t="shared" si="56"/>
        <v>387035174.28066999</v>
      </c>
      <c r="AC254">
        <f t="shared" si="57"/>
        <v>10310.617042837048</v>
      </c>
      <c r="AD254">
        <f t="shared" si="58"/>
        <v>255.44321502524238</v>
      </c>
      <c r="AE254">
        <f t="shared" si="59"/>
        <v>20.876677300699342</v>
      </c>
      <c r="AF254">
        <f t="shared" si="60"/>
        <v>234.56653772454302</v>
      </c>
      <c r="AG254">
        <f t="shared" si="66"/>
        <v>103340.73696609514</v>
      </c>
      <c r="AH254" t="b">
        <f t="shared" si="61"/>
        <v>1</v>
      </c>
    </row>
    <row r="255" spans="4:34" hidden="1" x14ac:dyDescent="0.4">
      <c r="D255" t="s">
        <v>56</v>
      </c>
      <c r="E255" t="s">
        <v>37</v>
      </c>
      <c r="F255" s="9">
        <v>45984.416666666664</v>
      </c>
      <c r="G255" s="12">
        <v>2815.8</v>
      </c>
      <c r="H255" s="9">
        <v>45986.916666666664</v>
      </c>
      <c r="I255" s="12">
        <v>2930.99</v>
      </c>
      <c r="J255">
        <v>2.0766</v>
      </c>
      <c r="K255" s="12">
        <v>5847.4</v>
      </c>
      <c r="L255">
        <v>8.9499999999999993</v>
      </c>
      <c r="M255">
        <v>230.25</v>
      </c>
      <c r="N255" s="13">
        <v>3.9399999999999998E-2</v>
      </c>
      <c r="O255" t="s">
        <v>57</v>
      </c>
      <c r="Q255">
        <f t="shared" si="62"/>
        <v>239.20355399999917</v>
      </c>
      <c r="R255">
        <f t="shared" si="63"/>
        <v>230.25355399999918</v>
      </c>
      <c r="S255">
        <f t="shared" si="64"/>
        <v>6086.4938339999999</v>
      </c>
      <c r="U255">
        <f t="shared" si="51"/>
        <v>0.58597900000000003</v>
      </c>
      <c r="V255">
        <f t="shared" si="65"/>
        <v>1649.9996682000001</v>
      </c>
      <c r="W255">
        <f t="shared" si="52"/>
        <v>67.498921009999762</v>
      </c>
      <c r="X255">
        <f t="shared" si="53"/>
        <v>3.3674982574099999</v>
      </c>
      <c r="Y255">
        <f t="shared" si="54"/>
        <v>64.131422752589756</v>
      </c>
      <c r="Z255">
        <f t="shared" si="55"/>
        <v>48894.040062934451</v>
      </c>
      <c r="AB255">
        <f t="shared" si="56"/>
        <v>3.6475240000000002</v>
      </c>
      <c r="AC255">
        <f t="shared" si="57"/>
        <v>10270.698079200001</v>
      </c>
      <c r="AD255">
        <f t="shared" si="58"/>
        <v>420.15828955999854</v>
      </c>
      <c r="AE255">
        <f t="shared" si="59"/>
        <v>20.961554447960001</v>
      </c>
      <c r="AF255">
        <f t="shared" si="60"/>
        <v>399.19673511203854</v>
      </c>
      <c r="AG255">
        <f t="shared" si="66"/>
        <v>103106.17042837059</v>
      </c>
      <c r="AH255" t="b">
        <f t="shared" si="61"/>
        <v>1</v>
      </c>
    </row>
    <row r="256" spans="4:34" hidden="1" x14ac:dyDescent="0.4">
      <c r="D256" t="s">
        <v>60</v>
      </c>
      <c r="E256" t="s">
        <v>37</v>
      </c>
      <c r="F256" s="9">
        <v>45984.375</v>
      </c>
      <c r="G256">
        <v>2.0369999999999999</v>
      </c>
      <c r="H256" s="9">
        <v>45986.875</v>
      </c>
      <c r="I256">
        <v>2.1964000000000001</v>
      </c>
      <c r="J256" s="12">
        <v>1110.0999999999999</v>
      </c>
      <c r="K256" s="12">
        <v>2261.4299999999998</v>
      </c>
      <c r="L256">
        <v>3.52</v>
      </c>
      <c r="M256">
        <v>173.43</v>
      </c>
      <c r="N256" s="13">
        <v>7.6700000000000004E-2</v>
      </c>
      <c r="O256" t="s">
        <v>57</v>
      </c>
      <c r="Q256">
        <f t="shared" si="62"/>
        <v>176.94994000000023</v>
      </c>
      <c r="R256">
        <f t="shared" si="63"/>
        <v>173.42994000000022</v>
      </c>
      <c r="S256">
        <f t="shared" si="64"/>
        <v>2438.2236400000002</v>
      </c>
      <c r="U256">
        <f t="shared" si="51"/>
        <v>810.01472799999999</v>
      </c>
      <c r="V256">
        <f t="shared" si="65"/>
        <v>1650.0000009359999</v>
      </c>
      <c r="W256">
        <f t="shared" si="52"/>
        <v>129.11634764320016</v>
      </c>
      <c r="X256">
        <f t="shared" si="53"/>
        <v>3.4291163495151999</v>
      </c>
      <c r="Y256">
        <f t="shared" si="54"/>
        <v>125.68723129368496</v>
      </c>
      <c r="Z256">
        <f t="shared" si="55"/>
        <v>48829.908640181864</v>
      </c>
      <c r="AB256">
        <f t="shared" si="56"/>
        <v>5003.9532289999997</v>
      </c>
      <c r="AC256">
        <f t="shared" si="57"/>
        <v>10193.052727472999</v>
      </c>
      <c r="AD256">
        <f t="shared" si="58"/>
        <v>797.630144702601</v>
      </c>
      <c r="AE256">
        <f t="shared" si="59"/>
        <v>21.1837355996486</v>
      </c>
      <c r="AF256">
        <f t="shared" si="60"/>
        <v>776.44640910295243</v>
      </c>
      <c r="AG256">
        <f t="shared" si="66"/>
        <v>102706.97369325855</v>
      </c>
      <c r="AH256" t="b">
        <f t="shared" si="61"/>
        <v>1</v>
      </c>
    </row>
    <row r="257" spans="4:34" hidden="1" x14ac:dyDescent="0.4">
      <c r="D257" t="s">
        <v>59</v>
      </c>
      <c r="E257" t="s">
        <v>37</v>
      </c>
      <c r="F257" s="9">
        <v>45984.375</v>
      </c>
      <c r="G257" s="12">
        <v>86115.99</v>
      </c>
      <c r="H257" s="9">
        <v>45986.875</v>
      </c>
      <c r="I257" s="12">
        <v>87360</v>
      </c>
      <c r="J257" s="12">
        <v>0.12382</v>
      </c>
      <c r="K257" s="12">
        <v>10663.04</v>
      </c>
      <c r="L257">
        <v>16.11</v>
      </c>
      <c r="M257">
        <v>137.91999999999999</v>
      </c>
      <c r="N257" s="13">
        <v>1.29E-2</v>
      </c>
      <c r="O257" t="s">
        <v>57</v>
      </c>
      <c r="Q257">
        <f t="shared" si="62"/>
        <v>154.03331819999934</v>
      </c>
      <c r="R257">
        <f t="shared" si="63"/>
        <v>137.92331819999936</v>
      </c>
      <c r="S257">
        <f t="shared" si="64"/>
        <v>10816.915199999999</v>
      </c>
      <c r="U257">
        <f t="shared" si="51"/>
        <v>1.916E-2</v>
      </c>
      <c r="V257">
        <f t="shared" si="65"/>
        <v>1649.9823684</v>
      </c>
      <c r="W257">
        <f t="shared" si="52"/>
        <v>23.835231599999901</v>
      </c>
      <c r="X257">
        <f t="shared" si="53"/>
        <v>3.3237999683999999</v>
      </c>
      <c r="Y257">
        <f t="shared" si="54"/>
        <v>20.511431631599901</v>
      </c>
      <c r="Z257">
        <f t="shared" si="55"/>
        <v>48704.221408888181</v>
      </c>
      <c r="AB257">
        <f t="shared" si="56"/>
        <v>0.118217</v>
      </c>
      <c r="AC257">
        <f t="shared" si="57"/>
        <v>10180.373989830001</v>
      </c>
      <c r="AD257">
        <f t="shared" si="58"/>
        <v>147.0631301699994</v>
      </c>
      <c r="AE257">
        <f t="shared" si="59"/>
        <v>20.507811109830001</v>
      </c>
      <c r="AF257">
        <f t="shared" si="60"/>
        <v>126.5553190601694</v>
      </c>
      <c r="AG257">
        <f t="shared" si="66"/>
        <v>101930.5272841556</v>
      </c>
      <c r="AH257" t="b">
        <f t="shared" si="61"/>
        <v>1</v>
      </c>
    </row>
    <row r="258" spans="4:34" hidden="1" x14ac:dyDescent="0.4">
      <c r="D258" t="s">
        <v>43</v>
      </c>
      <c r="E258" t="s">
        <v>37</v>
      </c>
      <c r="F258" s="9">
        <v>45984.666666666664</v>
      </c>
      <c r="G258">
        <v>1.3751</v>
      </c>
      <c r="H258" s="9">
        <v>45986.666666666664</v>
      </c>
      <c r="I258">
        <v>1.4863999999999999</v>
      </c>
      <c r="J258" s="12">
        <v>1405.2</v>
      </c>
      <c r="K258" s="12">
        <v>1932.34</v>
      </c>
      <c r="L258">
        <v>3.02</v>
      </c>
      <c r="M258">
        <v>153.38</v>
      </c>
      <c r="N258" s="13">
        <v>7.9399999999999998E-2</v>
      </c>
      <c r="O258" t="s">
        <v>38</v>
      </c>
      <c r="Q258">
        <f t="shared" si="62"/>
        <v>156.39875999999995</v>
      </c>
      <c r="R258">
        <f t="shared" si="63"/>
        <v>153.37875999999994</v>
      </c>
      <c r="S258">
        <f t="shared" si="64"/>
        <v>2088.6892800000001</v>
      </c>
      <c r="U258">
        <f t="shared" si="51"/>
        <v>1199.912734</v>
      </c>
      <c r="V258">
        <f t="shared" si="65"/>
        <v>1650.0000005233999</v>
      </c>
      <c r="W258">
        <f t="shared" si="52"/>
        <v>133.55028729419993</v>
      </c>
      <c r="X258">
        <f t="shared" si="53"/>
        <v>3.4335502883409998</v>
      </c>
      <c r="Y258">
        <f t="shared" si="54"/>
        <v>130.11673700585894</v>
      </c>
      <c r="Z258">
        <f t="shared" si="55"/>
        <v>48683.709977256578</v>
      </c>
      <c r="AB258">
        <f t="shared" si="56"/>
        <v>7345.4615039999999</v>
      </c>
      <c r="AC258">
        <f t="shared" si="57"/>
        <v>10100.7441141504</v>
      </c>
      <c r="AD258">
        <f t="shared" si="58"/>
        <v>817.54986539519962</v>
      </c>
      <c r="AE258">
        <f t="shared" si="59"/>
        <v>21.019038093696</v>
      </c>
      <c r="AF258">
        <f t="shared" si="60"/>
        <v>796.53082730150356</v>
      </c>
      <c r="AG258">
        <f t="shared" si="66"/>
        <v>101803.97196509544</v>
      </c>
      <c r="AH258" t="b">
        <f t="shared" si="61"/>
        <v>1</v>
      </c>
    </row>
    <row r="259" spans="4:34" hidden="1" x14ac:dyDescent="0.4">
      <c r="D259" t="s">
        <v>58</v>
      </c>
      <c r="E259" t="s">
        <v>37</v>
      </c>
      <c r="F259" s="9">
        <v>45984.666666666664</v>
      </c>
      <c r="G259">
        <v>12.68</v>
      </c>
      <c r="H259" s="9">
        <v>45986.666666666664</v>
      </c>
      <c r="I259">
        <v>12.73</v>
      </c>
      <c r="J259" s="12">
        <v>586.78</v>
      </c>
      <c r="K259" s="12">
        <v>7440.44</v>
      </c>
      <c r="L259">
        <v>11.18</v>
      </c>
      <c r="M259">
        <v>18.16</v>
      </c>
      <c r="N259" s="13">
        <v>2.3999999999999998E-3</v>
      </c>
      <c r="O259" t="s">
        <v>38</v>
      </c>
      <c r="Q259">
        <f t="shared" si="62"/>
        <v>29.339000000000414</v>
      </c>
      <c r="R259">
        <f t="shared" si="63"/>
        <v>18.159000000000415</v>
      </c>
      <c r="S259">
        <f t="shared" si="64"/>
        <v>7469.7093999999997</v>
      </c>
      <c r="U259">
        <f t="shared" si="51"/>
        <v>130.126183</v>
      </c>
      <c r="V259">
        <f t="shared" si="65"/>
        <v>1650.0000004399999</v>
      </c>
      <c r="W259">
        <f t="shared" si="52"/>
        <v>6.5063091500000922</v>
      </c>
      <c r="X259">
        <f t="shared" si="53"/>
        <v>3.3065063100300001</v>
      </c>
      <c r="Y259">
        <f t="shared" si="54"/>
        <v>3.1998028399700922</v>
      </c>
      <c r="Z259">
        <f t="shared" si="55"/>
        <v>48553.593240250717</v>
      </c>
      <c r="AB259">
        <f t="shared" si="56"/>
        <v>796.43420200000003</v>
      </c>
      <c r="AC259">
        <f t="shared" si="57"/>
        <v>10098.785681359999</v>
      </c>
      <c r="AD259">
        <f t="shared" si="58"/>
        <v>39.821710100000566</v>
      </c>
      <c r="AE259">
        <f t="shared" si="59"/>
        <v>20.237393072820002</v>
      </c>
      <c r="AF259">
        <f t="shared" si="60"/>
        <v>19.584317027180564</v>
      </c>
      <c r="AG259">
        <f t="shared" si="66"/>
        <v>101007.44113779393</v>
      </c>
      <c r="AH259" t="b">
        <f t="shared" si="61"/>
        <v>1</v>
      </c>
    </row>
    <row r="260" spans="4:34" hidden="1" x14ac:dyDescent="0.4">
      <c r="D260" t="s">
        <v>54</v>
      </c>
      <c r="E260" t="s">
        <v>37</v>
      </c>
      <c r="F260" s="9">
        <v>45984.375</v>
      </c>
      <c r="G260">
        <v>129.63</v>
      </c>
      <c r="H260" s="9">
        <v>45986.375</v>
      </c>
      <c r="I260">
        <v>135.44</v>
      </c>
      <c r="J260">
        <v>39.113999999999997</v>
      </c>
      <c r="K260" s="12">
        <v>5070.45</v>
      </c>
      <c r="L260">
        <v>7.78</v>
      </c>
      <c r="M260">
        <v>219.48</v>
      </c>
      <c r="N260" s="13">
        <v>4.3299999999999998E-2</v>
      </c>
      <c r="O260" t="s">
        <v>38</v>
      </c>
      <c r="Q260">
        <f t="shared" si="62"/>
        <v>227.25234000000006</v>
      </c>
      <c r="R260">
        <f t="shared" si="63"/>
        <v>219.47234000000006</v>
      </c>
      <c r="S260">
        <f t="shared" si="64"/>
        <v>5297.60016</v>
      </c>
      <c r="U260">
        <f t="shared" si="51"/>
        <v>12.728535000000001</v>
      </c>
      <c r="V260">
        <f t="shared" si="65"/>
        <v>1649.9999920499999</v>
      </c>
      <c r="W260">
        <f t="shared" si="52"/>
        <v>73.952788350000034</v>
      </c>
      <c r="X260">
        <f t="shared" si="53"/>
        <v>3.37395277245</v>
      </c>
      <c r="Y260">
        <f t="shared" si="54"/>
        <v>70.578835577550038</v>
      </c>
      <c r="Z260">
        <f t="shared" si="55"/>
        <v>48550.393437410748</v>
      </c>
      <c r="AB260">
        <f t="shared" si="56"/>
        <v>77.572877000000005</v>
      </c>
      <c r="AC260">
        <f t="shared" si="57"/>
        <v>10055.772045510001</v>
      </c>
      <c r="AD260">
        <f t="shared" si="58"/>
        <v>450.69841537000019</v>
      </c>
      <c r="AE260">
        <f t="shared" si="59"/>
        <v>20.56224250639</v>
      </c>
      <c r="AF260">
        <f t="shared" si="60"/>
        <v>430.13617286361017</v>
      </c>
      <c r="AG260">
        <f t="shared" si="66"/>
        <v>100987.85682076674</v>
      </c>
      <c r="AH260" t="b">
        <f t="shared" si="61"/>
        <v>1</v>
      </c>
    </row>
    <row r="261" spans="4:34" hidden="1" x14ac:dyDescent="0.4">
      <c r="D261" t="s">
        <v>50</v>
      </c>
      <c r="E261" t="s">
        <v>37</v>
      </c>
      <c r="F261" s="9">
        <v>45984.375</v>
      </c>
      <c r="G261">
        <v>280.39999999999998</v>
      </c>
      <c r="H261" s="9">
        <v>45986.375</v>
      </c>
      <c r="I261">
        <v>290.3</v>
      </c>
      <c r="J261" s="12">
        <v>49.397399999999998</v>
      </c>
      <c r="K261" s="12">
        <v>13851.03</v>
      </c>
      <c r="L261">
        <v>21.14</v>
      </c>
      <c r="M261">
        <v>467.89</v>
      </c>
      <c r="N261" s="13">
        <v>3.3799999999999997E-2</v>
      </c>
      <c r="O261" t="s">
        <v>38</v>
      </c>
      <c r="Q261">
        <f t="shared" si="62"/>
        <v>489.03426000000167</v>
      </c>
      <c r="R261">
        <f t="shared" si="63"/>
        <v>467.89426000000168</v>
      </c>
      <c r="S261">
        <f t="shared" si="64"/>
        <v>14340.06522</v>
      </c>
      <c r="U261">
        <f t="shared" si="51"/>
        <v>5.8844510000000003</v>
      </c>
      <c r="V261">
        <f t="shared" si="65"/>
        <v>1650.0000603999999</v>
      </c>
      <c r="W261">
        <f t="shared" si="52"/>
        <v>58.256064900000204</v>
      </c>
      <c r="X261">
        <f t="shared" si="53"/>
        <v>3.3582561857000006</v>
      </c>
      <c r="Y261">
        <f t="shared" si="54"/>
        <v>54.897808714300204</v>
      </c>
      <c r="Z261">
        <f t="shared" si="55"/>
        <v>48479.814601833197</v>
      </c>
      <c r="AB261">
        <f t="shared" si="56"/>
        <v>35.743316999999998</v>
      </c>
      <c r="AC261">
        <f t="shared" si="57"/>
        <v>10022.426086799998</v>
      </c>
      <c r="AD261">
        <f t="shared" si="58"/>
        <v>353.8588383000012</v>
      </c>
      <c r="AE261">
        <f t="shared" si="59"/>
        <v>20.398711011900001</v>
      </c>
      <c r="AF261">
        <f t="shared" si="60"/>
        <v>333.46012728810121</v>
      </c>
      <c r="AG261">
        <f t="shared" si="66"/>
        <v>100557.72064790313</v>
      </c>
      <c r="AH261" t="b">
        <f t="shared" si="61"/>
        <v>1</v>
      </c>
    </row>
    <row r="262" spans="4:34" hidden="1" x14ac:dyDescent="0.4">
      <c r="D262" t="s">
        <v>48</v>
      </c>
      <c r="E262" t="s">
        <v>37</v>
      </c>
      <c r="F262" s="9">
        <v>45984.333333333336</v>
      </c>
      <c r="G262">
        <v>9.1300000000000006E-2</v>
      </c>
      <c r="H262" s="9">
        <v>45986.333333333336</v>
      </c>
      <c r="I262">
        <v>0.14449999999999999</v>
      </c>
      <c r="J262" s="12">
        <v>46029.7</v>
      </c>
      <c r="K262" s="12">
        <v>4202.5200000000004</v>
      </c>
      <c r="L262">
        <v>8.14</v>
      </c>
      <c r="M262" s="12">
        <v>2440.64</v>
      </c>
      <c r="N262" s="13">
        <v>0.58079999999999998</v>
      </c>
      <c r="O262" t="s">
        <v>38</v>
      </c>
      <c r="Q262">
        <f t="shared" si="62"/>
        <v>2448.7800399999992</v>
      </c>
      <c r="R262">
        <f t="shared" si="63"/>
        <v>2440.6400399999993</v>
      </c>
      <c r="S262">
        <f t="shared" si="64"/>
        <v>6651.2916499999992</v>
      </c>
      <c r="U262">
        <f t="shared" si="51"/>
        <v>18072.289156999999</v>
      </c>
      <c r="V262">
        <f t="shared" si="65"/>
        <v>1650.0000000341001</v>
      </c>
      <c r="W262">
        <f t="shared" si="52"/>
        <v>961.44578315239971</v>
      </c>
      <c r="X262">
        <f t="shared" si="53"/>
        <v>4.2614457832205996</v>
      </c>
      <c r="Y262">
        <f t="shared" si="54"/>
        <v>957.18433736917916</v>
      </c>
      <c r="Z262">
        <f t="shared" si="55"/>
        <v>48424.9167931189</v>
      </c>
      <c r="AB262">
        <f t="shared" si="56"/>
        <v>103755.667674</v>
      </c>
      <c r="AC262">
        <f t="shared" si="57"/>
        <v>9472.8924586362009</v>
      </c>
      <c r="AD262">
        <f t="shared" si="58"/>
        <v>5519.8015202567985</v>
      </c>
      <c r="AE262">
        <f t="shared" si="59"/>
        <v>24.4655864375292</v>
      </c>
      <c r="AF262">
        <f t="shared" si="60"/>
        <v>5495.3359338192695</v>
      </c>
      <c r="AG262">
        <f t="shared" si="66"/>
        <v>100224.26052061503</v>
      </c>
      <c r="AH262" t="b">
        <f t="shared" si="61"/>
        <v>1</v>
      </c>
    </row>
    <row r="263" spans="4:34" hidden="1" x14ac:dyDescent="0.4">
      <c r="D263" t="s">
        <v>61</v>
      </c>
      <c r="E263" t="s">
        <v>37</v>
      </c>
      <c r="F263" s="9">
        <v>45984.083333333336</v>
      </c>
      <c r="G263">
        <v>0.40739999999999998</v>
      </c>
      <c r="H263" s="9">
        <v>45986.083333333336</v>
      </c>
      <c r="I263">
        <v>0.42459999999999998</v>
      </c>
      <c r="J263" s="12">
        <v>20851.2</v>
      </c>
      <c r="K263" s="12">
        <v>8494.81</v>
      </c>
      <c r="L263">
        <v>13.01</v>
      </c>
      <c r="M263">
        <v>345.63</v>
      </c>
      <c r="N263" s="13">
        <v>4.07E-2</v>
      </c>
      <c r="O263" t="s">
        <v>38</v>
      </c>
      <c r="Q263">
        <f t="shared" si="62"/>
        <v>358.64063999999985</v>
      </c>
      <c r="R263">
        <f t="shared" si="63"/>
        <v>345.63063999999986</v>
      </c>
      <c r="S263">
        <f t="shared" si="64"/>
        <v>8853.4195199999995</v>
      </c>
      <c r="U263">
        <f t="shared" si="51"/>
        <v>4050.0736379999998</v>
      </c>
      <c r="V263">
        <f t="shared" si="65"/>
        <v>1650.0000001211999</v>
      </c>
      <c r="W263">
        <f t="shared" si="52"/>
        <v>69.661266573599974</v>
      </c>
      <c r="X263">
        <f t="shared" si="53"/>
        <v>3.3696612668159998</v>
      </c>
      <c r="Y263">
        <f t="shared" si="54"/>
        <v>66.291605306783978</v>
      </c>
      <c r="Z263">
        <f t="shared" si="55"/>
        <v>47467.73245574972</v>
      </c>
      <c r="AB263">
        <f t="shared" si="56"/>
        <v>23159.022509999999</v>
      </c>
      <c r="AC263">
        <f t="shared" si="57"/>
        <v>9434.9857705739996</v>
      </c>
      <c r="AD263">
        <f t="shared" si="58"/>
        <v>398.33518717199985</v>
      </c>
      <c r="AE263">
        <f t="shared" si="59"/>
        <v>19.268306728319999</v>
      </c>
      <c r="AF263">
        <f t="shared" si="60"/>
        <v>379.06688044367985</v>
      </c>
      <c r="AG263">
        <f t="shared" si="66"/>
        <v>94728.924586795765</v>
      </c>
      <c r="AH263" t="b">
        <f t="shared" si="61"/>
        <v>1</v>
      </c>
    </row>
    <row r="264" spans="4:34" hidden="1" x14ac:dyDescent="0.4">
      <c r="D264" t="s">
        <v>53</v>
      </c>
      <c r="E264" t="s">
        <v>37</v>
      </c>
      <c r="F264" s="9">
        <v>45984.041666666664</v>
      </c>
      <c r="G264">
        <v>835.45</v>
      </c>
      <c r="H264" s="9">
        <v>45986.041666666664</v>
      </c>
      <c r="I264" s="12">
        <v>864.74</v>
      </c>
      <c r="J264">
        <v>11.765000000000001</v>
      </c>
      <c r="K264" s="12">
        <v>9829.7199999999993</v>
      </c>
      <c r="L264">
        <v>15</v>
      </c>
      <c r="M264">
        <v>329.59</v>
      </c>
      <c r="N264" s="13">
        <v>3.3500000000000002E-2</v>
      </c>
      <c r="O264" t="s">
        <v>38</v>
      </c>
      <c r="Q264">
        <f t="shared" si="62"/>
        <v>344.59684999999956</v>
      </c>
      <c r="R264">
        <f t="shared" si="63"/>
        <v>329.59684999999956</v>
      </c>
      <c r="S264">
        <f t="shared" si="64"/>
        <v>10173.6661</v>
      </c>
      <c r="U264">
        <f t="shared" si="51"/>
        <v>1.9749840000000001</v>
      </c>
      <c r="V264">
        <f t="shared" si="65"/>
        <v>1650.0003828000001</v>
      </c>
      <c r="W264">
        <f t="shared" si="52"/>
        <v>57.847281359999933</v>
      </c>
      <c r="X264">
        <f t="shared" si="53"/>
        <v>3.3578480469600005</v>
      </c>
      <c r="Y264">
        <f t="shared" si="54"/>
        <v>54.489433313039932</v>
      </c>
      <c r="Z264">
        <f t="shared" si="55"/>
        <v>47401.440850442938</v>
      </c>
      <c r="AB264">
        <f t="shared" si="56"/>
        <v>11.256126</v>
      </c>
      <c r="AC264">
        <f t="shared" si="57"/>
        <v>9403.9304666999997</v>
      </c>
      <c r="AD264">
        <f t="shared" si="58"/>
        <v>329.69193053999959</v>
      </c>
      <c r="AE264">
        <f t="shared" si="59"/>
        <v>19.137552863940002</v>
      </c>
      <c r="AF264">
        <f t="shared" si="60"/>
        <v>310.55437767605957</v>
      </c>
      <c r="AG264">
        <f t="shared" si="66"/>
        <v>94349.857706352079</v>
      </c>
      <c r="AH264" t="b">
        <f t="shared" si="61"/>
        <v>1</v>
      </c>
    </row>
    <row r="265" spans="4:34" hidden="1" x14ac:dyDescent="0.4">
      <c r="D265" t="s">
        <v>40</v>
      </c>
      <c r="E265" t="s">
        <v>41</v>
      </c>
      <c r="F265" s="9">
        <v>45984.416666666664</v>
      </c>
      <c r="G265" s="12">
        <v>580.67999999999995</v>
      </c>
      <c r="H265" s="9">
        <v>45985.75</v>
      </c>
      <c r="I265" s="12">
        <v>585.58000000000004</v>
      </c>
      <c r="J265">
        <v>14.935</v>
      </c>
      <c r="K265" s="12">
        <v>8672.59</v>
      </c>
      <c r="L265">
        <v>13.06</v>
      </c>
      <c r="M265">
        <v>60.12</v>
      </c>
      <c r="N265" s="13">
        <v>6.8999999999999999E-3</v>
      </c>
      <c r="O265" t="s">
        <v>38</v>
      </c>
      <c r="Q265">
        <f t="shared" si="62"/>
        <v>73.181500000001364</v>
      </c>
      <c r="R265">
        <f t="shared" si="63"/>
        <v>60.121500000001362</v>
      </c>
      <c r="S265">
        <f t="shared" si="64"/>
        <v>8745.6373000000003</v>
      </c>
      <c r="U265">
        <f t="shared" si="51"/>
        <v>2.8414959999999998</v>
      </c>
      <c r="V265">
        <f t="shared" si="65"/>
        <v>1649.9998972799997</v>
      </c>
      <c r="W265">
        <f t="shared" si="52"/>
        <v>13.923330400000257</v>
      </c>
      <c r="X265">
        <f t="shared" si="53"/>
        <v>3.3139231249600001</v>
      </c>
      <c r="Y265">
        <f t="shared" si="54"/>
        <v>10.609407275040256</v>
      </c>
      <c r="Z265">
        <f t="shared" si="55"/>
        <v>47346.951417129894</v>
      </c>
      <c r="AB265">
        <f t="shared" si="56"/>
        <v>16.184280000000001</v>
      </c>
      <c r="AC265">
        <f t="shared" si="57"/>
        <v>9397.8877104000003</v>
      </c>
      <c r="AD265">
        <f t="shared" si="58"/>
        <v>79.302972000001475</v>
      </c>
      <c r="AE265">
        <f t="shared" si="59"/>
        <v>18.875078392800003</v>
      </c>
      <c r="AF265">
        <f t="shared" si="60"/>
        <v>60.427893607201469</v>
      </c>
      <c r="AG265">
        <f t="shared" si="66"/>
        <v>94039.303328676018</v>
      </c>
      <c r="AH265" t="b">
        <f t="shared" si="61"/>
        <v>1</v>
      </c>
    </row>
    <row r="266" spans="4:34" hidden="1" x14ac:dyDescent="0.4">
      <c r="D266" t="s">
        <v>48</v>
      </c>
      <c r="E266" t="s">
        <v>37</v>
      </c>
      <c r="F266" s="9">
        <v>45982.333333333336</v>
      </c>
      <c r="G266">
        <v>0.21360000000000001</v>
      </c>
      <c r="H266" s="9">
        <v>45984.333333333336</v>
      </c>
      <c r="I266">
        <v>9.1300000000000006E-2</v>
      </c>
      <c r="J266" s="12">
        <v>20872</v>
      </c>
      <c r="K266" s="12">
        <v>4458.26</v>
      </c>
      <c r="L266">
        <v>4.7699999999999996</v>
      </c>
      <c r="M266" s="12">
        <v>-2557.42</v>
      </c>
      <c r="N266" s="13">
        <v>-0.5736</v>
      </c>
      <c r="O266" t="s">
        <v>38</v>
      </c>
      <c r="Q266">
        <f t="shared" si="62"/>
        <v>-2552.6456000000003</v>
      </c>
      <c r="R266">
        <f t="shared" si="63"/>
        <v>-2557.4156000000003</v>
      </c>
      <c r="S266">
        <f t="shared" si="64"/>
        <v>1905.6136000000001</v>
      </c>
      <c r="U266">
        <f t="shared" si="51"/>
        <v>7724.7191009999997</v>
      </c>
      <c r="V266">
        <f t="shared" si="65"/>
        <v>1649.9999999736001</v>
      </c>
      <c r="W266">
        <f t="shared" si="52"/>
        <v>-944.73314605229996</v>
      </c>
      <c r="X266">
        <f t="shared" si="53"/>
        <v>2.3552668538949</v>
      </c>
      <c r="Y266">
        <f t="shared" si="54"/>
        <v>-947.08841290619489</v>
      </c>
      <c r="Z266">
        <f t="shared" si="55"/>
        <v>47336.342009854852</v>
      </c>
      <c r="AB266">
        <f t="shared" si="56"/>
        <v>46676.817399</v>
      </c>
      <c r="AC266">
        <f t="shared" si="57"/>
        <v>9970.1681964264008</v>
      </c>
      <c r="AD266">
        <f t="shared" si="58"/>
        <v>-5708.5747678977004</v>
      </c>
      <c r="AE266">
        <f t="shared" si="59"/>
        <v>14.2317616249551</v>
      </c>
      <c r="AF266">
        <f t="shared" si="60"/>
        <v>-5722.8065295226552</v>
      </c>
      <c r="AG266">
        <f t="shared" si="66"/>
        <v>93978.87543506881</v>
      </c>
      <c r="AH266" t="b">
        <f t="shared" si="61"/>
        <v>1</v>
      </c>
    </row>
    <row r="267" spans="4:34" hidden="1" x14ac:dyDescent="0.4">
      <c r="D267" t="s">
        <v>40</v>
      </c>
      <c r="E267" t="s">
        <v>41</v>
      </c>
      <c r="F267" s="9">
        <v>45982.25</v>
      </c>
      <c r="G267">
        <v>660.06</v>
      </c>
      <c r="H267" s="9">
        <v>45983.583333333336</v>
      </c>
      <c r="I267">
        <v>500.27</v>
      </c>
      <c r="J267">
        <v>13.465999999999999</v>
      </c>
      <c r="K267" s="12">
        <v>8888.94</v>
      </c>
      <c r="L267">
        <v>11.72</v>
      </c>
      <c r="M267" s="12">
        <v>-2163.4499999999998</v>
      </c>
      <c r="N267" s="13">
        <v>-0.24340000000000001</v>
      </c>
      <c r="O267" t="s">
        <v>38</v>
      </c>
      <c r="Q267">
        <f t="shared" si="62"/>
        <v>-2151.7321399999996</v>
      </c>
      <c r="R267">
        <f t="shared" si="63"/>
        <v>-2163.4521399999994</v>
      </c>
      <c r="S267">
        <f t="shared" si="64"/>
        <v>6736.6358199999995</v>
      </c>
      <c r="U267">
        <f t="shared" si="51"/>
        <v>2.4997729999999998</v>
      </c>
      <c r="V267">
        <f t="shared" si="65"/>
        <v>1650.0001663799997</v>
      </c>
      <c r="W267">
        <f t="shared" si="52"/>
        <v>-399.43872766999988</v>
      </c>
      <c r="X267">
        <f t="shared" si="53"/>
        <v>2.9005616050899996</v>
      </c>
      <c r="Y267">
        <f t="shared" si="54"/>
        <v>-402.33928927508987</v>
      </c>
      <c r="Z267">
        <f t="shared" si="55"/>
        <v>48283.430422761048</v>
      </c>
      <c r="AB267">
        <f t="shared" si="56"/>
        <v>15.482469999999999</v>
      </c>
      <c r="AC267">
        <f t="shared" si="57"/>
        <v>10219.359148199999</v>
      </c>
      <c r="AD267">
        <f t="shared" si="58"/>
        <v>-2473.9438812999992</v>
      </c>
      <c r="AE267">
        <f t="shared" si="59"/>
        <v>17.964774415099996</v>
      </c>
      <c r="AF267">
        <f t="shared" si="60"/>
        <v>-2491.908655715099</v>
      </c>
      <c r="AG267">
        <f t="shared" si="66"/>
        <v>99701.681964591466</v>
      </c>
      <c r="AH267" t="b">
        <f t="shared" si="61"/>
        <v>1</v>
      </c>
    </row>
    <row r="268" spans="4:34" hidden="1" x14ac:dyDescent="0.4">
      <c r="D268" t="s">
        <v>52</v>
      </c>
      <c r="E268" t="s">
        <v>37</v>
      </c>
      <c r="F268" s="9">
        <v>45981.25</v>
      </c>
      <c r="G268">
        <v>4.96</v>
      </c>
      <c r="H268" s="9">
        <v>45983.25</v>
      </c>
      <c r="I268">
        <v>4.1420000000000003</v>
      </c>
      <c r="J268" s="12">
        <v>546.01</v>
      </c>
      <c r="K268" s="12">
        <v>2708.22</v>
      </c>
      <c r="L268">
        <v>3.73</v>
      </c>
      <c r="M268">
        <v>-450.36</v>
      </c>
      <c r="N268" s="13">
        <v>-0.1663</v>
      </c>
      <c r="O268" t="s">
        <v>38</v>
      </c>
      <c r="Q268">
        <f t="shared" si="62"/>
        <v>-446.6361799999998</v>
      </c>
      <c r="R268">
        <f t="shared" si="63"/>
        <v>-450.36617999999982</v>
      </c>
      <c r="S268">
        <f t="shared" si="64"/>
        <v>2261.5734200000002</v>
      </c>
      <c r="U268">
        <f t="shared" si="51"/>
        <v>332.66129000000001</v>
      </c>
      <c r="V268">
        <f t="shared" si="65"/>
        <v>1649.9999984000001</v>
      </c>
      <c r="W268">
        <f t="shared" si="52"/>
        <v>-272.1169352199999</v>
      </c>
      <c r="X268">
        <f t="shared" si="53"/>
        <v>3.0278830615800003</v>
      </c>
      <c r="Y268">
        <f t="shared" si="54"/>
        <v>-275.14481828157989</v>
      </c>
      <c r="Z268">
        <f t="shared" si="55"/>
        <v>48685.769712036141</v>
      </c>
      <c r="AB268">
        <f t="shared" si="56"/>
        <v>2095.294617</v>
      </c>
      <c r="AC268">
        <f t="shared" si="57"/>
        <v>10392.66130032</v>
      </c>
      <c r="AD268">
        <f t="shared" si="58"/>
        <v>-1713.9509967059992</v>
      </c>
      <c r="AE268">
        <f t="shared" si="59"/>
        <v>19.071371603934001</v>
      </c>
      <c r="AF268">
        <f t="shared" si="60"/>
        <v>-1733.0223683099332</v>
      </c>
      <c r="AG268">
        <f t="shared" si="66"/>
        <v>102193.59062030657</v>
      </c>
      <c r="AH268" t="b">
        <f t="shared" si="61"/>
        <v>1</v>
      </c>
    </row>
    <row r="269" spans="4:34" hidden="1" x14ac:dyDescent="0.4">
      <c r="D269" t="s">
        <v>53</v>
      </c>
      <c r="E269" t="s">
        <v>37</v>
      </c>
      <c r="F269" s="9">
        <v>45980.333333333336</v>
      </c>
      <c r="G269">
        <v>930.69</v>
      </c>
      <c r="H269" s="9">
        <v>45982.333333333336</v>
      </c>
      <c r="I269">
        <v>830.89</v>
      </c>
      <c r="J269">
        <v>10.677</v>
      </c>
      <c r="K269" s="12">
        <v>9937.69</v>
      </c>
      <c r="L269">
        <v>14.11</v>
      </c>
      <c r="M269" s="12">
        <v>-1079.67</v>
      </c>
      <c r="N269" s="13">
        <v>-0.1086</v>
      </c>
      <c r="O269" t="s">
        <v>38</v>
      </c>
      <c r="Q269">
        <f t="shared" si="62"/>
        <v>-1065.5646000000006</v>
      </c>
      <c r="R269">
        <f t="shared" si="63"/>
        <v>-1079.6746000000005</v>
      </c>
      <c r="S269">
        <f t="shared" si="64"/>
        <v>8871.4125299999996</v>
      </c>
      <c r="U269">
        <f t="shared" ref="U269:U332" si="67">ROUND(($Q$2)/G269,6)</f>
        <v>1.772878</v>
      </c>
      <c r="V269">
        <f t="shared" si="65"/>
        <v>1649.9998258200001</v>
      </c>
      <c r="W269">
        <f t="shared" ref="W269:W332" si="68">U269*(I269-G269)</f>
        <v>-176.93322440000011</v>
      </c>
      <c r="X269">
        <f t="shared" ref="X269:X332" si="69">(G269+I269)*$R$2*U269</f>
        <v>3.1230664272399999</v>
      </c>
      <c r="Y269">
        <f t="shared" ref="Y269:Y332" si="70">W269-X269</f>
        <v>-180.0562908272401</v>
      </c>
      <c r="Z269">
        <f t="shared" ref="Z269:Z332" si="71">Z270+Y269</f>
        <v>48960.914530317721</v>
      </c>
      <c r="AB269">
        <f t="shared" ref="AB269:AB332" si="72">ROUND(((AH269*AG270 +(1-AH269)*AI269)/$P$2)/G269,6)</f>
        <v>11.289820000000001</v>
      </c>
      <c r="AC269">
        <f t="shared" ref="AC269:AC332" si="73">AB269*G269</f>
        <v>10507.322575800001</v>
      </c>
      <c r="AD269">
        <f t="shared" ref="AD269:AD332" si="74">AB269*(I269-G269)</f>
        <v>-1126.7240360000008</v>
      </c>
      <c r="AE269">
        <f t="shared" ref="AE269:AE332" si="75">(G269+I269)*$R$2*AB269</f>
        <v>19.887921115600001</v>
      </c>
      <c r="AF269">
        <f t="shared" ref="AF269:AF332" si="76">AD269-AE269</f>
        <v>-1146.6119571156007</v>
      </c>
      <c r="AG269">
        <f t="shared" si="66"/>
        <v>103926.6129886165</v>
      </c>
      <c r="AH269" t="b">
        <f t="shared" ref="AH269:AH332" si="77">ISBLANK(AI269)</f>
        <v>1</v>
      </c>
    </row>
    <row r="270" spans="4:34" hidden="1" x14ac:dyDescent="0.4">
      <c r="D270" t="s">
        <v>60</v>
      </c>
      <c r="E270" t="s">
        <v>37</v>
      </c>
      <c r="F270" s="9">
        <v>45979.666666666664</v>
      </c>
      <c r="G270">
        <v>2.2124000000000001</v>
      </c>
      <c r="H270" s="9">
        <v>45982.166666666664</v>
      </c>
      <c r="I270">
        <v>1.9777</v>
      </c>
      <c r="J270" s="12">
        <v>1033.2</v>
      </c>
      <c r="K270" s="12">
        <v>2286</v>
      </c>
      <c r="L270">
        <v>3.25</v>
      </c>
      <c r="M270">
        <v>-245.74</v>
      </c>
      <c r="N270" s="13">
        <v>-0.1075</v>
      </c>
      <c r="O270" t="s">
        <v>57</v>
      </c>
      <c r="Q270">
        <f t="shared" ref="Q270:Q333" si="78">(I270-G270)*J270</f>
        <v>-242.49204000000015</v>
      </c>
      <c r="R270">
        <f t="shared" ref="R270:R333" si="79">Q270-L270</f>
        <v>-245.74204000000015</v>
      </c>
      <c r="S270">
        <f t="shared" ref="S270:S333" si="80">I270*J270</f>
        <v>2043.3596400000001</v>
      </c>
      <c r="U270">
        <f t="shared" si="67"/>
        <v>745.79642000000001</v>
      </c>
      <c r="V270">
        <f t="shared" ref="V270:V333" si="81">U270*G270</f>
        <v>1649.9999996080001</v>
      </c>
      <c r="W270">
        <f t="shared" si="68"/>
        <v>-175.03841977400009</v>
      </c>
      <c r="X270">
        <f t="shared" si="69"/>
        <v>3.1249615794420005</v>
      </c>
      <c r="Y270">
        <f t="shared" si="70"/>
        <v>-178.16338135344208</v>
      </c>
      <c r="Z270">
        <f t="shared" si="71"/>
        <v>49140.970821144962</v>
      </c>
      <c r="AB270">
        <f t="shared" si="72"/>
        <v>4801.1285040000002</v>
      </c>
      <c r="AC270">
        <f t="shared" si="73"/>
        <v>10622.016702249601</v>
      </c>
      <c r="AD270">
        <f t="shared" si="74"/>
        <v>-1126.8248598888006</v>
      </c>
      <c r="AE270">
        <f t="shared" si="75"/>
        <v>20.117208544610403</v>
      </c>
      <c r="AF270">
        <f t="shared" si="76"/>
        <v>-1146.9420684334109</v>
      </c>
      <c r="AG270">
        <f t="shared" si="66"/>
        <v>105073.2249457321</v>
      </c>
      <c r="AH270" t="b">
        <f t="shared" si="77"/>
        <v>1</v>
      </c>
    </row>
    <row r="271" spans="4:34" hidden="1" x14ac:dyDescent="0.4">
      <c r="D271" t="s">
        <v>48</v>
      </c>
      <c r="E271" t="s">
        <v>37</v>
      </c>
      <c r="F271" s="9">
        <v>45980.041666666664</v>
      </c>
      <c r="G271">
        <v>3.8699999999999998E-2</v>
      </c>
      <c r="H271" s="9">
        <v>45982.041666666664</v>
      </c>
      <c r="I271">
        <v>0.23419999999999999</v>
      </c>
      <c r="J271" s="12">
        <v>76563.5</v>
      </c>
      <c r="K271" s="12">
        <v>2963.01</v>
      </c>
      <c r="L271">
        <v>15.67</v>
      </c>
      <c r="M271" s="12">
        <v>14952.49</v>
      </c>
      <c r="N271" s="13">
        <v>5.0464000000000002</v>
      </c>
      <c r="O271" t="s">
        <v>38</v>
      </c>
      <c r="Q271">
        <f t="shared" si="78"/>
        <v>14968.16425</v>
      </c>
      <c r="R271">
        <f t="shared" si="79"/>
        <v>14952.49425</v>
      </c>
      <c r="S271">
        <f t="shared" si="80"/>
        <v>17931.171699999999</v>
      </c>
      <c r="U271">
        <f t="shared" si="67"/>
        <v>42635.658915</v>
      </c>
      <c r="V271">
        <f t="shared" si="81"/>
        <v>1650.0000000104999</v>
      </c>
      <c r="W271">
        <f t="shared" si="68"/>
        <v>8335.2713178824997</v>
      </c>
      <c r="X271">
        <f t="shared" si="69"/>
        <v>11.635271317903499</v>
      </c>
      <c r="Y271">
        <f t="shared" si="70"/>
        <v>8323.6360465645957</v>
      </c>
      <c r="Z271">
        <f t="shared" si="71"/>
        <v>49319.134202498404</v>
      </c>
      <c r="AB271">
        <f t="shared" si="72"/>
        <v>182437.68971599999</v>
      </c>
      <c r="AC271">
        <f t="shared" si="73"/>
        <v>7060.3385920091996</v>
      </c>
      <c r="AD271">
        <f t="shared" si="74"/>
        <v>35666.568339477999</v>
      </c>
      <c r="AE271">
        <f t="shared" si="75"/>
        <v>49.787245523496395</v>
      </c>
      <c r="AF271">
        <f t="shared" si="76"/>
        <v>35616.781093954502</v>
      </c>
      <c r="AG271">
        <f t="shared" si="66"/>
        <v>106220.16701416552</v>
      </c>
      <c r="AH271" t="b">
        <f t="shared" si="77"/>
        <v>1</v>
      </c>
    </row>
    <row r="272" spans="4:34" hidden="1" x14ac:dyDescent="0.4">
      <c r="D272" t="s">
        <v>40</v>
      </c>
      <c r="E272" t="s">
        <v>41</v>
      </c>
      <c r="F272" s="9">
        <v>45980.625</v>
      </c>
      <c r="G272">
        <v>637.54999999999995</v>
      </c>
      <c r="H272" s="9">
        <v>45981.958333333336</v>
      </c>
      <c r="I272">
        <v>697.61</v>
      </c>
      <c r="J272" s="12">
        <v>13.814</v>
      </c>
      <c r="K272" s="12">
        <v>8807.36</v>
      </c>
      <c r="L272">
        <v>13.83</v>
      </c>
      <c r="M272">
        <v>815.84</v>
      </c>
      <c r="N272" s="13">
        <v>9.2600000000000002E-2</v>
      </c>
      <c r="O272" t="s">
        <v>38</v>
      </c>
      <c r="Q272">
        <f t="shared" si="78"/>
        <v>829.66884000000084</v>
      </c>
      <c r="R272">
        <f t="shared" si="79"/>
        <v>815.8388400000008</v>
      </c>
      <c r="S272">
        <f t="shared" si="80"/>
        <v>9636.7845400000006</v>
      </c>
      <c r="U272">
        <f t="shared" si="67"/>
        <v>2.5880320000000001</v>
      </c>
      <c r="V272">
        <f t="shared" si="81"/>
        <v>1649.9998016</v>
      </c>
      <c r="W272">
        <f t="shared" si="68"/>
        <v>155.43720192000015</v>
      </c>
      <c r="X272">
        <f t="shared" si="69"/>
        <v>3.4554368051199997</v>
      </c>
      <c r="Y272">
        <f t="shared" si="70"/>
        <v>151.98176511488015</v>
      </c>
      <c r="Z272">
        <f t="shared" si="71"/>
        <v>40995.498155933805</v>
      </c>
      <c r="AB272">
        <f t="shared" si="72"/>
        <v>10.973098999999999</v>
      </c>
      <c r="AC272">
        <f t="shared" si="73"/>
        <v>6995.8992674499996</v>
      </c>
      <c r="AD272">
        <f t="shared" si="74"/>
        <v>659.04432594000059</v>
      </c>
      <c r="AE272">
        <f t="shared" si="75"/>
        <v>14.650842860839997</v>
      </c>
      <c r="AF272">
        <f t="shared" si="76"/>
        <v>644.39348307916055</v>
      </c>
      <c r="AG272">
        <f t="shared" si="66"/>
        <v>70603.385920211018</v>
      </c>
      <c r="AH272" t="b">
        <f t="shared" si="77"/>
        <v>1</v>
      </c>
    </row>
    <row r="273" spans="4:34" hidden="1" x14ac:dyDescent="0.4">
      <c r="D273" t="s">
        <v>43</v>
      </c>
      <c r="E273" t="s">
        <v>37</v>
      </c>
      <c r="F273" s="9">
        <v>45979.666666666664</v>
      </c>
      <c r="G273">
        <v>1.6666000000000001</v>
      </c>
      <c r="H273" s="9">
        <v>45981.666666666664</v>
      </c>
      <c r="I273">
        <v>1.5802</v>
      </c>
      <c r="J273" s="12">
        <v>1165.5999999999999</v>
      </c>
      <c r="K273" s="12">
        <v>1942.69</v>
      </c>
      <c r="L273">
        <v>2.84</v>
      </c>
      <c r="M273">
        <v>-103.55</v>
      </c>
      <c r="N273" s="13">
        <v>-5.33E-2</v>
      </c>
      <c r="O273" t="s">
        <v>38</v>
      </c>
      <c r="Q273">
        <f t="shared" si="78"/>
        <v>-100.70784000000003</v>
      </c>
      <c r="R273">
        <f t="shared" si="79"/>
        <v>-103.54784000000004</v>
      </c>
      <c r="S273">
        <f t="shared" si="80"/>
        <v>1841.88112</v>
      </c>
      <c r="U273">
        <f t="shared" si="67"/>
        <v>990.03960199999995</v>
      </c>
      <c r="V273">
        <f t="shared" si="81"/>
        <v>1650.0000006932</v>
      </c>
      <c r="W273">
        <f t="shared" si="68"/>
        <v>-85.539421612800027</v>
      </c>
      <c r="X273">
        <f t="shared" si="69"/>
        <v>3.2144605797736001</v>
      </c>
      <c r="Y273">
        <f t="shared" si="70"/>
        <v>-88.753882192573627</v>
      </c>
      <c r="Z273">
        <f t="shared" si="71"/>
        <v>40843.516390818928</v>
      </c>
      <c r="AB273">
        <f t="shared" si="72"/>
        <v>4220.4091330000001</v>
      </c>
      <c r="AC273">
        <f t="shared" si="73"/>
        <v>7033.7338610578008</v>
      </c>
      <c r="AD273">
        <f t="shared" si="74"/>
        <v>-364.64334909120015</v>
      </c>
      <c r="AE273">
        <f t="shared" si="75"/>
        <v>13.7028243730244</v>
      </c>
      <c r="AF273">
        <f t="shared" si="76"/>
        <v>-378.34617346422453</v>
      </c>
      <c r="AG273">
        <f t="shared" si="66"/>
        <v>69958.992437131863</v>
      </c>
      <c r="AH273" t="b">
        <f t="shared" si="77"/>
        <v>1</v>
      </c>
    </row>
    <row r="274" spans="4:34" hidden="1" x14ac:dyDescent="0.4">
      <c r="D274" t="s">
        <v>54</v>
      </c>
      <c r="E274" t="s">
        <v>37</v>
      </c>
      <c r="F274" s="9">
        <v>45979.666666666664</v>
      </c>
      <c r="G274" s="12">
        <v>139.62</v>
      </c>
      <c r="H274" s="9">
        <v>45981.666666666664</v>
      </c>
      <c r="I274" s="12">
        <v>138.44999999999999</v>
      </c>
      <c r="J274">
        <v>36.350999999999999</v>
      </c>
      <c r="K274" s="12">
        <v>5075.46</v>
      </c>
      <c r="L274">
        <v>7.58</v>
      </c>
      <c r="M274">
        <v>-50.11</v>
      </c>
      <c r="N274" s="13">
        <v>-9.9000000000000008E-3</v>
      </c>
      <c r="O274" t="s">
        <v>38</v>
      </c>
      <c r="Q274">
        <f t="shared" si="78"/>
        <v>-42.530670000000576</v>
      </c>
      <c r="R274">
        <f t="shared" si="79"/>
        <v>-50.110670000000574</v>
      </c>
      <c r="S274">
        <f t="shared" si="80"/>
        <v>5032.7959499999997</v>
      </c>
      <c r="U274">
        <f t="shared" si="67"/>
        <v>11.817791</v>
      </c>
      <c r="V274">
        <f t="shared" si="81"/>
        <v>1649.99997942</v>
      </c>
      <c r="W274">
        <f t="shared" si="68"/>
        <v>-13.826815470000188</v>
      </c>
      <c r="X274">
        <f t="shared" si="69"/>
        <v>3.2861731433699997</v>
      </c>
      <c r="Y274">
        <f t="shared" si="70"/>
        <v>-17.112988613370188</v>
      </c>
      <c r="Z274">
        <f t="shared" si="71"/>
        <v>40932.270273011498</v>
      </c>
      <c r="AB274">
        <f t="shared" si="72"/>
        <v>50.429999000000002</v>
      </c>
      <c r="AC274">
        <f t="shared" si="73"/>
        <v>7041.0364603800008</v>
      </c>
      <c r="AD274">
        <f t="shared" si="74"/>
        <v>-59.003098830000802</v>
      </c>
      <c r="AE274">
        <f t="shared" si="75"/>
        <v>14.023069821929999</v>
      </c>
      <c r="AF274">
        <f t="shared" si="76"/>
        <v>-73.026168651930803</v>
      </c>
      <c r="AG274">
        <f t="shared" si="66"/>
        <v>70337.338610596082</v>
      </c>
      <c r="AH274" t="b">
        <f t="shared" si="77"/>
        <v>1</v>
      </c>
    </row>
    <row r="275" spans="4:34" hidden="1" x14ac:dyDescent="0.4">
      <c r="D275" t="s">
        <v>58</v>
      </c>
      <c r="E275" t="s">
        <v>37</v>
      </c>
      <c r="F275" s="9">
        <v>45979.666666666664</v>
      </c>
      <c r="G275">
        <v>13.71</v>
      </c>
      <c r="H275" s="9">
        <v>45981.666666666664</v>
      </c>
      <c r="I275">
        <v>13.41</v>
      </c>
      <c r="J275">
        <v>543.97</v>
      </c>
      <c r="K275" s="12">
        <v>7457.87</v>
      </c>
      <c r="L275">
        <v>11.06</v>
      </c>
      <c r="M275">
        <v>-174.26</v>
      </c>
      <c r="N275" s="13">
        <v>-2.3400000000000001E-2</v>
      </c>
      <c r="O275" t="s">
        <v>38</v>
      </c>
      <c r="Q275">
        <f t="shared" si="78"/>
        <v>-163.1910000000004</v>
      </c>
      <c r="R275">
        <f t="shared" si="79"/>
        <v>-174.2510000000004</v>
      </c>
      <c r="S275">
        <f t="shared" si="80"/>
        <v>7294.6377000000002</v>
      </c>
      <c r="U275">
        <f t="shared" si="67"/>
        <v>120.350109</v>
      </c>
      <c r="V275">
        <f t="shared" si="81"/>
        <v>1649.9999943900002</v>
      </c>
      <c r="W275">
        <f t="shared" si="68"/>
        <v>-36.105032700000088</v>
      </c>
      <c r="X275">
        <f t="shared" si="69"/>
        <v>3.2638949560800001</v>
      </c>
      <c r="Y275">
        <f t="shared" si="70"/>
        <v>-39.368927656080089</v>
      </c>
      <c r="Z275">
        <f t="shared" si="71"/>
        <v>40949.383261624869</v>
      </c>
      <c r="AB275">
        <f t="shared" si="72"/>
        <v>514.79770499999995</v>
      </c>
      <c r="AC275">
        <f t="shared" si="73"/>
        <v>7057.87653555</v>
      </c>
      <c r="AD275">
        <f t="shared" si="74"/>
        <v>-154.43931150000034</v>
      </c>
      <c r="AE275">
        <f t="shared" si="75"/>
        <v>13.961313759599999</v>
      </c>
      <c r="AF275">
        <f t="shared" si="76"/>
        <v>-168.40062525960033</v>
      </c>
      <c r="AG275">
        <f t="shared" si="66"/>
        <v>70410.364779248019</v>
      </c>
      <c r="AH275" t="b">
        <f t="shared" si="77"/>
        <v>1</v>
      </c>
    </row>
    <row r="276" spans="4:34" hidden="1" x14ac:dyDescent="0.4">
      <c r="D276" t="s">
        <v>50</v>
      </c>
      <c r="E276" t="s">
        <v>37</v>
      </c>
      <c r="F276" s="9">
        <v>45979.541666666664</v>
      </c>
      <c r="G276" s="12">
        <v>321.5</v>
      </c>
      <c r="H276" s="9">
        <v>45981.541666666664</v>
      </c>
      <c r="I276" s="12">
        <v>330.2</v>
      </c>
      <c r="J276">
        <v>42.972700000000003</v>
      </c>
      <c r="K276" s="12">
        <v>13815.75</v>
      </c>
      <c r="L276">
        <v>21</v>
      </c>
      <c r="M276">
        <v>352.86</v>
      </c>
      <c r="N276" s="13">
        <v>2.5499999999999998E-2</v>
      </c>
      <c r="O276" t="s">
        <v>38</v>
      </c>
      <c r="Q276">
        <f t="shared" si="78"/>
        <v>373.86248999999953</v>
      </c>
      <c r="R276">
        <f t="shared" si="79"/>
        <v>352.86248999999953</v>
      </c>
      <c r="S276">
        <f t="shared" si="80"/>
        <v>14189.58554</v>
      </c>
      <c r="U276">
        <f t="shared" si="67"/>
        <v>5.132193</v>
      </c>
      <c r="V276">
        <f t="shared" si="81"/>
        <v>1650.0000494999999</v>
      </c>
      <c r="W276">
        <f t="shared" si="68"/>
        <v>44.650079099999942</v>
      </c>
      <c r="X276">
        <f t="shared" si="69"/>
        <v>3.3446501781000002</v>
      </c>
      <c r="Y276">
        <f t="shared" si="70"/>
        <v>41.305428921899946</v>
      </c>
      <c r="Z276">
        <f t="shared" si="71"/>
        <v>40988.752189280953</v>
      </c>
      <c r="AB276">
        <f t="shared" si="72"/>
        <v>21.898140999999999</v>
      </c>
      <c r="AC276">
        <f t="shared" si="73"/>
        <v>7040.2523314999999</v>
      </c>
      <c r="AD276">
        <f t="shared" si="74"/>
        <v>190.51382669999975</v>
      </c>
      <c r="AE276">
        <f t="shared" si="75"/>
        <v>14.271018489700001</v>
      </c>
      <c r="AF276">
        <f t="shared" si="76"/>
        <v>176.24280821029976</v>
      </c>
      <c r="AG276">
        <f t="shared" si="66"/>
        <v>70578.76540450762</v>
      </c>
      <c r="AH276" t="b">
        <f t="shared" si="77"/>
        <v>1</v>
      </c>
    </row>
    <row r="277" spans="4:34" hidden="1" x14ac:dyDescent="0.4">
      <c r="D277" t="s">
        <v>52</v>
      </c>
      <c r="E277" t="s">
        <v>37</v>
      </c>
      <c r="F277" s="9">
        <v>45978.625</v>
      </c>
      <c r="G277">
        <v>4.8540000000000001</v>
      </c>
      <c r="H277" s="9">
        <v>45980.625</v>
      </c>
      <c r="I277">
        <v>5.024</v>
      </c>
      <c r="J277" s="12">
        <v>556.07000000000005</v>
      </c>
      <c r="K277" s="12">
        <v>2699.18</v>
      </c>
      <c r="L277">
        <v>4.12</v>
      </c>
      <c r="M277">
        <v>90.41</v>
      </c>
      <c r="N277" s="13">
        <v>3.3500000000000002E-2</v>
      </c>
      <c r="O277" t="s">
        <v>38</v>
      </c>
      <c r="Q277">
        <f t="shared" si="78"/>
        <v>94.531899999999965</v>
      </c>
      <c r="R277">
        <f t="shared" si="79"/>
        <v>90.41189999999996</v>
      </c>
      <c r="S277">
        <f t="shared" si="80"/>
        <v>2793.6956800000003</v>
      </c>
      <c r="U277">
        <f t="shared" si="67"/>
        <v>339.92583400000001</v>
      </c>
      <c r="V277">
        <f t="shared" si="81"/>
        <v>1649.999998236</v>
      </c>
      <c r="W277">
        <f t="shared" si="68"/>
        <v>57.787391779999979</v>
      </c>
      <c r="X277">
        <f t="shared" si="69"/>
        <v>3.357787388252</v>
      </c>
      <c r="Y277">
        <f t="shared" si="70"/>
        <v>54.429604391747979</v>
      </c>
      <c r="Z277">
        <f t="shared" si="71"/>
        <v>40947.446760359053</v>
      </c>
      <c r="AB277">
        <f t="shared" si="72"/>
        <v>1445.6333930000001</v>
      </c>
      <c r="AC277">
        <f t="shared" si="73"/>
        <v>7017.1044896220001</v>
      </c>
      <c r="AD277">
        <f t="shared" si="74"/>
        <v>245.75767680999991</v>
      </c>
      <c r="AE277">
        <f t="shared" si="75"/>
        <v>14.279966656054</v>
      </c>
      <c r="AF277">
        <f t="shared" si="76"/>
        <v>231.47771015394591</v>
      </c>
      <c r="AG277">
        <f t="shared" si="66"/>
        <v>70402.52259629732</v>
      </c>
      <c r="AH277" t="b">
        <f t="shared" si="77"/>
        <v>1</v>
      </c>
    </row>
    <row r="278" spans="4:34" hidden="1" x14ac:dyDescent="0.4">
      <c r="D278" t="s">
        <v>53</v>
      </c>
      <c r="E278" t="s">
        <v>37</v>
      </c>
      <c r="F278" s="9">
        <v>45978.333333333336</v>
      </c>
      <c r="G278" s="12">
        <v>934.75</v>
      </c>
      <c r="H278" s="9">
        <v>45980.333333333336</v>
      </c>
      <c r="I278" s="12">
        <v>930.69</v>
      </c>
      <c r="J278">
        <v>10.637</v>
      </c>
      <c r="K278" s="12">
        <v>9943.5</v>
      </c>
      <c r="L278">
        <v>14.88</v>
      </c>
      <c r="M278">
        <v>-58.07</v>
      </c>
      <c r="N278" s="13">
        <v>-5.7999999999999996E-3</v>
      </c>
      <c r="O278" t="s">
        <v>38</v>
      </c>
      <c r="Q278">
        <f t="shared" si="78"/>
        <v>-43.186219999999423</v>
      </c>
      <c r="R278">
        <f t="shared" si="79"/>
        <v>-58.066219999999426</v>
      </c>
      <c r="S278">
        <f t="shared" si="80"/>
        <v>9899.749530000001</v>
      </c>
      <c r="U278">
        <f t="shared" si="67"/>
        <v>1.7651779999999999</v>
      </c>
      <c r="V278">
        <f t="shared" si="81"/>
        <v>1650.0001354999999</v>
      </c>
      <c r="W278">
        <f t="shared" si="68"/>
        <v>-7.1666226799999038</v>
      </c>
      <c r="X278">
        <f t="shared" si="69"/>
        <v>3.2928336483199998</v>
      </c>
      <c r="Y278">
        <f t="shared" si="70"/>
        <v>-10.459456328319904</v>
      </c>
      <c r="Z278">
        <f t="shared" si="71"/>
        <v>40893.017155967304</v>
      </c>
      <c r="AB278">
        <f t="shared" si="72"/>
        <v>7.5116930000000002</v>
      </c>
      <c r="AC278">
        <f t="shared" si="73"/>
        <v>7021.5550317500001</v>
      </c>
      <c r="AD278">
        <f t="shared" si="74"/>
        <v>-30.497473579999589</v>
      </c>
      <c r="AE278">
        <f t="shared" si="75"/>
        <v>14.01261258992</v>
      </c>
      <c r="AF278">
        <f t="shared" si="76"/>
        <v>-44.510086169919589</v>
      </c>
      <c r="AG278">
        <f t="shared" si="66"/>
        <v>70171.044886143369</v>
      </c>
      <c r="AH278" t="b">
        <f t="shared" si="77"/>
        <v>1</v>
      </c>
    </row>
    <row r="279" spans="4:34" hidden="1" x14ac:dyDescent="0.4">
      <c r="D279" t="s">
        <v>55</v>
      </c>
      <c r="E279" t="s">
        <v>37</v>
      </c>
      <c r="F279" s="9">
        <v>45978.291666666664</v>
      </c>
      <c r="G279">
        <v>3.2110000000000003E-5</v>
      </c>
      <c r="H279" s="9">
        <v>45980.291666666664</v>
      </c>
      <c r="I279">
        <v>3.1170000000000001E-5</v>
      </c>
      <c r="J279" s="12">
        <v>183247306</v>
      </c>
      <c r="K279" s="12">
        <v>5884.07</v>
      </c>
      <c r="L279">
        <v>8.6999999999999993</v>
      </c>
      <c r="M279">
        <v>-180.95</v>
      </c>
      <c r="N279" s="13">
        <v>-3.0800000000000001E-2</v>
      </c>
      <c r="O279" t="s">
        <v>38</v>
      </c>
      <c r="Q279">
        <f t="shared" si="78"/>
        <v>-172.25246764000022</v>
      </c>
      <c r="R279">
        <f t="shared" si="79"/>
        <v>-180.95246764000021</v>
      </c>
      <c r="S279">
        <f t="shared" si="80"/>
        <v>5711.8185280200005</v>
      </c>
      <c r="U279">
        <f t="shared" si="67"/>
        <v>51385861.102459997</v>
      </c>
      <c r="V279">
        <f t="shared" si="81"/>
        <v>1649.9999999999907</v>
      </c>
      <c r="W279">
        <f t="shared" si="68"/>
        <v>-48.302709436312455</v>
      </c>
      <c r="X279">
        <f t="shared" si="69"/>
        <v>3.2516972905636692</v>
      </c>
      <c r="Y279">
        <f t="shared" si="70"/>
        <v>-51.554406726876124</v>
      </c>
      <c r="Z279">
        <f t="shared" si="71"/>
        <v>40903.476612295621</v>
      </c>
      <c r="AB279">
        <f t="shared" si="72"/>
        <v>219357308.54197201</v>
      </c>
      <c r="AC279">
        <f t="shared" si="73"/>
        <v>7043.5631772827219</v>
      </c>
      <c r="AD279">
        <f t="shared" si="74"/>
        <v>-206.19587002945394</v>
      </c>
      <c r="AE279">
        <f t="shared" si="75"/>
        <v>13.880930484535991</v>
      </c>
      <c r="AF279">
        <f t="shared" si="76"/>
        <v>-220.07680051398992</v>
      </c>
      <c r="AG279">
        <f t="shared" si="66"/>
        <v>70215.554972313286</v>
      </c>
      <c r="AH279" t="b">
        <f t="shared" si="77"/>
        <v>1</v>
      </c>
    </row>
    <row r="280" spans="4:34" hidden="1" x14ac:dyDescent="0.4">
      <c r="D280" t="s">
        <v>56</v>
      </c>
      <c r="E280" t="s">
        <v>37</v>
      </c>
      <c r="F280" s="9">
        <v>45979.958333333336</v>
      </c>
      <c r="G280" s="12">
        <v>3124.24</v>
      </c>
      <c r="H280" s="9">
        <v>45980.25</v>
      </c>
      <c r="I280" s="12">
        <v>3035.86</v>
      </c>
      <c r="J280">
        <v>1.8772</v>
      </c>
      <c r="K280" s="12">
        <v>5864.85</v>
      </c>
      <c r="L280">
        <v>8.67</v>
      </c>
      <c r="M280">
        <v>-174.58</v>
      </c>
      <c r="N280" s="13">
        <v>-2.98E-2</v>
      </c>
      <c r="O280" t="s">
        <v>49</v>
      </c>
      <c r="Q280">
        <f t="shared" si="78"/>
        <v>-165.90693599999935</v>
      </c>
      <c r="R280">
        <f t="shared" si="79"/>
        <v>-174.57693599999934</v>
      </c>
      <c r="S280">
        <f t="shared" si="80"/>
        <v>5698.9163920000001</v>
      </c>
      <c r="U280">
        <f t="shared" si="67"/>
        <v>0.52812800000000004</v>
      </c>
      <c r="V280">
        <f t="shared" si="81"/>
        <v>1649.99862272</v>
      </c>
      <c r="W280">
        <f t="shared" si="68"/>
        <v>-46.675952639999821</v>
      </c>
      <c r="X280">
        <f t="shared" si="69"/>
        <v>3.2533212928000008</v>
      </c>
      <c r="Y280">
        <f t="shared" si="70"/>
        <v>-49.929273932799823</v>
      </c>
      <c r="Z280">
        <f t="shared" si="71"/>
        <v>40955.031019022499</v>
      </c>
      <c r="AB280">
        <f t="shared" si="72"/>
        <v>2.2613310000000002</v>
      </c>
      <c r="AC280">
        <f t="shared" si="73"/>
        <v>7064.9407634400004</v>
      </c>
      <c r="AD280">
        <f t="shared" si="74"/>
        <v>-199.85643377999924</v>
      </c>
      <c r="AE280">
        <f t="shared" si="75"/>
        <v>13.930025093100003</v>
      </c>
      <c r="AF280">
        <f t="shared" si="76"/>
        <v>-213.78645887309924</v>
      </c>
      <c r="AG280">
        <f t="shared" si="66"/>
        <v>70435.63177282727</v>
      </c>
      <c r="AH280" t="b">
        <f t="shared" si="77"/>
        <v>1</v>
      </c>
    </row>
    <row r="281" spans="4:34" hidden="1" x14ac:dyDescent="0.4">
      <c r="D281" t="s">
        <v>40</v>
      </c>
      <c r="E281" t="s">
        <v>41</v>
      </c>
      <c r="F281" s="9">
        <v>45977.958333333336</v>
      </c>
      <c r="G281">
        <v>685.97</v>
      </c>
      <c r="H281" s="9">
        <v>45979.291666666664</v>
      </c>
      <c r="I281">
        <v>579.71</v>
      </c>
      <c r="J281">
        <v>13.042999999999999</v>
      </c>
      <c r="K281" s="12">
        <v>8947.19</v>
      </c>
      <c r="L281">
        <v>12.38</v>
      </c>
      <c r="M281" s="12">
        <v>-1398.33</v>
      </c>
      <c r="N281" s="13">
        <v>-0.15629999999999999</v>
      </c>
      <c r="O281" t="s">
        <v>38</v>
      </c>
      <c r="Q281">
        <f t="shared" si="78"/>
        <v>-1385.9491799999998</v>
      </c>
      <c r="R281">
        <f t="shared" si="79"/>
        <v>-1398.32918</v>
      </c>
      <c r="S281">
        <f t="shared" si="80"/>
        <v>7561.1575300000004</v>
      </c>
      <c r="U281">
        <f t="shared" si="67"/>
        <v>2.4053529999999999</v>
      </c>
      <c r="V281">
        <f t="shared" si="81"/>
        <v>1649.9999974099999</v>
      </c>
      <c r="W281">
        <f t="shared" si="68"/>
        <v>-255.59280977999995</v>
      </c>
      <c r="X281">
        <f t="shared" si="69"/>
        <v>3.0444071850400003</v>
      </c>
      <c r="Y281">
        <f t="shared" si="70"/>
        <v>-258.63721696503995</v>
      </c>
      <c r="Z281">
        <f t="shared" si="71"/>
        <v>41004.9602929553</v>
      </c>
      <c r="AB281">
        <f t="shared" si="72"/>
        <v>10.46321</v>
      </c>
      <c r="AC281">
        <f t="shared" si="73"/>
        <v>7177.4481637000008</v>
      </c>
      <c r="AD281">
        <f t="shared" si="74"/>
        <v>-1111.8206946</v>
      </c>
      <c r="AE281">
        <f t="shared" si="75"/>
        <v>13.243075632800002</v>
      </c>
      <c r="AF281">
        <f t="shared" si="76"/>
        <v>-1125.0637702327999</v>
      </c>
      <c r="AG281">
        <f t="shared" si="66"/>
        <v>70649.418231700372</v>
      </c>
      <c r="AH281" t="b">
        <f t="shared" si="77"/>
        <v>1</v>
      </c>
    </row>
    <row r="282" spans="4:34" hidden="1" x14ac:dyDescent="0.4">
      <c r="D282" t="s">
        <v>53</v>
      </c>
      <c r="E282" t="s">
        <v>37</v>
      </c>
      <c r="F282" s="9">
        <v>45976.25</v>
      </c>
      <c r="G282">
        <v>931.59</v>
      </c>
      <c r="H282" s="9">
        <v>45978.25</v>
      </c>
      <c r="I282">
        <v>933.95</v>
      </c>
      <c r="J282">
        <v>10.672000000000001</v>
      </c>
      <c r="K282" s="12">
        <v>9942.4699999999993</v>
      </c>
      <c r="L282">
        <v>14.93</v>
      </c>
      <c r="M282">
        <v>10.25</v>
      </c>
      <c r="N282" s="13">
        <v>1E-3</v>
      </c>
      <c r="O282" t="s">
        <v>38</v>
      </c>
      <c r="Q282">
        <f t="shared" si="78"/>
        <v>25.185920000000149</v>
      </c>
      <c r="R282">
        <f t="shared" si="79"/>
        <v>10.255920000000149</v>
      </c>
      <c r="S282">
        <f t="shared" si="80"/>
        <v>9967.1144000000004</v>
      </c>
      <c r="U282">
        <f t="shared" si="67"/>
        <v>1.7711650000000001</v>
      </c>
      <c r="V282">
        <f t="shared" si="81"/>
        <v>1649.9996023500003</v>
      </c>
      <c r="W282">
        <f t="shared" si="68"/>
        <v>4.1799494000000248</v>
      </c>
      <c r="X282">
        <f t="shared" si="69"/>
        <v>3.3041791541000003</v>
      </c>
      <c r="Y282">
        <f t="shared" si="70"/>
        <v>0.8757702459000245</v>
      </c>
      <c r="Z282">
        <f t="shared" si="71"/>
        <v>41263.597509920342</v>
      </c>
      <c r="AB282">
        <f t="shared" si="72"/>
        <v>7.7041050000000002</v>
      </c>
      <c r="AC282">
        <f t="shared" si="73"/>
        <v>7177.0671769500004</v>
      </c>
      <c r="AD282">
        <f t="shared" si="74"/>
        <v>18.181687800000105</v>
      </c>
      <c r="AE282">
        <f t="shared" si="75"/>
        <v>14.3723160417</v>
      </c>
      <c r="AF282">
        <f t="shared" si="76"/>
        <v>3.8093717583001059</v>
      </c>
      <c r="AG282">
        <f t="shared" si="66"/>
        <v>71774.482001933167</v>
      </c>
      <c r="AH282" t="b">
        <f t="shared" si="77"/>
        <v>1</v>
      </c>
    </row>
    <row r="283" spans="4:34" hidden="1" x14ac:dyDescent="0.4">
      <c r="D283" t="s">
        <v>40</v>
      </c>
      <c r="E283" t="s">
        <v>41</v>
      </c>
      <c r="F283" s="9">
        <v>45976.583333333336</v>
      </c>
      <c r="G283">
        <v>686.23</v>
      </c>
      <c r="H283" s="9">
        <v>45977.916666666664</v>
      </c>
      <c r="I283">
        <v>672.24</v>
      </c>
      <c r="J283">
        <v>13.066000000000001</v>
      </c>
      <c r="K283" s="12">
        <v>8966.7999999999993</v>
      </c>
      <c r="L283">
        <v>13.31</v>
      </c>
      <c r="M283">
        <v>-196.11</v>
      </c>
      <c r="N283" s="13">
        <v>-2.1899999999999999E-2</v>
      </c>
      <c r="O283" t="s">
        <v>38</v>
      </c>
      <c r="Q283">
        <f t="shared" si="78"/>
        <v>-182.79334000000014</v>
      </c>
      <c r="R283">
        <f t="shared" si="79"/>
        <v>-196.10334000000014</v>
      </c>
      <c r="S283">
        <f t="shared" si="80"/>
        <v>8783.4878399999998</v>
      </c>
      <c r="U283">
        <f t="shared" si="67"/>
        <v>2.404442</v>
      </c>
      <c r="V283">
        <f t="shared" si="81"/>
        <v>1650.00023366</v>
      </c>
      <c r="W283">
        <f t="shared" si="68"/>
        <v>-33.638143580000019</v>
      </c>
      <c r="X283">
        <f t="shared" si="69"/>
        <v>3.2663623237400001</v>
      </c>
      <c r="Y283">
        <f t="shared" si="70"/>
        <v>-36.904505903740016</v>
      </c>
      <c r="Z283">
        <f t="shared" si="71"/>
        <v>41262.721739674445</v>
      </c>
      <c r="AB283">
        <f t="shared" si="72"/>
        <v>10.482135</v>
      </c>
      <c r="AC283">
        <f t="shared" si="73"/>
        <v>7193.1555010499997</v>
      </c>
      <c r="AD283">
        <f t="shared" si="74"/>
        <v>-146.6450686500001</v>
      </c>
      <c r="AE283">
        <f t="shared" si="75"/>
        <v>14.23966593345</v>
      </c>
      <c r="AF283">
        <f t="shared" si="76"/>
        <v>-160.8847345834501</v>
      </c>
      <c r="AG283">
        <f t="shared" si="66"/>
        <v>71770.672630174871</v>
      </c>
      <c r="AH283" t="b">
        <f t="shared" si="77"/>
        <v>1</v>
      </c>
    </row>
    <row r="284" spans="4:34" hidden="1" x14ac:dyDescent="0.4">
      <c r="D284" t="s">
        <v>40</v>
      </c>
      <c r="E284" t="s">
        <v>41</v>
      </c>
      <c r="F284" s="9">
        <v>45975.125</v>
      </c>
      <c r="G284">
        <v>514.61</v>
      </c>
      <c r="H284" s="9">
        <v>45976.458333333336</v>
      </c>
      <c r="I284">
        <v>638.79999999999995</v>
      </c>
      <c r="J284">
        <v>17.015999999999998</v>
      </c>
      <c r="K284" s="12">
        <v>8756.9500000000007</v>
      </c>
      <c r="L284">
        <v>14.72</v>
      </c>
      <c r="M284" s="12">
        <v>2098.5</v>
      </c>
      <c r="N284" s="13">
        <v>0.23960000000000001</v>
      </c>
      <c r="O284" t="s">
        <v>38</v>
      </c>
      <c r="Q284">
        <f t="shared" si="78"/>
        <v>2113.2170399999986</v>
      </c>
      <c r="R284">
        <f t="shared" si="79"/>
        <v>2098.4970399999988</v>
      </c>
      <c r="S284">
        <f t="shared" si="80"/>
        <v>10869.820799999998</v>
      </c>
      <c r="U284">
        <f t="shared" si="67"/>
        <v>3.2063120000000001</v>
      </c>
      <c r="V284">
        <f t="shared" si="81"/>
        <v>1650.0002183200002</v>
      </c>
      <c r="W284">
        <f t="shared" si="68"/>
        <v>398.19188727999983</v>
      </c>
      <c r="X284">
        <f t="shared" si="69"/>
        <v>3.6981923239199994</v>
      </c>
      <c r="Y284">
        <f t="shared" si="70"/>
        <v>394.49369495607982</v>
      </c>
      <c r="Z284">
        <f t="shared" si="71"/>
        <v>41299.626245578183</v>
      </c>
      <c r="AB284">
        <f t="shared" si="72"/>
        <v>13.651488000000001</v>
      </c>
      <c r="AC284">
        <f t="shared" si="73"/>
        <v>7025.1922396800001</v>
      </c>
      <c r="AD284">
        <f t="shared" si="74"/>
        <v>1695.3782947199993</v>
      </c>
      <c r="AE284">
        <f t="shared" si="75"/>
        <v>15.745762774079997</v>
      </c>
      <c r="AF284">
        <f t="shared" si="76"/>
        <v>1679.6325319459193</v>
      </c>
      <c r="AG284">
        <f t="shared" si="66"/>
        <v>71931.557364758322</v>
      </c>
      <c r="AH284" t="b">
        <f t="shared" si="77"/>
        <v>1</v>
      </c>
    </row>
    <row r="285" spans="4:34" hidden="1" x14ac:dyDescent="0.4">
      <c r="D285" t="s">
        <v>58</v>
      </c>
      <c r="E285" t="s">
        <v>37</v>
      </c>
      <c r="F285" s="9">
        <v>45974.083333333336</v>
      </c>
      <c r="G285">
        <v>15.3</v>
      </c>
      <c r="H285" s="9">
        <v>45976.083333333336</v>
      </c>
      <c r="I285">
        <v>14.15</v>
      </c>
      <c r="J285" s="12">
        <v>491.2</v>
      </c>
      <c r="K285" s="12">
        <v>7515.44</v>
      </c>
      <c r="L285">
        <v>10.85</v>
      </c>
      <c r="M285">
        <v>-575.73</v>
      </c>
      <c r="N285" s="13">
        <v>-7.6600000000000001E-2</v>
      </c>
      <c r="O285" t="s">
        <v>38</v>
      </c>
      <c r="Q285">
        <f t="shared" si="78"/>
        <v>-564.88000000000011</v>
      </c>
      <c r="R285">
        <f t="shared" si="79"/>
        <v>-575.73000000000013</v>
      </c>
      <c r="S285">
        <f t="shared" si="80"/>
        <v>6950.48</v>
      </c>
      <c r="U285">
        <f t="shared" si="67"/>
        <v>107.843137</v>
      </c>
      <c r="V285">
        <f t="shared" si="81"/>
        <v>1649.9999961000001</v>
      </c>
      <c r="W285">
        <f t="shared" si="68"/>
        <v>-124.01960755000003</v>
      </c>
      <c r="X285">
        <f t="shared" si="69"/>
        <v>3.1759803846500003</v>
      </c>
      <c r="Y285">
        <f t="shared" si="70"/>
        <v>-127.19558793465004</v>
      </c>
      <c r="Z285">
        <f t="shared" si="71"/>
        <v>40905.132550622104</v>
      </c>
      <c r="AB285">
        <f t="shared" si="72"/>
        <v>462.73001099999999</v>
      </c>
      <c r="AC285">
        <f t="shared" si="73"/>
        <v>7079.7691683000003</v>
      </c>
      <c r="AD285">
        <f t="shared" si="74"/>
        <v>-532.13951265000014</v>
      </c>
      <c r="AE285">
        <f t="shared" si="75"/>
        <v>13.627398823950001</v>
      </c>
      <c r="AF285">
        <f t="shared" si="76"/>
        <v>-545.76691147395013</v>
      </c>
      <c r="AG285">
        <f t="shared" si="66"/>
        <v>70251.924832812409</v>
      </c>
      <c r="AH285" t="b">
        <f t="shared" si="77"/>
        <v>1</v>
      </c>
    </row>
    <row r="286" spans="4:34" hidden="1" x14ac:dyDescent="0.4">
      <c r="D286" t="s">
        <v>53</v>
      </c>
      <c r="E286" t="s">
        <v>37</v>
      </c>
      <c r="F286" s="9">
        <v>45974.083333333336</v>
      </c>
      <c r="G286">
        <v>955.78</v>
      </c>
      <c r="H286" s="9">
        <v>45976.083333333336</v>
      </c>
      <c r="I286">
        <v>928</v>
      </c>
      <c r="J286" s="12">
        <v>10.433999999999999</v>
      </c>
      <c r="K286" s="12">
        <v>9972.93</v>
      </c>
      <c r="L286">
        <v>14.74</v>
      </c>
      <c r="M286">
        <v>-304.60000000000002</v>
      </c>
      <c r="N286" s="13">
        <v>-3.0499999999999999E-2</v>
      </c>
      <c r="O286" t="s">
        <v>38</v>
      </c>
      <c r="Q286">
        <f t="shared" si="78"/>
        <v>-289.8565199999997</v>
      </c>
      <c r="R286">
        <f t="shared" si="79"/>
        <v>-304.59651999999971</v>
      </c>
      <c r="S286">
        <f t="shared" si="80"/>
        <v>9682.7519999999986</v>
      </c>
      <c r="U286">
        <f t="shared" si="67"/>
        <v>1.7263390000000001</v>
      </c>
      <c r="V286">
        <f t="shared" si="81"/>
        <v>1650.0002894199999</v>
      </c>
      <c r="W286">
        <f t="shared" si="68"/>
        <v>-47.957697419999953</v>
      </c>
      <c r="X286">
        <f t="shared" si="69"/>
        <v>3.25204288142</v>
      </c>
      <c r="Y286">
        <f t="shared" si="70"/>
        <v>-51.209740301419956</v>
      </c>
      <c r="Z286">
        <f t="shared" si="71"/>
        <v>41032.328138556753</v>
      </c>
      <c r="AB286">
        <f t="shared" si="72"/>
        <v>7.4303819999999998</v>
      </c>
      <c r="AC286">
        <f t="shared" si="73"/>
        <v>7101.81050796</v>
      </c>
      <c r="AD286">
        <f t="shared" si="74"/>
        <v>-206.41601195999979</v>
      </c>
      <c r="AE286">
        <f t="shared" si="75"/>
        <v>13.99720500396</v>
      </c>
      <c r="AF286">
        <f t="shared" si="76"/>
        <v>-220.4132169639598</v>
      </c>
      <c r="AG286">
        <f t="shared" si="66"/>
        <v>70797.691744286363</v>
      </c>
      <c r="AH286" t="b">
        <f t="shared" si="77"/>
        <v>1</v>
      </c>
    </row>
    <row r="287" spans="4:34" hidden="1" x14ac:dyDescent="0.4">
      <c r="D287" t="s">
        <v>61</v>
      </c>
      <c r="E287" t="s">
        <v>37</v>
      </c>
      <c r="F287" s="9">
        <v>45973.375</v>
      </c>
      <c r="G287">
        <v>0.56499999999999995</v>
      </c>
      <c r="H287" s="9">
        <v>45975.375</v>
      </c>
      <c r="I287">
        <v>0.51970000000000005</v>
      </c>
      <c r="J287" s="12">
        <v>15158.7</v>
      </c>
      <c r="K287" s="12">
        <v>8564.7099999999991</v>
      </c>
      <c r="L287">
        <v>12.33</v>
      </c>
      <c r="M287">
        <v>-699.02</v>
      </c>
      <c r="N287" s="13">
        <v>-8.1600000000000006E-2</v>
      </c>
      <c r="O287" t="s">
        <v>38</v>
      </c>
      <c r="Q287">
        <f t="shared" si="78"/>
        <v>-686.68910999999844</v>
      </c>
      <c r="R287">
        <f t="shared" si="79"/>
        <v>-699.01910999999848</v>
      </c>
      <c r="S287">
        <f t="shared" si="80"/>
        <v>7877.9763900000007</v>
      </c>
      <c r="U287">
        <f t="shared" si="67"/>
        <v>2920.3539820000001</v>
      </c>
      <c r="V287">
        <f t="shared" si="81"/>
        <v>1649.99999983</v>
      </c>
      <c r="W287">
        <f t="shared" si="68"/>
        <v>-132.2920353845997</v>
      </c>
      <c r="X287">
        <f t="shared" si="69"/>
        <v>3.1677079642754005</v>
      </c>
      <c r="Y287">
        <f t="shared" si="70"/>
        <v>-135.45974334887509</v>
      </c>
      <c r="Z287">
        <f t="shared" si="71"/>
        <v>41083.537878858173</v>
      </c>
      <c r="AB287">
        <f t="shared" si="72"/>
        <v>12673.622502</v>
      </c>
      <c r="AC287">
        <f t="shared" si="73"/>
        <v>7160.5967136299996</v>
      </c>
      <c r="AD287">
        <f t="shared" si="74"/>
        <v>-574.1150993405987</v>
      </c>
      <c r="AE287">
        <f t="shared" si="75"/>
        <v>13.747078327919402</v>
      </c>
      <c r="AF287">
        <f t="shared" si="76"/>
        <v>-587.86217766851814</v>
      </c>
      <c r="AG287">
        <f t="shared" si="66"/>
        <v>71018.104961250327</v>
      </c>
      <c r="AH287" t="b">
        <f t="shared" si="77"/>
        <v>1</v>
      </c>
    </row>
    <row r="288" spans="4:34" hidden="1" x14ac:dyDescent="0.4">
      <c r="D288" t="s">
        <v>50</v>
      </c>
      <c r="E288" t="s">
        <v>37</v>
      </c>
      <c r="F288" s="9">
        <v>45973.166666666664</v>
      </c>
      <c r="G288" s="12">
        <v>363.2</v>
      </c>
      <c r="H288" s="9">
        <v>45975.166666666664</v>
      </c>
      <c r="I288" s="12">
        <v>336.2</v>
      </c>
      <c r="J288">
        <v>38.3294</v>
      </c>
      <c r="K288" s="12">
        <v>13921.25</v>
      </c>
      <c r="L288">
        <v>20.11</v>
      </c>
      <c r="M288" s="12">
        <v>-1055</v>
      </c>
      <c r="N288" s="13">
        <v>-7.5800000000000006E-2</v>
      </c>
      <c r="O288" t="s">
        <v>38</v>
      </c>
      <c r="Q288">
        <f t="shared" si="78"/>
        <v>-1034.8938000000001</v>
      </c>
      <c r="R288">
        <f t="shared" si="79"/>
        <v>-1055.0038</v>
      </c>
      <c r="S288">
        <f t="shared" si="80"/>
        <v>12886.344279999999</v>
      </c>
      <c r="U288">
        <f t="shared" si="67"/>
        <v>4.5429519999999997</v>
      </c>
      <c r="V288">
        <f t="shared" si="81"/>
        <v>1650.0001663999999</v>
      </c>
      <c r="W288">
        <f t="shared" si="68"/>
        <v>-122.65970399999999</v>
      </c>
      <c r="X288">
        <f t="shared" si="69"/>
        <v>3.1773406287999997</v>
      </c>
      <c r="Y288">
        <f t="shared" si="70"/>
        <v>-125.83704462879999</v>
      </c>
      <c r="Z288">
        <f t="shared" si="71"/>
        <v>41218.997622207047</v>
      </c>
      <c r="AB288">
        <f t="shared" si="72"/>
        <v>19.866813</v>
      </c>
      <c r="AC288">
        <f t="shared" si="73"/>
        <v>7215.6264816000003</v>
      </c>
      <c r="AD288">
        <f t="shared" si="74"/>
        <v>-536.40395100000001</v>
      </c>
      <c r="AE288">
        <f t="shared" si="75"/>
        <v>13.8948490122</v>
      </c>
      <c r="AF288">
        <f t="shared" si="76"/>
        <v>-550.29880001219999</v>
      </c>
      <c r="AG288">
        <f t="shared" si="66"/>
        <v>71605.967138918844</v>
      </c>
      <c r="AH288" t="b">
        <f t="shared" si="77"/>
        <v>1</v>
      </c>
    </row>
    <row r="289" spans="4:34" hidden="1" x14ac:dyDescent="0.4">
      <c r="D289" t="s">
        <v>55</v>
      </c>
      <c r="E289" t="s">
        <v>37</v>
      </c>
      <c r="F289" s="9">
        <v>45973.083333333336</v>
      </c>
      <c r="G289">
        <v>3.5540000000000002E-5</v>
      </c>
      <c r="H289" s="9">
        <v>45975.083333333336</v>
      </c>
      <c r="I289">
        <v>3.277E-5</v>
      </c>
      <c r="J289" s="12">
        <v>166886708.38999999</v>
      </c>
      <c r="K289" s="12">
        <v>5931.15</v>
      </c>
      <c r="L289">
        <v>8.5500000000000007</v>
      </c>
      <c r="M289">
        <v>-470.83</v>
      </c>
      <c r="N289" s="13">
        <v>-7.9399999999999998E-2</v>
      </c>
      <c r="O289" t="s">
        <v>38</v>
      </c>
      <c r="Q289">
        <f t="shared" si="78"/>
        <v>-462.27618224030033</v>
      </c>
      <c r="R289">
        <f t="shared" si="79"/>
        <v>-470.82618224030034</v>
      </c>
      <c r="S289">
        <f t="shared" si="80"/>
        <v>5468.8774339402999</v>
      </c>
      <c r="U289">
        <f t="shared" si="67"/>
        <v>46426561.620709002</v>
      </c>
      <c r="V289">
        <f t="shared" si="81"/>
        <v>1649.999999999998</v>
      </c>
      <c r="W289">
        <f t="shared" si="68"/>
        <v>-128.60157568936404</v>
      </c>
      <c r="X289">
        <f t="shared" si="69"/>
        <v>3.1713984243106323</v>
      </c>
      <c r="Y289">
        <f t="shared" si="70"/>
        <v>-131.77297411367468</v>
      </c>
      <c r="Z289">
        <f t="shared" si="71"/>
        <v>41344.83466683585</v>
      </c>
      <c r="AB289">
        <f t="shared" si="72"/>
        <v>204662809.333967</v>
      </c>
      <c r="AC289">
        <f t="shared" si="73"/>
        <v>7273.7162437291872</v>
      </c>
      <c r="AD289">
        <f t="shared" si="74"/>
        <v>-566.91598185508906</v>
      </c>
      <c r="AE289">
        <f t="shared" si="75"/>
        <v>13.980516505603287</v>
      </c>
      <c r="AF289">
        <f t="shared" si="76"/>
        <v>-580.89649836069236</v>
      </c>
      <c r="AG289">
        <f t="shared" si="66"/>
        <v>72156.265938931043</v>
      </c>
      <c r="AH289" t="b">
        <f t="shared" si="77"/>
        <v>1</v>
      </c>
    </row>
    <row r="290" spans="4:34" hidden="1" x14ac:dyDescent="0.4">
      <c r="D290" t="s">
        <v>40</v>
      </c>
      <c r="E290" t="s">
        <v>41</v>
      </c>
      <c r="F290" s="9">
        <v>45973.75</v>
      </c>
      <c r="G290">
        <v>467.21</v>
      </c>
      <c r="H290" s="9">
        <v>45975.083333333336</v>
      </c>
      <c r="I290">
        <v>507.9</v>
      </c>
      <c r="J290">
        <v>18.584</v>
      </c>
      <c r="K290" s="12">
        <v>8682.69</v>
      </c>
      <c r="L290">
        <v>13.59</v>
      </c>
      <c r="M290">
        <v>742.59</v>
      </c>
      <c r="N290" s="13">
        <v>8.5500000000000007E-2</v>
      </c>
      <c r="O290" t="s">
        <v>38</v>
      </c>
      <c r="Q290">
        <f t="shared" si="78"/>
        <v>756.18295999999998</v>
      </c>
      <c r="R290">
        <f t="shared" si="79"/>
        <v>742.59295999999995</v>
      </c>
      <c r="S290">
        <f t="shared" si="80"/>
        <v>9438.8135999999995</v>
      </c>
      <c r="U290">
        <f t="shared" si="67"/>
        <v>3.5316019999999999</v>
      </c>
      <c r="V290">
        <f t="shared" si="81"/>
        <v>1649.9997704199998</v>
      </c>
      <c r="W290">
        <f t="shared" si="68"/>
        <v>143.70088537999999</v>
      </c>
      <c r="X290">
        <f t="shared" si="69"/>
        <v>3.4437004262199995</v>
      </c>
      <c r="Y290">
        <f t="shared" si="70"/>
        <v>140.25718495377998</v>
      </c>
      <c r="Z290">
        <f t="shared" si="71"/>
        <v>41476.607640949522</v>
      </c>
      <c r="AB290">
        <f t="shared" si="72"/>
        <v>15.437186000000001</v>
      </c>
      <c r="AC290">
        <f t="shared" si="73"/>
        <v>7212.4076710600002</v>
      </c>
      <c r="AD290">
        <f t="shared" si="74"/>
        <v>628.13909834000003</v>
      </c>
      <c r="AE290">
        <f t="shared" si="75"/>
        <v>15.052954440459999</v>
      </c>
      <c r="AF290">
        <f t="shared" si="76"/>
        <v>613.08614389954005</v>
      </c>
      <c r="AG290">
        <f t="shared" si="66"/>
        <v>72737.162437291729</v>
      </c>
      <c r="AH290" t="b">
        <f t="shared" si="77"/>
        <v>1</v>
      </c>
    </row>
    <row r="291" spans="4:34" hidden="1" x14ac:dyDescent="0.4">
      <c r="D291" t="s">
        <v>48</v>
      </c>
      <c r="E291" t="s">
        <v>37</v>
      </c>
      <c r="F291" s="9">
        <v>45973.041666666664</v>
      </c>
      <c r="G291" s="12">
        <v>4.9299999999999997E-2</v>
      </c>
      <c r="H291" s="9">
        <v>45975.041666666664</v>
      </c>
      <c r="I291" s="12">
        <v>4.5999999999999999E-2</v>
      </c>
      <c r="J291" s="12">
        <v>60515.4</v>
      </c>
      <c r="K291" s="12">
        <v>2983.41</v>
      </c>
      <c r="L291">
        <v>4.33</v>
      </c>
      <c r="M291">
        <v>-204.03</v>
      </c>
      <c r="N291" s="13">
        <v>-6.8400000000000002E-2</v>
      </c>
      <c r="O291" t="s">
        <v>38</v>
      </c>
      <c r="Q291">
        <f t="shared" si="78"/>
        <v>-199.70081999999985</v>
      </c>
      <c r="R291">
        <f t="shared" si="79"/>
        <v>-204.03081999999986</v>
      </c>
      <c r="S291">
        <f t="shared" si="80"/>
        <v>2783.7084</v>
      </c>
      <c r="U291">
        <f t="shared" si="67"/>
        <v>33468.559838000001</v>
      </c>
      <c r="V291">
        <f t="shared" si="81"/>
        <v>1650.0000000134</v>
      </c>
      <c r="W291">
        <f t="shared" si="68"/>
        <v>-110.44624746539992</v>
      </c>
      <c r="X291">
        <f t="shared" si="69"/>
        <v>3.1895537525613999</v>
      </c>
      <c r="Y291">
        <f t="shared" si="70"/>
        <v>-113.63580121796132</v>
      </c>
      <c r="Z291">
        <f t="shared" si="71"/>
        <v>41336.350455995744</v>
      </c>
      <c r="AB291">
        <f t="shared" si="72"/>
        <v>147310.83319500001</v>
      </c>
      <c r="AC291">
        <f t="shared" si="73"/>
        <v>7262.4240765135</v>
      </c>
      <c r="AD291">
        <f t="shared" si="74"/>
        <v>-486.12574954349964</v>
      </c>
      <c r="AE291">
        <f t="shared" si="75"/>
        <v>14.038722403483501</v>
      </c>
      <c r="AF291">
        <f t="shared" si="76"/>
        <v>-500.16447194698316</v>
      </c>
      <c r="AG291">
        <f t="shared" si="66"/>
        <v>72124.076293392194</v>
      </c>
      <c r="AH291" t="b">
        <f t="shared" si="77"/>
        <v>1</v>
      </c>
    </row>
    <row r="292" spans="4:34" hidden="1" x14ac:dyDescent="0.4">
      <c r="D292" t="s">
        <v>56</v>
      </c>
      <c r="E292" t="s">
        <v>37</v>
      </c>
      <c r="F292" s="9">
        <v>45974.083333333336</v>
      </c>
      <c r="G292" s="12">
        <v>3424.3</v>
      </c>
      <c r="H292" s="9">
        <v>45974.708333333336</v>
      </c>
      <c r="I292" s="12">
        <v>3341.64</v>
      </c>
      <c r="J292">
        <v>1.7171000000000001</v>
      </c>
      <c r="K292" s="12">
        <v>5879.92</v>
      </c>
      <c r="L292">
        <v>8.7100000000000009</v>
      </c>
      <c r="M292">
        <v>-150.63999999999999</v>
      </c>
      <c r="N292" s="13">
        <v>-2.5600000000000001E-2</v>
      </c>
      <c r="O292" t="s">
        <v>49</v>
      </c>
      <c r="Q292">
        <f t="shared" si="78"/>
        <v>-141.93548600000054</v>
      </c>
      <c r="R292">
        <f t="shared" si="79"/>
        <v>-150.64548600000055</v>
      </c>
      <c r="S292">
        <f t="shared" si="80"/>
        <v>5737.9300439999997</v>
      </c>
      <c r="U292">
        <f t="shared" si="67"/>
        <v>0.48185</v>
      </c>
      <c r="V292">
        <f t="shared" si="81"/>
        <v>1649.998955</v>
      </c>
      <c r="W292">
        <f t="shared" si="68"/>
        <v>-39.829721000000148</v>
      </c>
      <c r="X292">
        <f t="shared" si="69"/>
        <v>3.2601681890000003</v>
      </c>
      <c r="Y292">
        <f t="shared" si="70"/>
        <v>-43.089889189000147</v>
      </c>
      <c r="Z292">
        <f t="shared" si="71"/>
        <v>41449.986257213706</v>
      </c>
      <c r="AB292">
        <f t="shared" si="72"/>
        <v>2.1264020000000001</v>
      </c>
      <c r="AC292">
        <f t="shared" si="73"/>
        <v>7281.438368600001</v>
      </c>
      <c r="AD292">
        <f t="shared" si="74"/>
        <v>-175.76838932000067</v>
      </c>
      <c r="AE292">
        <f t="shared" si="75"/>
        <v>14.387108347880002</v>
      </c>
      <c r="AF292">
        <f t="shared" si="76"/>
        <v>-190.15549766788067</v>
      </c>
      <c r="AG292">
        <f t="shared" si="66"/>
        <v>72624.240765339171</v>
      </c>
      <c r="AH292" t="b">
        <f t="shared" si="77"/>
        <v>1</v>
      </c>
    </row>
    <row r="293" spans="4:34" hidden="1" x14ac:dyDescent="0.4">
      <c r="D293" t="s">
        <v>60</v>
      </c>
      <c r="E293" t="s">
        <v>37</v>
      </c>
      <c r="F293" s="9">
        <v>45971.666666666664</v>
      </c>
      <c r="G293">
        <v>2.5293999999999999</v>
      </c>
      <c r="H293" s="9">
        <v>45974.166666666664</v>
      </c>
      <c r="I293">
        <v>2.4830999999999999</v>
      </c>
      <c r="J293" s="12">
        <v>905.5</v>
      </c>
      <c r="K293" s="12">
        <v>2290.5300000000002</v>
      </c>
      <c r="L293">
        <v>3.4</v>
      </c>
      <c r="M293">
        <v>-45.33</v>
      </c>
      <c r="N293" s="13">
        <v>-1.9800000000000002E-2</v>
      </c>
      <c r="O293" t="s">
        <v>57</v>
      </c>
      <c r="Q293">
        <f t="shared" si="78"/>
        <v>-41.924650000000007</v>
      </c>
      <c r="R293">
        <f t="shared" si="79"/>
        <v>-45.324650000000005</v>
      </c>
      <c r="S293">
        <f t="shared" si="80"/>
        <v>2248.4470499999998</v>
      </c>
      <c r="U293">
        <f t="shared" si="67"/>
        <v>652.32861500000001</v>
      </c>
      <c r="V293">
        <f t="shared" si="81"/>
        <v>1649.9999987809999</v>
      </c>
      <c r="W293">
        <f t="shared" si="68"/>
        <v>-30.202814874500007</v>
      </c>
      <c r="X293">
        <f t="shared" si="69"/>
        <v>3.2697971826874999</v>
      </c>
      <c r="Y293">
        <f t="shared" si="70"/>
        <v>-33.472612057187504</v>
      </c>
      <c r="Z293">
        <f t="shared" si="71"/>
        <v>41493.076146402709</v>
      </c>
      <c r="AB293">
        <f t="shared" si="72"/>
        <v>2884.5738500000002</v>
      </c>
      <c r="AC293">
        <f t="shared" si="73"/>
        <v>7296.2410961900005</v>
      </c>
      <c r="AD293">
        <f t="shared" si="74"/>
        <v>-133.55576925500003</v>
      </c>
      <c r="AE293">
        <f t="shared" si="75"/>
        <v>14.458926423125</v>
      </c>
      <c r="AF293">
        <f t="shared" si="76"/>
        <v>-148.01469567812504</v>
      </c>
      <c r="AG293">
        <f t="shared" si="66"/>
        <v>72814.396263007045</v>
      </c>
      <c r="AH293" t="b">
        <f t="shared" si="77"/>
        <v>1</v>
      </c>
    </row>
    <row r="294" spans="4:34" hidden="1" x14ac:dyDescent="0.4">
      <c r="D294" t="s">
        <v>58</v>
      </c>
      <c r="E294" t="s">
        <v>37</v>
      </c>
      <c r="F294" s="9">
        <v>45971.958333333336</v>
      </c>
      <c r="G294">
        <v>16.43</v>
      </c>
      <c r="H294" s="9">
        <v>45973.958333333336</v>
      </c>
      <c r="I294">
        <v>15.26</v>
      </c>
      <c r="J294" s="12">
        <v>460.76</v>
      </c>
      <c r="K294" s="12">
        <v>7570.45</v>
      </c>
      <c r="L294">
        <v>10.95</v>
      </c>
      <c r="M294">
        <v>-550.04</v>
      </c>
      <c r="N294" s="13">
        <v>-7.2700000000000001E-2</v>
      </c>
      <c r="O294" t="s">
        <v>38</v>
      </c>
      <c r="Q294">
        <f t="shared" si="78"/>
        <v>-539.08920000000001</v>
      </c>
      <c r="R294">
        <f t="shared" si="79"/>
        <v>-550.03920000000005</v>
      </c>
      <c r="S294">
        <f t="shared" si="80"/>
        <v>7031.1975999999995</v>
      </c>
      <c r="U294">
        <f t="shared" si="67"/>
        <v>100.42605</v>
      </c>
      <c r="V294">
        <f t="shared" si="81"/>
        <v>1650.0000015000001</v>
      </c>
      <c r="W294">
        <f t="shared" si="68"/>
        <v>-117.49847849999999</v>
      </c>
      <c r="X294">
        <f t="shared" si="69"/>
        <v>3.1825015244999997</v>
      </c>
      <c r="Y294">
        <f t="shared" si="70"/>
        <v>-120.68098002449999</v>
      </c>
      <c r="Z294">
        <f t="shared" si="71"/>
        <v>41526.548758459896</v>
      </c>
      <c r="AB294">
        <f t="shared" si="72"/>
        <v>447.35234200000002</v>
      </c>
      <c r="AC294">
        <f t="shared" si="73"/>
        <v>7349.9989790600002</v>
      </c>
      <c r="AD294">
        <f t="shared" si="74"/>
        <v>-523.40224014</v>
      </c>
      <c r="AE294">
        <f t="shared" si="75"/>
        <v>14.17659571798</v>
      </c>
      <c r="AF294">
        <f t="shared" si="76"/>
        <v>-537.57883585798004</v>
      </c>
      <c r="AG294">
        <f t="shared" si="66"/>
        <v>72962.41095868517</v>
      </c>
      <c r="AH294" t="b">
        <f t="shared" si="77"/>
        <v>1</v>
      </c>
    </row>
    <row r="295" spans="4:34" hidden="1" x14ac:dyDescent="0.4">
      <c r="D295" t="s">
        <v>59</v>
      </c>
      <c r="E295" t="s">
        <v>37</v>
      </c>
      <c r="F295" s="9">
        <v>45971.416666666664</v>
      </c>
      <c r="G295" s="12">
        <v>106447.22</v>
      </c>
      <c r="H295" s="9">
        <v>45973.916666666664</v>
      </c>
      <c r="I295" s="12">
        <v>101919.56</v>
      </c>
      <c r="J295">
        <v>0.10061</v>
      </c>
      <c r="K295" s="12">
        <v>10710.16</v>
      </c>
      <c r="L295">
        <v>15.72</v>
      </c>
      <c r="M295">
        <v>-471.25</v>
      </c>
      <c r="N295" s="13">
        <v>-4.3999999999999997E-2</v>
      </c>
      <c r="O295" t="s">
        <v>57</v>
      </c>
      <c r="Q295">
        <f t="shared" si="78"/>
        <v>-455.52787260000036</v>
      </c>
      <c r="R295">
        <f t="shared" si="79"/>
        <v>-471.24787260000039</v>
      </c>
      <c r="S295">
        <f t="shared" si="80"/>
        <v>10254.1269316</v>
      </c>
      <c r="U295">
        <f t="shared" si="67"/>
        <v>1.5500999999999999E-2</v>
      </c>
      <c r="V295">
        <f t="shared" si="81"/>
        <v>1650.0383572199999</v>
      </c>
      <c r="W295">
        <f t="shared" si="68"/>
        <v>-70.183257660000052</v>
      </c>
      <c r="X295">
        <f t="shared" si="69"/>
        <v>3.2298934567799997</v>
      </c>
      <c r="Y295">
        <f t="shared" si="70"/>
        <v>-73.413151116780057</v>
      </c>
      <c r="Z295">
        <f t="shared" si="71"/>
        <v>41647.229738484399</v>
      </c>
      <c r="AB295">
        <f t="shared" si="72"/>
        <v>6.9357000000000002E-2</v>
      </c>
      <c r="AC295">
        <f t="shared" si="73"/>
        <v>7382.8598375400006</v>
      </c>
      <c r="AD295">
        <f t="shared" si="74"/>
        <v>-314.02491462000023</v>
      </c>
      <c r="AE295">
        <f t="shared" si="75"/>
        <v>14.451694760460001</v>
      </c>
      <c r="AF295">
        <f t="shared" si="76"/>
        <v>-328.47660938046022</v>
      </c>
      <c r="AG295">
        <f t="shared" si="66"/>
        <v>73499.989794543144</v>
      </c>
      <c r="AH295" t="b">
        <f t="shared" si="77"/>
        <v>1</v>
      </c>
    </row>
    <row r="296" spans="4:34" hidden="1" x14ac:dyDescent="0.4">
      <c r="D296" t="s">
        <v>56</v>
      </c>
      <c r="E296" t="s">
        <v>37</v>
      </c>
      <c r="F296" s="9">
        <v>45973.083333333336</v>
      </c>
      <c r="G296" s="12">
        <v>3446.77</v>
      </c>
      <c r="H296" s="9">
        <v>45973.708333333336</v>
      </c>
      <c r="I296" s="12">
        <v>3373.38</v>
      </c>
      <c r="J296">
        <v>1.7098</v>
      </c>
      <c r="K296" s="12">
        <v>5893.34</v>
      </c>
      <c r="L296">
        <v>8.75</v>
      </c>
      <c r="M296">
        <v>-134.22999999999999</v>
      </c>
      <c r="N296" s="13">
        <v>-2.2800000000000001E-2</v>
      </c>
      <c r="O296" t="s">
        <v>49</v>
      </c>
      <c r="Q296">
        <f t="shared" si="78"/>
        <v>-125.48222199999978</v>
      </c>
      <c r="R296">
        <f t="shared" si="79"/>
        <v>-134.23222199999978</v>
      </c>
      <c r="S296">
        <f t="shared" si="80"/>
        <v>5767.8051240000004</v>
      </c>
      <c r="U296">
        <f t="shared" si="67"/>
        <v>0.478709</v>
      </c>
      <c r="V296">
        <f t="shared" si="81"/>
        <v>1649.9998199300001</v>
      </c>
      <c r="W296">
        <f t="shared" si="68"/>
        <v>-35.132453509999941</v>
      </c>
      <c r="X296">
        <f t="shared" si="69"/>
        <v>3.2648671863500001</v>
      </c>
      <c r="Y296">
        <f t="shared" si="70"/>
        <v>-38.397320696349944</v>
      </c>
      <c r="Z296">
        <f t="shared" si="71"/>
        <v>41720.642889601178</v>
      </c>
      <c r="AB296">
        <f t="shared" si="72"/>
        <v>2.146957</v>
      </c>
      <c r="AC296">
        <f t="shared" si="73"/>
        <v>7400.0669788900004</v>
      </c>
      <c r="AD296">
        <f t="shared" si="74"/>
        <v>-157.56517422999974</v>
      </c>
      <c r="AE296">
        <f t="shared" si="75"/>
        <v>14.642568783550001</v>
      </c>
      <c r="AF296">
        <f t="shared" si="76"/>
        <v>-172.20774301354973</v>
      </c>
      <c r="AG296">
        <f t="shared" si="66"/>
        <v>73828.466403923609</v>
      </c>
      <c r="AH296" t="b">
        <f t="shared" si="77"/>
        <v>1</v>
      </c>
    </row>
    <row r="297" spans="4:34" hidden="1" x14ac:dyDescent="0.4">
      <c r="D297" t="s">
        <v>61</v>
      </c>
      <c r="E297" t="s">
        <v>37</v>
      </c>
      <c r="F297" s="9">
        <v>45971.333333333336</v>
      </c>
      <c r="G297" s="12">
        <v>0.58940000000000003</v>
      </c>
      <c r="H297" s="9">
        <v>45973.333333333336</v>
      </c>
      <c r="I297" s="12">
        <v>0.55679999999999996</v>
      </c>
      <c r="J297" s="12">
        <v>14614.1</v>
      </c>
      <c r="K297" s="12">
        <v>8613.61</v>
      </c>
      <c r="L297">
        <v>12.56</v>
      </c>
      <c r="M297">
        <v>-488.98</v>
      </c>
      <c r="N297" s="13">
        <v>-5.6800000000000003E-2</v>
      </c>
      <c r="O297" t="s">
        <v>38</v>
      </c>
      <c r="Q297">
        <f t="shared" si="78"/>
        <v>-476.4196600000011</v>
      </c>
      <c r="R297">
        <f t="shared" si="79"/>
        <v>-488.9796600000011</v>
      </c>
      <c r="S297">
        <f t="shared" si="80"/>
        <v>8137.1308799999997</v>
      </c>
      <c r="U297">
        <f t="shared" si="67"/>
        <v>2799.4570749999998</v>
      </c>
      <c r="V297">
        <f t="shared" si="81"/>
        <v>1650.0000000049999</v>
      </c>
      <c r="W297">
        <f t="shared" si="68"/>
        <v>-91.262300645000195</v>
      </c>
      <c r="X297">
        <f t="shared" si="69"/>
        <v>3.2087376993649999</v>
      </c>
      <c r="Y297">
        <f t="shared" si="70"/>
        <v>-94.471038344365198</v>
      </c>
      <c r="Z297">
        <f t="shared" si="71"/>
        <v>41759.040210297528</v>
      </c>
      <c r="AB297">
        <f t="shared" si="72"/>
        <v>12627.554484</v>
      </c>
      <c r="AC297">
        <f t="shared" si="73"/>
        <v>7442.6806128696007</v>
      </c>
      <c r="AD297">
        <f t="shared" si="74"/>
        <v>-411.65827617840091</v>
      </c>
      <c r="AE297">
        <f t="shared" si="75"/>
        <v>14.473702949560801</v>
      </c>
      <c r="AF297">
        <f t="shared" si="76"/>
        <v>-426.1319791279617</v>
      </c>
      <c r="AG297">
        <f t="shared" si="66"/>
        <v>74000.674146937163</v>
      </c>
      <c r="AH297" t="b">
        <f t="shared" si="77"/>
        <v>1</v>
      </c>
    </row>
    <row r="298" spans="4:34" hidden="1" x14ac:dyDescent="0.4">
      <c r="D298" t="s">
        <v>48</v>
      </c>
      <c r="E298" t="s">
        <v>37</v>
      </c>
      <c r="F298" s="9">
        <v>45971.041666666664</v>
      </c>
      <c r="G298" s="12">
        <v>5.28E-2</v>
      </c>
      <c r="H298" s="9">
        <v>45973.041666666664</v>
      </c>
      <c r="I298" s="12">
        <v>4.9299999999999997E-2</v>
      </c>
      <c r="J298" s="12">
        <v>56889.4</v>
      </c>
      <c r="K298" s="12">
        <v>3003.76</v>
      </c>
      <c r="L298">
        <v>4.3600000000000003</v>
      </c>
      <c r="M298">
        <v>-203.47</v>
      </c>
      <c r="N298" s="13">
        <v>-6.7699999999999996E-2</v>
      </c>
      <c r="O298" t="s">
        <v>38</v>
      </c>
      <c r="Q298">
        <f t="shared" si="78"/>
        <v>-199.1129000000002</v>
      </c>
      <c r="R298">
        <f t="shared" si="79"/>
        <v>-203.47290000000021</v>
      </c>
      <c r="S298">
        <f t="shared" si="80"/>
        <v>2804.6474199999998</v>
      </c>
      <c r="U298">
        <f t="shared" si="67"/>
        <v>31250</v>
      </c>
      <c r="V298">
        <f t="shared" si="81"/>
        <v>1650</v>
      </c>
      <c r="W298">
        <f t="shared" si="68"/>
        <v>-109.3750000000001</v>
      </c>
      <c r="X298">
        <f t="shared" si="69"/>
        <v>3.1906250000000003</v>
      </c>
      <c r="Y298">
        <f t="shared" si="70"/>
        <v>-112.5656250000001</v>
      </c>
      <c r="Z298">
        <f t="shared" si="71"/>
        <v>41853.511248641895</v>
      </c>
      <c r="AB298">
        <f t="shared" si="72"/>
        <v>141928.11627599999</v>
      </c>
      <c r="AC298">
        <f t="shared" si="73"/>
        <v>7493.8045393727989</v>
      </c>
      <c r="AD298">
        <f t="shared" si="74"/>
        <v>-496.7484069660004</v>
      </c>
      <c r="AE298">
        <f t="shared" si="75"/>
        <v>14.490860671779599</v>
      </c>
      <c r="AF298">
        <f t="shared" si="76"/>
        <v>-511.23926763778002</v>
      </c>
      <c r="AG298">
        <f t="shared" ref="AG298:AG361" si="82">AG299*AH298 + (1-AH298)*AI298+AF298</f>
        <v>74426.80612606513</v>
      </c>
      <c r="AH298" t="b">
        <f t="shared" si="77"/>
        <v>1</v>
      </c>
    </row>
    <row r="299" spans="4:34" hidden="1" x14ac:dyDescent="0.4">
      <c r="D299" t="s">
        <v>43</v>
      </c>
      <c r="E299" t="s">
        <v>37</v>
      </c>
      <c r="F299" s="9">
        <v>45970.791666666664</v>
      </c>
      <c r="G299">
        <v>2.1373000000000002</v>
      </c>
      <c r="H299" s="9">
        <v>45972.791666666664</v>
      </c>
      <c r="I299">
        <v>2.0634000000000001</v>
      </c>
      <c r="J299">
        <v>912.2</v>
      </c>
      <c r="K299" s="12">
        <v>1949.72</v>
      </c>
      <c r="L299">
        <v>2.87</v>
      </c>
      <c r="M299">
        <v>-70.290000000000006</v>
      </c>
      <c r="N299" s="13">
        <v>-3.5999999999999997E-2</v>
      </c>
      <c r="O299" t="s">
        <v>38</v>
      </c>
      <c r="Q299">
        <f t="shared" si="78"/>
        <v>-67.411580000000072</v>
      </c>
      <c r="R299">
        <f t="shared" si="79"/>
        <v>-70.281580000000076</v>
      </c>
      <c r="S299">
        <f t="shared" si="80"/>
        <v>1882.2334800000001</v>
      </c>
      <c r="U299">
        <f t="shared" si="67"/>
        <v>772.00205900000003</v>
      </c>
      <c r="V299">
        <f t="shared" si="81"/>
        <v>1650.0000007007002</v>
      </c>
      <c r="W299">
        <f t="shared" si="68"/>
        <v>-57.05095216010006</v>
      </c>
      <c r="X299">
        <f t="shared" si="69"/>
        <v>3.2429490492413007</v>
      </c>
      <c r="Y299">
        <f t="shared" si="70"/>
        <v>-60.293901209341364</v>
      </c>
      <c r="Z299">
        <f t="shared" si="71"/>
        <v>41966.076873641898</v>
      </c>
      <c r="AB299">
        <f t="shared" si="72"/>
        <v>3519.0608010000001</v>
      </c>
      <c r="AC299">
        <f t="shared" si="73"/>
        <v>7521.2886499773012</v>
      </c>
      <c r="AD299">
        <f t="shared" si="74"/>
        <v>-260.05859319390026</v>
      </c>
      <c r="AE299">
        <f t="shared" si="75"/>
        <v>14.782518706760703</v>
      </c>
      <c r="AF299">
        <f t="shared" si="76"/>
        <v>-274.84111190066096</v>
      </c>
      <c r="AG299">
        <f t="shared" si="82"/>
        <v>74938.045393702909</v>
      </c>
      <c r="AH299" t="b">
        <f t="shared" si="77"/>
        <v>1</v>
      </c>
    </row>
    <row r="300" spans="4:34" hidden="1" x14ac:dyDescent="0.4">
      <c r="D300" t="s">
        <v>54</v>
      </c>
      <c r="E300" t="s">
        <v>37</v>
      </c>
      <c r="F300" s="9">
        <v>45970.791666666664</v>
      </c>
      <c r="G300">
        <v>163.97</v>
      </c>
      <c r="H300" s="9">
        <v>45972.791666666664</v>
      </c>
      <c r="I300">
        <v>158.94999999999999</v>
      </c>
      <c r="J300" s="12">
        <v>31.053000000000001</v>
      </c>
      <c r="K300" s="12">
        <v>5091.8</v>
      </c>
      <c r="L300">
        <v>7.52</v>
      </c>
      <c r="M300">
        <v>-163.41</v>
      </c>
      <c r="N300" s="13">
        <v>-3.2099999999999997E-2</v>
      </c>
      <c r="O300" t="s">
        <v>38</v>
      </c>
      <c r="Q300">
        <f t="shared" si="78"/>
        <v>-155.88606000000033</v>
      </c>
      <c r="R300">
        <f t="shared" si="79"/>
        <v>-163.40606000000034</v>
      </c>
      <c r="S300">
        <f t="shared" si="80"/>
        <v>4935.87435</v>
      </c>
      <c r="U300">
        <f t="shared" si="67"/>
        <v>10.062816</v>
      </c>
      <c r="V300">
        <f t="shared" si="81"/>
        <v>1649.99993952</v>
      </c>
      <c r="W300">
        <f t="shared" si="68"/>
        <v>-50.515336320000102</v>
      </c>
      <c r="X300">
        <f t="shared" si="69"/>
        <v>3.2494845427199999</v>
      </c>
      <c r="Y300">
        <f t="shared" si="70"/>
        <v>-53.7648208627201</v>
      </c>
      <c r="Z300">
        <f t="shared" si="71"/>
        <v>42026.370774851239</v>
      </c>
      <c r="AB300">
        <f t="shared" si="72"/>
        <v>46.019862000000003</v>
      </c>
      <c r="AC300">
        <f t="shared" si="73"/>
        <v>7545.8767721400009</v>
      </c>
      <c r="AD300">
        <f t="shared" si="74"/>
        <v>-231.01970724000049</v>
      </c>
      <c r="AE300">
        <f t="shared" si="75"/>
        <v>14.86073383704</v>
      </c>
      <c r="AF300">
        <f t="shared" si="76"/>
        <v>-245.88044107704047</v>
      </c>
      <c r="AG300">
        <f t="shared" si="82"/>
        <v>75212.886505603572</v>
      </c>
      <c r="AH300" t="b">
        <f t="shared" si="77"/>
        <v>1</v>
      </c>
    </row>
    <row r="301" spans="4:34" hidden="1" x14ac:dyDescent="0.4">
      <c r="D301" t="s">
        <v>55</v>
      </c>
      <c r="E301" t="s">
        <v>37</v>
      </c>
      <c r="F301" s="9">
        <v>45970.791666666664</v>
      </c>
      <c r="G301">
        <v>3.7629999999999997E-5</v>
      </c>
      <c r="H301" s="9">
        <v>45972.791666666664</v>
      </c>
      <c r="I301">
        <v>3.6189999999999997E-5</v>
      </c>
      <c r="J301" s="12">
        <v>158246538.65000001</v>
      </c>
      <c r="K301" s="12">
        <v>5954.82</v>
      </c>
      <c r="L301">
        <v>8.76</v>
      </c>
      <c r="M301">
        <v>-236.64</v>
      </c>
      <c r="N301" s="13">
        <v>-3.9699999999999999E-2</v>
      </c>
      <c r="O301" t="s">
        <v>38</v>
      </c>
      <c r="Q301">
        <f t="shared" si="78"/>
        <v>-227.87501565599996</v>
      </c>
      <c r="R301">
        <f t="shared" si="79"/>
        <v>-236.63501565599995</v>
      </c>
      <c r="S301">
        <f t="shared" si="80"/>
        <v>5726.9422337434999</v>
      </c>
      <c r="U301">
        <f t="shared" si="67"/>
        <v>43847993.622110002</v>
      </c>
      <c r="V301">
        <f t="shared" si="81"/>
        <v>1649.9999999999993</v>
      </c>
      <c r="W301">
        <f t="shared" si="68"/>
        <v>-63.141110815838395</v>
      </c>
      <c r="X301">
        <f t="shared" si="69"/>
        <v>3.2368588891841603</v>
      </c>
      <c r="Y301">
        <f t="shared" si="70"/>
        <v>-66.377969705022551</v>
      </c>
      <c r="Z301">
        <f t="shared" si="71"/>
        <v>42080.13559571396</v>
      </c>
      <c r="AB301">
        <f t="shared" si="72"/>
        <v>201338178.869564</v>
      </c>
      <c r="AC301">
        <f t="shared" si="73"/>
        <v>7576.3556708616925</v>
      </c>
      <c r="AD301">
        <f t="shared" si="74"/>
        <v>-289.92697757217212</v>
      </c>
      <c r="AE301">
        <f t="shared" si="75"/>
        <v>14.862784364151214</v>
      </c>
      <c r="AF301">
        <f t="shared" si="76"/>
        <v>-304.78976193632332</v>
      </c>
      <c r="AG301">
        <f t="shared" si="82"/>
        <v>75458.766946680611</v>
      </c>
      <c r="AH301" t="b">
        <f t="shared" si="77"/>
        <v>1</v>
      </c>
    </row>
    <row r="302" spans="4:34" hidden="1" x14ac:dyDescent="0.4">
      <c r="D302" t="s">
        <v>50</v>
      </c>
      <c r="E302" t="s">
        <v>37</v>
      </c>
      <c r="F302" s="9">
        <v>45970.791666666664</v>
      </c>
      <c r="G302">
        <v>380.7</v>
      </c>
      <c r="H302" s="9">
        <v>45972.791666666664</v>
      </c>
      <c r="I302">
        <v>371.6</v>
      </c>
      <c r="J302">
        <v>36.660499999999999</v>
      </c>
      <c r="K302" s="12">
        <v>13956.68</v>
      </c>
      <c r="L302">
        <v>20.68</v>
      </c>
      <c r="M302">
        <v>-354.3</v>
      </c>
      <c r="N302" s="13">
        <v>-2.5399999999999999E-2</v>
      </c>
      <c r="O302" t="s">
        <v>38</v>
      </c>
      <c r="Q302">
        <f t="shared" si="78"/>
        <v>-333.61054999999874</v>
      </c>
      <c r="R302">
        <f t="shared" si="79"/>
        <v>-354.29054999999875</v>
      </c>
      <c r="S302">
        <f t="shared" si="80"/>
        <v>13623.041800000001</v>
      </c>
      <c r="U302">
        <f t="shared" si="67"/>
        <v>4.3341209999999997</v>
      </c>
      <c r="V302">
        <f t="shared" si="81"/>
        <v>1649.9998646999998</v>
      </c>
      <c r="W302">
        <f t="shared" si="68"/>
        <v>-39.44050109999985</v>
      </c>
      <c r="X302">
        <f t="shared" si="69"/>
        <v>3.2605592282999996</v>
      </c>
      <c r="Y302">
        <f t="shared" si="70"/>
        <v>-42.701060328299846</v>
      </c>
      <c r="Z302">
        <f t="shared" si="71"/>
        <v>42146.51356541898</v>
      </c>
      <c r="AB302">
        <f t="shared" si="72"/>
        <v>19.952755</v>
      </c>
      <c r="AC302">
        <f t="shared" si="73"/>
        <v>7596.0138284999994</v>
      </c>
      <c r="AD302">
        <f t="shared" si="74"/>
        <v>-181.5700704999993</v>
      </c>
      <c r="AE302">
        <f t="shared" si="75"/>
        <v>15.010457586499999</v>
      </c>
      <c r="AF302">
        <f t="shared" si="76"/>
        <v>-196.5805280864993</v>
      </c>
      <c r="AG302">
        <f t="shared" si="82"/>
        <v>75763.556708616932</v>
      </c>
      <c r="AH302" t="b">
        <f t="shared" si="77"/>
        <v>1</v>
      </c>
    </row>
    <row r="303" spans="4:34" hidden="1" x14ac:dyDescent="0.4">
      <c r="D303" t="s">
        <v>56</v>
      </c>
      <c r="E303" t="s">
        <v>37</v>
      </c>
      <c r="F303" s="9">
        <v>45971.833333333336</v>
      </c>
      <c r="G303" s="12">
        <v>3558.28</v>
      </c>
      <c r="H303" s="9">
        <v>45972.666666666664</v>
      </c>
      <c r="I303" s="12">
        <v>3483.8</v>
      </c>
      <c r="J303">
        <v>1.6598999999999999</v>
      </c>
      <c r="K303" s="12">
        <v>5906.58</v>
      </c>
      <c r="L303">
        <v>8.77</v>
      </c>
      <c r="M303">
        <v>-132.38999999999999</v>
      </c>
      <c r="N303" s="13">
        <v>-2.24E-2</v>
      </c>
      <c r="O303" t="s">
        <v>49</v>
      </c>
      <c r="Q303">
        <f t="shared" si="78"/>
        <v>-123.62935200000003</v>
      </c>
      <c r="R303">
        <f t="shared" si="79"/>
        <v>-132.39935200000002</v>
      </c>
      <c r="S303">
        <f t="shared" si="80"/>
        <v>5782.7596199999998</v>
      </c>
      <c r="U303">
        <f t="shared" si="67"/>
        <v>0.46370699999999998</v>
      </c>
      <c r="V303">
        <f t="shared" si="81"/>
        <v>1649.99934396</v>
      </c>
      <c r="W303">
        <f t="shared" si="68"/>
        <v>-34.536897360000005</v>
      </c>
      <c r="X303">
        <f t="shared" si="69"/>
        <v>3.2654617905599999</v>
      </c>
      <c r="Y303">
        <f t="shared" si="70"/>
        <v>-37.802359150560008</v>
      </c>
      <c r="Z303">
        <f t="shared" si="71"/>
        <v>42189.214625747278</v>
      </c>
      <c r="AB303">
        <f t="shared" si="72"/>
        <v>2.1396449999999998</v>
      </c>
      <c r="AC303">
        <f t="shared" si="73"/>
        <v>7613.4560105999999</v>
      </c>
      <c r="AD303">
        <f t="shared" si="74"/>
        <v>-159.36075960000002</v>
      </c>
      <c r="AE303">
        <f t="shared" si="75"/>
        <v>15.067551261599998</v>
      </c>
      <c r="AF303">
        <f t="shared" si="76"/>
        <v>-174.42831086160001</v>
      </c>
      <c r="AG303">
        <f t="shared" si="82"/>
        <v>75960.137236703435</v>
      </c>
      <c r="AH303" t="b">
        <f t="shared" si="77"/>
        <v>1</v>
      </c>
    </row>
    <row r="304" spans="4:34" hidden="1" x14ac:dyDescent="0.4">
      <c r="D304" t="s">
        <v>53</v>
      </c>
      <c r="E304" t="s">
        <v>37</v>
      </c>
      <c r="F304" s="9">
        <v>45970.625</v>
      </c>
      <c r="G304">
        <v>987.39</v>
      </c>
      <c r="H304" s="9">
        <v>45972.625</v>
      </c>
      <c r="I304">
        <v>983.84</v>
      </c>
      <c r="J304" s="12">
        <v>10.105</v>
      </c>
      <c r="K304" s="12">
        <v>9978.01</v>
      </c>
      <c r="L304">
        <v>14.94</v>
      </c>
      <c r="M304">
        <v>-50.81</v>
      </c>
      <c r="N304" s="13">
        <v>-5.1000000000000004E-3</v>
      </c>
      <c r="O304" t="s">
        <v>38</v>
      </c>
      <c r="Q304">
        <f t="shared" si="78"/>
        <v>-35.872749999999542</v>
      </c>
      <c r="R304">
        <f t="shared" si="79"/>
        <v>-50.812749999999539</v>
      </c>
      <c r="S304">
        <f t="shared" si="80"/>
        <v>9941.7031999999999</v>
      </c>
      <c r="U304">
        <f t="shared" si="67"/>
        <v>1.6710719999999999</v>
      </c>
      <c r="V304">
        <f t="shared" si="81"/>
        <v>1649.9997820799999</v>
      </c>
      <c r="W304">
        <f t="shared" si="68"/>
        <v>-5.9323055999999239</v>
      </c>
      <c r="X304">
        <f t="shared" si="69"/>
        <v>3.2940672585599997</v>
      </c>
      <c r="Y304">
        <f t="shared" si="70"/>
        <v>-9.2263728585599232</v>
      </c>
      <c r="Z304">
        <f t="shared" si="71"/>
        <v>42227.01698489784</v>
      </c>
      <c r="AB304">
        <f t="shared" si="72"/>
        <v>7.7150020000000001</v>
      </c>
      <c r="AC304">
        <f t="shared" si="73"/>
        <v>7617.7158247799998</v>
      </c>
      <c r="AD304">
        <f t="shared" si="74"/>
        <v>-27.388257099999649</v>
      </c>
      <c r="AE304">
        <f t="shared" si="75"/>
        <v>15.20804339246</v>
      </c>
      <c r="AF304">
        <f t="shared" si="76"/>
        <v>-42.596300492459648</v>
      </c>
      <c r="AG304">
        <f t="shared" si="82"/>
        <v>76134.565547565027</v>
      </c>
      <c r="AH304" t="b">
        <f t="shared" si="77"/>
        <v>1</v>
      </c>
    </row>
    <row r="305" spans="4:34" hidden="1" x14ac:dyDescent="0.4">
      <c r="D305" t="s">
        <v>40</v>
      </c>
      <c r="E305" t="s">
        <v>41</v>
      </c>
      <c r="F305" s="9">
        <v>45971.25</v>
      </c>
      <c r="G305">
        <v>654.62</v>
      </c>
      <c r="H305" s="9">
        <v>45972.583333333336</v>
      </c>
      <c r="I305">
        <v>491.57</v>
      </c>
      <c r="J305">
        <v>13.603999999999999</v>
      </c>
      <c r="K305" s="12">
        <v>8905.67</v>
      </c>
      <c r="L305">
        <v>11.69</v>
      </c>
      <c r="M305" s="12">
        <v>-2229.83</v>
      </c>
      <c r="N305" s="13">
        <v>-0.25040000000000001</v>
      </c>
      <c r="O305" t="s">
        <v>38</v>
      </c>
      <c r="Q305">
        <f t="shared" si="78"/>
        <v>-2218.1322</v>
      </c>
      <c r="R305">
        <f t="shared" si="79"/>
        <v>-2229.8222000000001</v>
      </c>
      <c r="S305">
        <f t="shared" si="80"/>
        <v>6687.3182799999995</v>
      </c>
      <c r="U305">
        <f t="shared" si="67"/>
        <v>2.520546</v>
      </c>
      <c r="V305">
        <f t="shared" si="81"/>
        <v>1649.99982252</v>
      </c>
      <c r="W305">
        <f t="shared" si="68"/>
        <v>-410.97502530000003</v>
      </c>
      <c r="X305">
        <f t="shared" si="69"/>
        <v>2.8890246197400002</v>
      </c>
      <c r="Y305">
        <f t="shared" si="70"/>
        <v>-413.86404991974001</v>
      </c>
      <c r="Z305">
        <f t="shared" si="71"/>
        <v>42236.243357756401</v>
      </c>
      <c r="AB305">
        <f t="shared" si="72"/>
        <v>11.936245</v>
      </c>
      <c r="AC305">
        <f t="shared" si="73"/>
        <v>7813.7047019000001</v>
      </c>
      <c r="AD305">
        <f t="shared" si="74"/>
        <v>-1946.2047472500001</v>
      </c>
      <c r="AE305">
        <f t="shared" si="75"/>
        <v>13.681204656549999</v>
      </c>
      <c r="AF305">
        <f t="shared" si="76"/>
        <v>-1959.8859519065502</v>
      </c>
      <c r="AG305">
        <f t="shared" si="82"/>
        <v>76177.161848057483</v>
      </c>
      <c r="AH305" t="b">
        <f t="shared" si="77"/>
        <v>1</v>
      </c>
    </row>
    <row r="306" spans="4:34" hidden="1" x14ac:dyDescent="0.4">
      <c r="D306" t="s">
        <v>56</v>
      </c>
      <c r="E306" t="s">
        <v>37</v>
      </c>
      <c r="F306" s="9">
        <v>45971.416666666664</v>
      </c>
      <c r="G306" s="12">
        <v>3624.46</v>
      </c>
      <c r="H306" s="9">
        <v>45971.625</v>
      </c>
      <c r="I306" s="12">
        <v>3553.91</v>
      </c>
      <c r="J306">
        <v>1.633</v>
      </c>
      <c r="K306" s="12">
        <v>5918.98</v>
      </c>
      <c r="L306">
        <v>8.7899999999999991</v>
      </c>
      <c r="M306">
        <v>-123.99</v>
      </c>
      <c r="N306" s="13">
        <v>-2.0899999999999998E-2</v>
      </c>
      <c r="O306" t="s">
        <v>49</v>
      </c>
      <c r="Q306">
        <f t="shared" si="78"/>
        <v>-115.2081500000003</v>
      </c>
      <c r="R306">
        <f t="shared" si="79"/>
        <v>-123.99815000000029</v>
      </c>
      <c r="S306">
        <f t="shared" si="80"/>
        <v>5803.53503</v>
      </c>
      <c r="U306">
        <f t="shared" si="67"/>
        <v>0.45523999999999998</v>
      </c>
      <c r="V306">
        <f t="shared" si="81"/>
        <v>1649.9991703999999</v>
      </c>
      <c r="W306">
        <f t="shared" si="68"/>
        <v>-32.117182000000078</v>
      </c>
      <c r="X306">
        <f t="shared" si="69"/>
        <v>3.2678811587999999</v>
      </c>
      <c r="Y306">
        <f t="shared" si="70"/>
        <v>-35.385063158800079</v>
      </c>
      <c r="Z306">
        <f t="shared" si="71"/>
        <v>42650.107407676143</v>
      </c>
      <c r="AB306">
        <f t="shared" si="72"/>
        <v>2.1604589999999999</v>
      </c>
      <c r="AC306">
        <f t="shared" si="73"/>
        <v>7830.4972271400002</v>
      </c>
      <c r="AD306">
        <f t="shared" si="74"/>
        <v>-152.42038245000037</v>
      </c>
      <c r="AE306">
        <f t="shared" si="75"/>
        <v>15.508574071829999</v>
      </c>
      <c r="AF306">
        <f t="shared" si="76"/>
        <v>-167.92895652183037</v>
      </c>
      <c r="AG306">
        <f t="shared" si="82"/>
        <v>78137.047799964028</v>
      </c>
      <c r="AH306" t="b">
        <f t="shared" si="77"/>
        <v>1</v>
      </c>
    </row>
    <row r="307" spans="4:34" hidden="1" x14ac:dyDescent="0.4">
      <c r="D307" t="s">
        <v>40</v>
      </c>
      <c r="E307" t="s">
        <v>41</v>
      </c>
      <c r="F307" s="9">
        <v>45969.916666666664</v>
      </c>
      <c r="G307">
        <v>591.44000000000005</v>
      </c>
      <c r="H307" s="9">
        <v>45971.25</v>
      </c>
      <c r="I307">
        <v>654.62</v>
      </c>
      <c r="J307" s="12">
        <v>14.9</v>
      </c>
      <c r="K307" s="12">
        <v>8812.93</v>
      </c>
      <c r="L307">
        <v>13.92</v>
      </c>
      <c r="M307">
        <v>927.46</v>
      </c>
      <c r="N307" s="13">
        <v>0.1052</v>
      </c>
      <c r="O307" t="s">
        <v>38</v>
      </c>
      <c r="Q307">
        <f t="shared" si="78"/>
        <v>941.38199999999927</v>
      </c>
      <c r="R307">
        <f t="shared" si="79"/>
        <v>927.46199999999931</v>
      </c>
      <c r="S307">
        <f t="shared" si="80"/>
        <v>9753.8379999999997</v>
      </c>
      <c r="U307">
        <f t="shared" si="67"/>
        <v>2.7898010000000002</v>
      </c>
      <c r="V307">
        <f t="shared" si="81"/>
        <v>1649.9999034400003</v>
      </c>
      <c r="W307">
        <f t="shared" si="68"/>
        <v>176.25962717999988</v>
      </c>
      <c r="X307">
        <f t="shared" si="69"/>
        <v>3.4762594340600002</v>
      </c>
      <c r="Y307">
        <f t="shared" si="70"/>
        <v>172.78336774593987</v>
      </c>
      <c r="Z307">
        <f t="shared" si="71"/>
        <v>42685.492470834943</v>
      </c>
      <c r="AB307">
        <f t="shared" si="72"/>
        <v>13.102510000000001</v>
      </c>
      <c r="AC307">
        <f t="shared" si="73"/>
        <v>7749.3485144000015</v>
      </c>
      <c r="AD307">
        <f t="shared" si="74"/>
        <v>827.81658179999943</v>
      </c>
      <c r="AE307">
        <f t="shared" si="75"/>
        <v>16.326513610599999</v>
      </c>
      <c r="AF307">
        <f t="shared" si="76"/>
        <v>811.49006818939938</v>
      </c>
      <c r="AG307">
        <f t="shared" si="82"/>
        <v>78304.976756485863</v>
      </c>
      <c r="AH307" t="b">
        <f t="shared" si="77"/>
        <v>1</v>
      </c>
    </row>
    <row r="308" spans="4:34" hidden="1" x14ac:dyDescent="0.4">
      <c r="D308" t="s">
        <v>60</v>
      </c>
      <c r="E308" t="s">
        <v>37</v>
      </c>
      <c r="F308" s="9">
        <v>45968.625</v>
      </c>
      <c r="G308" s="12">
        <v>2.2050999999999998</v>
      </c>
      <c r="H308" s="9">
        <v>45971.125</v>
      </c>
      <c r="I308" s="12">
        <v>2.4238</v>
      </c>
      <c r="J308" s="12">
        <v>1028.7</v>
      </c>
      <c r="K308" s="12">
        <v>2268.39</v>
      </c>
      <c r="L308">
        <v>3.57</v>
      </c>
      <c r="M308">
        <v>221.41</v>
      </c>
      <c r="N308" s="13">
        <v>9.7600000000000006E-2</v>
      </c>
      <c r="O308" t="s">
        <v>57</v>
      </c>
      <c r="Q308">
        <f t="shared" si="78"/>
        <v>224.97669000000013</v>
      </c>
      <c r="R308">
        <f t="shared" si="79"/>
        <v>221.40669000000014</v>
      </c>
      <c r="S308">
        <f t="shared" si="80"/>
        <v>2493.3630600000001</v>
      </c>
      <c r="U308">
        <f t="shared" si="67"/>
        <v>748.26538500000004</v>
      </c>
      <c r="V308">
        <f t="shared" si="81"/>
        <v>1650.0000004634999</v>
      </c>
      <c r="W308">
        <f t="shared" si="68"/>
        <v>163.64563969950009</v>
      </c>
      <c r="X308">
        <f t="shared" si="69"/>
        <v>3.4636456406265004</v>
      </c>
      <c r="Y308">
        <f t="shared" si="70"/>
        <v>160.18199405887358</v>
      </c>
      <c r="Z308">
        <f t="shared" si="71"/>
        <v>42512.709103089001</v>
      </c>
      <c r="AB308">
        <f t="shared" si="72"/>
        <v>3480.4958109999998</v>
      </c>
      <c r="AC308">
        <f t="shared" si="73"/>
        <v>7674.841312836099</v>
      </c>
      <c r="AD308">
        <f t="shared" si="74"/>
        <v>761.18443386570038</v>
      </c>
      <c r="AE308">
        <f t="shared" si="75"/>
        <v>16.110867059537899</v>
      </c>
      <c r="AF308">
        <f t="shared" si="76"/>
        <v>745.07356680616249</v>
      </c>
      <c r="AG308">
        <f t="shared" si="82"/>
        <v>77493.486688296471</v>
      </c>
      <c r="AH308" t="b">
        <f t="shared" si="77"/>
        <v>1</v>
      </c>
    </row>
    <row r="309" spans="4:34" hidden="1" x14ac:dyDescent="0.4">
      <c r="D309" t="s">
        <v>56</v>
      </c>
      <c r="E309" t="s">
        <v>37</v>
      </c>
      <c r="F309" s="9">
        <v>45968.625</v>
      </c>
      <c r="G309" s="12">
        <v>3286.92</v>
      </c>
      <c r="H309" s="9">
        <v>45971.125</v>
      </c>
      <c r="I309" s="12">
        <v>3628.35</v>
      </c>
      <c r="J309">
        <v>1.7825</v>
      </c>
      <c r="K309" s="12">
        <v>5859.04</v>
      </c>
      <c r="L309">
        <v>9.24</v>
      </c>
      <c r="M309">
        <v>599.35</v>
      </c>
      <c r="N309" s="13">
        <v>0.1023</v>
      </c>
      <c r="O309" t="s">
        <v>57</v>
      </c>
      <c r="Q309">
        <f t="shared" si="78"/>
        <v>608.59897499999965</v>
      </c>
      <c r="R309">
        <f t="shared" si="79"/>
        <v>599.35897499999965</v>
      </c>
      <c r="S309">
        <f t="shared" si="80"/>
        <v>6467.5338750000001</v>
      </c>
      <c r="U309">
        <f t="shared" si="67"/>
        <v>0.50199000000000005</v>
      </c>
      <c r="V309">
        <f t="shared" si="81"/>
        <v>1650.0009708000002</v>
      </c>
      <c r="W309">
        <f t="shared" si="68"/>
        <v>171.39444569999992</v>
      </c>
      <c r="X309">
        <f t="shared" si="69"/>
        <v>3.4713963873000004</v>
      </c>
      <c r="Y309">
        <f t="shared" si="70"/>
        <v>167.92304931269993</v>
      </c>
      <c r="Z309">
        <f t="shared" si="71"/>
        <v>42352.527109030125</v>
      </c>
      <c r="AB309">
        <f t="shared" si="72"/>
        <v>2.3114409999999999</v>
      </c>
      <c r="AC309">
        <f t="shared" si="73"/>
        <v>7597.5216517199997</v>
      </c>
      <c r="AD309">
        <f t="shared" si="74"/>
        <v>789.19530062999956</v>
      </c>
      <c r="AE309">
        <f t="shared" si="75"/>
        <v>15.984238604070001</v>
      </c>
      <c r="AF309">
        <f t="shared" si="76"/>
        <v>773.21106202592955</v>
      </c>
      <c r="AG309">
        <f t="shared" si="82"/>
        <v>76748.413121490303</v>
      </c>
      <c r="AH309" t="b">
        <f t="shared" si="77"/>
        <v>1</v>
      </c>
    </row>
    <row r="310" spans="4:34" hidden="1" x14ac:dyDescent="0.4">
      <c r="D310" t="s">
        <v>59</v>
      </c>
      <c r="E310" t="s">
        <v>37</v>
      </c>
      <c r="F310" s="9">
        <v>45968.625</v>
      </c>
      <c r="G310" s="12">
        <v>100765.87</v>
      </c>
      <c r="H310" s="9">
        <v>45971.125</v>
      </c>
      <c r="I310" s="12">
        <v>105998.01</v>
      </c>
      <c r="J310">
        <v>0.10575</v>
      </c>
      <c r="K310" s="12">
        <v>10656.47</v>
      </c>
      <c r="L310">
        <v>16.399999999999999</v>
      </c>
      <c r="M310">
        <v>536.9</v>
      </c>
      <c r="N310" s="13">
        <v>5.04E-2</v>
      </c>
      <c r="O310" t="s">
        <v>57</v>
      </c>
      <c r="Q310">
        <f t="shared" si="78"/>
        <v>553.2988049999999</v>
      </c>
      <c r="R310">
        <f t="shared" si="79"/>
        <v>536.89880499999992</v>
      </c>
      <c r="S310">
        <f t="shared" si="80"/>
        <v>11209.289557499998</v>
      </c>
      <c r="U310">
        <f t="shared" si="67"/>
        <v>1.6375000000000001E-2</v>
      </c>
      <c r="V310">
        <f t="shared" si="81"/>
        <v>1650.0411212500001</v>
      </c>
      <c r="W310">
        <f t="shared" si="68"/>
        <v>85.676292499999988</v>
      </c>
      <c r="X310">
        <f t="shared" si="69"/>
        <v>3.3857585350000003</v>
      </c>
      <c r="Y310">
        <f t="shared" si="70"/>
        <v>82.290533964999995</v>
      </c>
      <c r="Z310">
        <f t="shared" si="71"/>
        <v>42184.604059717421</v>
      </c>
      <c r="AB310">
        <f t="shared" si="72"/>
        <v>7.5023999999999993E-2</v>
      </c>
      <c r="AC310">
        <f t="shared" si="73"/>
        <v>7559.8586308799986</v>
      </c>
      <c r="AD310">
        <f t="shared" si="74"/>
        <v>392.53607135999994</v>
      </c>
      <c r="AE310">
        <f t="shared" si="75"/>
        <v>15.512253333119999</v>
      </c>
      <c r="AF310">
        <f t="shared" si="76"/>
        <v>377.02381802687995</v>
      </c>
      <c r="AG310">
        <f t="shared" si="82"/>
        <v>75975.202059464369</v>
      </c>
      <c r="AH310" t="b">
        <f t="shared" si="77"/>
        <v>1</v>
      </c>
    </row>
    <row r="311" spans="4:34" hidden="1" x14ac:dyDescent="0.4">
      <c r="D311" t="s">
        <v>61</v>
      </c>
      <c r="E311" t="s">
        <v>37</v>
      </c>
      <c r="F311" s="9">
        <v>45969.083333333336</v>
      </c>
      <c r="G311">
        <v>0.58320000000000005</v>
      </c>
      <c r="H311" s="9">
        <v>45971.083333333336</v>
      </c>
      <c r="I311">
        <v>0.58389999999999997</v>
      </c>
      <c r="J311" s="12">
        <v>14770</v>
      </c>
      <c r="K311" s="12">
        <v>8613.86</v>
      </c>
      <c r="L311">
        <v>12.93</v>
      </c>
      <c r="M311">
        <v>-2.59</v>
      </c>
      <c r="N311" s="13">
        <v>-2.9999999999999997E-4</v>
      </c>
      <c r="O311" t="s">
        <v>38</v>
      </c>
      <c r="Q311">
        <f t="shared" si="78"/>
        <v>10.338999999998862</v>
      </c>
      <c r="R311">
        <f t="shared" si="79"/>
        <v>-2.5910000000011379</v>
      </c>
      <c r="S311">
        <f t="shared" si="80"/>
        <v>8624.2029999999995</v>
      </c>
      <c r="U311">
        <f t="shared" si="67"/>
        <v>2829.2181070000001</v>
      </c>
      <c r="V311">
        <f t="shared" si="81"/>
        <v>1650.0000000024002</v>
      </c>
      <c r="W311">
        <f t="shared" si="68"/>
        <v>1.9804526748997819</v>
      </c>
      <c r="X311">
        <f t="shared" si="69"/>
        <v>3.3019804526797003</v>
      </c>
      <c r="Y311">
        <f t="shared" si="70"/>
        <v>-1.3215277777799184</v>
      </c>
      <c r="Z311">
        <f t="shared" si="71"/>
        <v>42102.313525752419</v>
      </c>
      <c r="AB311">
        <f t="shared" si="72"/>
        <v>12963.688886</v>
      </c>
      <c r="AC311">
        <f t="shared" si="73"/>
        <v>7560.4233583152009</v>
      </c>
      <c r="AD311">
        <f t="shared" si="74"/>
        <v>9.0745822201989998</v>
      </c>
      <c r="AE311">
        <f t="shared" si="75"/>
        <v>15.129921298850601</v>
      </c>
      <c r="AF311">
        <f t="shared" si="76"/>
        <v>-6.0553390786516008</v>
      </c>
      <c r="AG311">
        <f t="shared" si="82"/>
        <v>75598.17824143749</v>
      </c>
      <c r="AH311" t="b">
        <f t="shared" si="77"/>
        <v>1</v>
      </c>
    </row>
    <row r="312" spans="4:34" hidden="1" x14ac:dyDescent="0.4">
      <c r="D312" t="s">
        <v>43</v>
      </c>
      <c r="E312" t="s">
        <v>37</v>
      </c>
      <c r="F312" s="9">
        <v>45968.625</v>
      </c>
      <c r="G312">
        <v>1.9977</v>
      </c>
      <c r="H312" s="9">
        <v>45970.625</v>
      </c>
      <c r="I312">
        <v>2.1015999999999999</v>
      </c>
      <c r="J312">
        <v>971</v>
      </c>
      <c r="K312" s="12">
        <v>1939.93</v>
      </c>
      <c r="L312">
        <v>2.99</v>
      </c>
      <c r="M312">
        <v>97.9</v>
      </c>
      <c r="N312" s="13">
        <v>5.0500000000000003E-2</v>
      </c>
      <c r="O312" t="s">
        <v>38</v>
      </c>
      <c r="Q312">
        <f t="shared" si="78"/>
        <v>100.88689999999988</v>
      </c>
      <c r="R312">
        <f t="shared" si="79"/>
        <v>97.896899999999889</v>
      </c>
      <c r="S312">
        <f t="shared" si="80"/>
        <v>2040.6535999999999</v>
      </c>
      <c r="U312">
        <f t="shared" si="67"/>
        <v>825.94984199999999</v>
      </c>
      <c r="V312">
        <f t="shared" si="81"/>
        <v>1649.9999993634001</v>
      </c>
      <c r="W312">
        <f t="shared" si="68"/>
        <v>85.816188583799899</v>
      </c>
      <c r="X312">
        <f t="shared" si="69"/>
        <v>3.3858161873105992</v>
      </c>
      <c r="Y312">
        <f t="shared" si="70"/>
        <v>82.430372396489304</v>
      </c>
      <c r="Z312">
        <f t="shared" si="71"/>
        <v>42103.635053530197</v>
      </c>
      <c r="AB312">
        <f t="shared" si="72"/>
        <v>3765.7510630000002</v>
      </c>
      <c r="AC312">
        <f t="shared" si="73"/>
        <v>7522.8408985551005</v>
      </c>
      <c r="AD312">
        <f t="shared" si="74"/>
        <v>391.26153544569956</v>
      </c>
      <c r="AE312">
        <f t="shared" si="75"/>
        <v>15.436943332555899</v>
      </c>
      <c r="AF312">
        <f t="shared" si="76"/>
        <v>375.82459211314369</v>
      </c>
      <c r="AG312">
        <f t="shared" si="82"/>
        <v>75604.233580516142</v>
      </c>
      <c r="AH312" t="b">
        <f t="shared" si="77"/>
        <v>1</v>
      </c>
    </row>
    <row r="313" spans="4:34" hidden="1" x14ac:dyDescent="0.4">
      <c r="D313" t="s">
        <v>52</v>
      </c>
      <c r="E313" t="s">
        <v>37</v>
      </c>
      <c r="F313" s="9">
        <v>45968.625</v>
      </c>
      <c r="G313">
        <v>7.9119999999999999</v>
      </c>
      <c r="H313" s="9">
        <v>45970.625</v>
      </c>
      <c r="I313">
        <v>7.2859999999999996</v>
      </c>
      <c r="J313">
        <v>343.92</v>
      </c>
      <c r="K313" s="12">
        <v>2721.1</v>
      </c>
      <c r="L313">
        <v>3.92</v>
      </c>
      <c r="M313">
        <v>-219.21</v>
      </c>
      <c r="N313" s="13">
        <v>-8.0600000000000005E-2</v>
      </c>
      <c r="O313" t="s">
        <v>38</v>
      </c>
      <c r="Q313">
        <f t="shared" si="78"/>
        <v>-215.29392000000013</v>
      </c>
      <c r="R313">
        <f t="shared" si="79"/>
        <v>-219.21392000000012</v>
      </c>
      <c r="S313">
        <f t="shared" si="80"/>
        <v>2505.8011200000001</v>
      </c>
      <c r="U313">
        <f t="shared" si="67"/>
        <v>208.54398399999999</v>
      </c>
      <c r="V313">
        <f t="shared" si="81"/>
        <v>1650.0000014079999</v>
      </c>
      <c r="W313">
        <f t="shared" si="68"/>
        <v>-130.54853398400007</v>
      </c>
      <c r="X313">
        <f t="shared" si="69"/>
        <v>3.1694514688320004</v>
      </c>
      <c r="Y313">
        <f t="shared" si="70"/>
        <v>-133.71798545283207</v>
      </c>
      <c r="Z313">
        <f t="shared" si="71"/>
        <v>42021.204681133706</v>
      </c>
      <c r="AB313">
        <f t="shared" si="72"/>
        <v>958.58253500000001</v>
      </c>
      <c r="AC313">
        <f t="shared" si="73"/>
        <v>7584.3050169199996</v>
      </c>
      <c r="AD313">
        <f t="shared" si="74"/>
        <v>-600.07266691000029</v>
      </c>
      <c r="AE313">
        <f t="shared" si="75"/>
        <v>14.568537366930002</v>
      </c>
      <c r="AF313">
        <f t="shared" si="76"/>
        <v>-614.64120427693024</v>
      </c>
      <c r="AG313">
        <f t="shared" si="82"/>
        <v>75228.408988402996</v>
      </c>
      <c r="AH313" t="b">
        <f t="shared" si="77"/>
        <v>1</v>
      </c>
    </row>
    <row r="314" spans="4:34" hidden="1" x14ac:dyDescent="0.4">
      <c r="D314" t="s">
        <v>48</v>
      </c>
      <c r="E314" t="s">
        <v>37</v>
      </c>
      <c r="F314" s="9">
        <v>45968.625</v>
      </c>
      <c r="G314">
        <v>4.7600000000000003E-2</v>
      </c>
      <c r="H314" s="9">
        <v>45970.625</v>
      </c>
      <c r="I314">
        <v>5.0599999999999999E-2</v>
      </c>
      <c r="J314" s="12">
        <v>62718.6</v>
      </c>
      <c r="K314" s="12">
        <v>2985.41</v>
      </c>
      <c r="L314">
        <v>4.62</v>
      </c>
      <c r="M314">
        <v>183.54</v>
      </c>
      <c r="N314" s="13">
        <v>6.1499999999999999E-2</v>
      </c>
      <c r="O314" t="s">
        <v>38</v>
      </c>
      <c r="Q314">
        <f t="shared" si="78"/>
        <v>188.15579999999972</v>
      </c>
      <c r="R314">
        <f t="shared" si="79"/>
        <v>183.53579999999971</v>
      </c>
      <c r="S314">
        <f t="shared" si="80"/>
        <v>3173.5611599999997</v>
      </c>
      <c r="U314">
        <f t="shared" si="67"/>
        <v>34663.865546000001</v>
      </c>
      <c r="V314">
        <f t="shared" si="81"/>
        <v>1649.9999999896002</v>
      </c>
      <c r="W314">
        <f t="shared" si="68"/>
        <v>103.99159663799985</v>
      </c>
      <c r="X314">
        <f t="shared" si="69"/>
        <v>3.4039915966172005</v>
      </c>
      <c r="Y314">
        <f t="shared" si="70"/>
        <v>100.58760504138264</v>
      </c>
      <c r="Z314">
        <f t="shared" si="71"/>
        <v>42154.922666586535</v>
      </c>
      <c r="AB314">
        <f t="shared" si="72"/>
        <v>158368.68893100001</v>
      </c>
      <c r="AC314">
        <f t="shared" si="73"/>
        <v>7538.3495931156012</v>
      </c>
      <c r="AD314">
        <f t="shared" si="74"/>
        <v>475.10606679299934</v>
      </c>
      <c r="AE314">
        <f t="shared" si="75"/>
        <v>15.551805253024204</v>
      </c>
      <c r="AF314">
        <f t="shared" si="76"/>
        <v>459.55426153997513</v>
      </c>
      <c r="AG314">
        <f t="shared" si="82"/>
        <v>75843.050192679933</v>
      </c>
      <c r="AH314" t="b">
        <f t="shared" si="77"/>
        <v>1</v>
      </c>
    </row>
    <row r="315" spans="4:34" hidden="1" x14ac:dyDescent="0.4">
      <c r="D315" t="s">
        <v>54</v>
      </c>
      <c r="E315" t="s">
        <v>37</v>
      </c>
      <c r="F315" s="9">
        <v>45968.625</v>
      </c>
      <c r="G315">
        <v>154.68</v>
      </c>
      <c r="H315" s="9">
        <v>45970.625</v>
      </c>
      <c r="I315">
        <v>160.13999999999999</v>
      </c>
      <c r="J315" s="12">
        <v>32.807000000000002</v>
      </c>
      <c r="K315" s="12">
        <v>5074.66</v>
      </c>
      <c r="L315">
        <v>7.75</v>
      </c>
      <c r="M315">
        <v>171.38</v>
      </c>
      <c r="N315" s="13">
        <v>3.3799999999999997E-2</v>
      </c>
      <c r="O315" t="s">
        <v>38</v>
      </c>
      <c r="Q315">
        <f t="shared" si="78"/>
        <v>179.12621999999934</v>
      </c>
      <c r="R315">
        <f t="shared" si="79"/>
        <v>171.37621999999934</v>
      </c>
      <c r="S315">
        <f t="shared" si="80"/>
        <v>5253.7129800000002</v>
      </c>
      <c r="U315">
        <f t="shared" si="67"/>
        <v>10.667184000000001</v>
      </c>
      <c r="V315">
        <f t="shared" si="81"/>
        <v>1650.0000211200002</v>
      </c>
      <c r="W315">
        <f t="shared" si="68"/>
        <v>58.242824639999789</v>
      </c>
      <c r="X315">
        <f t="shared" si="69"/>
        <v>3.35824286688</v>
      </c>
      <c r="Y315">
        <f t="shared" si="70"/>
        <v>54.884581773119791</v>
      </c>
      <c r="Z315">
        <f t="shared" si="71"/>
        <v>42054.335061545149</v>
      </c>
      <c r="AB315">
        <f t="shared" si="72"/>
        <v>48.573556000000004</v>
      </c>
      <c r="AC315">
        <f t="shared" si="73"/>
        <v>7513.3576420800009</v>
      </c>
      <c r="AD315">
        <f t="shared" si="74"/>
        <v>265.21161575999901</v>
      </c>
      <c r="AE315">
        <f t="shared" si="75"/>
        <v>15.29192689992</v>
      </c>
      <c r="AF315">
        <f t="shared" si="76"/>
        <v>249.91968886007902</v>
      </c>
      <c r="AG315">
        <f t="shared" si="82"/>
        <v>75383.495931139958</v>
      </c>
      <c r="AH315" t="b">
        <f t="shared" si="77"/>
        <v>1</v>
      </c>
    </row>
    <row r="316" spans="4:34" hidden="1" x14ac:dyDescent="0.4">
      <c r="D316" t="s">
        <v>55</v>
      </c>
      <c r="E316" t="s">
        <v>37</v>
      </c>
      <c r="F316" s="9">
        <v>45968.625</v>
      </c>
      <c r="G316">
        <v>3.608E-5</v>
      </c>
      <c r="H316" s="9">
        <v>45970.625</v>
      </c>
      <c r="I316">
        <v>3.756E-5</v>
      </c>
      <c r="J316" s="12">
        <v>164395638.91999999</v>
      </c>
      <c r="K316" s="12">
        <v>5931.39</v>
      </c>
      <c r="L316">
        <v>9.08</v>
      </c>
      <c r="M316">
        <v>234.23</v>
      </c>
      <c r="N316" s="13">
        <v>3.95E-2</v>
      </c>
      <c r="O316" t="s">
        <v>38</v>
      </c>
      <c r="Q316">
        <f t="shared" si="78"/>
        <v>243.30554560159987</v>
      </c>
      <c r="R316">
        <f t="shared" si="79"/>
        <v>234.22554560159986</v>
      </c>
      <c r="S316">
        <f t="shared" si="80"/>
        <v>6174.7001978351991</v>
      </c>
      <c r="U316">
        <f t="shared" si="67"/>
        <v>45731707.317073002</v>
      </c>
      <c r="V316">
        <f t="shared" si="81"/>
        <v>1649.9999999999939</v>
      </c>
      <c r="W316">
        <f t="shared" si="68"/>
        <v>67.682926829268013</v>
      </c>
      <c r="X316">
        <f t="shared" si="69"/>
        <v>3.3676829268292559</v>
      </c>
      <c r="Y316">
        <f t="shared" si="70"/>
        <v>64.315243902438752</v>
      </c>
      <c r="Z316">
        <f t="shared" si="71"/>
        <v>41999.450479772029</v>
      </c>
      <c r="AB316">
        <f t="shared" si="72"/>
        <v>207433067.27767</v>
      </c>
      <c r="AC316">
        <f t="shared" si="73"/>
        <v>7484.1850673783338</v>
      </c>
      <c r="AD316">
        <f t="shared" si="74"/>
        <v>307.00093957095146</v>
      </c>
      <c r="AE316">
        <f t="shared" si="75"/>
        <v>15.275371074327619</v>
      </c>
      <c r="AF316">
        <f t="shared" si="76"/>
        <v>291.72556849662385</v>
      </c>
      <c r="AG316">
        <f t="shared" si="82"/>
        <v>75133.576242279873</v>
      </c>
      <c r="AH316" t="b">
        <f t="shared" si="77"/>
        <v>1</v>
      </c>
    </row>
    <row r="317" spans="4:34" hidden="1" x14ac:dyDescent="0.4">
      <c r="D317" t="s">
        <v>58</v>
      </c>
      <c r="E317" t="s">
        <v>37</v>
      </c>
      <c r="F317" s="9">
        <v>45968.625</v>
      </c>
      <c r="G317">
        <v>14.81</v>
      </c>
      <c r="H317" s="9">
        <v>45970.625</v>
      </c>
      <c r="I317">
        <v>15.7</v>
      </c>
      <c r="J317">
        <v>508.19</v>
      </c>
      <c r="K317" s="12">
        <v>7526.38</v>
      </c>
      <c r="L317">
        <v>11.63</v>
      </c>
      <c r="M317">
        <v>440.66</v>
      </c>
      <c r="N317" s="13">
        <v>5.8500000000000003E-2</v>
      </c>
      <c r="O317" t="s">
        <v>38</v>
      </c>
      <c r="Q317">
        <f t="shared" si="78"/>
        <v>452.28909999999939</v>
      </c>
      <c r="R317">
        <f t="shared" si="79"/>
        <v>440.6590999999994</v>
      </c>
      <c r="S317">
        <f t="shared" si="80"/>
        <v>7978.5829999999996</v>
      </c>
      <c r="U317">
        <f t="shared" si="67"/>
        <v>111.411209</v>
      </c>
      <c r="V317">
        <f t="shared" si="81"/>
        <v>1650.00000529</v>
      </c>
      <c r="W317">
        <f t="shared" si="68"/>
        <v>99.155976009999861</v>
      </c>
      <c r="X317">
        <f t="shared" si="69"/>
        <v>3.3991559865899998</v>
      </c>
      <c r="Y317">
        <f t="shared" si="70"/>
        <v>95.756820023409858</v>
      </c>
      <c r="Z317">
        <f t="shared" si="71"/>
        <v>41935.135235869588</v>
      </c>
      <c r="AB317">
        <f t="shared" si="72"/>
        <v>502.43090000000001</v>
      </c>
      <c r="AC317">
        <f t="shared" si="73"/>
        <v>7441.0016290000003</v>
      </c>
      <c r="AD317">
        <f t="shared" si="74"/>
        <v>447.16350099999943</v>
      </c>
      <c r="AE317">
        <f t="shared" si="75"/>
        <v>15.329166759</v>
      </c>
      <c r="AF317">
        <f t="shared" si="76"/>
        <v>431.83433424099945</v>
      </c>
      <c r="AG317">
        <f t="shared" si="82"/>
        <v>74841.85067378325</v>
      </c>
      <c r="AH317" t="b">
        <f t="shared" si="77"/>
        <v>1</v>
      </c>
    </row>
    <row r="318" spans="4:34" hidden="1" x14ac:dyDescent="0.4">
      <c r="D318" t="s">
        <v>53</v>
      </c>
      <c r="E318" t="s">
        <v>37</v>
      </c>
      <c r="F318" s="9">
        <v>45968.625</v>
      </c>
      <c r="G318">
        <v>943.4</v>
      </c>
      <c r="H318" s="9">
        <v>45970.625</v>
      </c>
      <c r="I318">
        <v>987.39</v>
      </c>
      <c r="J318">
        <v>10.529</v>
      </c>
      <c r="K318" s="12">
        <v>9933.2199999999993</v>
      </c>
      <c r="L318">
        <v>15.25</v>
      </c>
      <c r="M318">
        <v>447.92</v>
      </c>
      <c r="N318" s="13">
        <v>4.5100000000000001E-2</v>
      </c>
      <c r="O318" t="s">
        <v>38</v>
      </c>
      <c r="Q318">
        <f t="shared" si="78"/>
        <v>463.1707100000001</v>
      </c>
      <c r="R318">
        <f t="shared" si="79"/>
        <v>447.9207100000001</v>
      </c>
      <c r="S318">
        <f t="shared" si="80"/>
        <v>10396.229310000001</v>
      </c>
      <c r="U318">
        <f t="shared" si="67"/>
        <v>1.748993</v>
      </c>
      <c r="V318">
        <f t="shared" si="81"/>
        <v>1649.9999961999999</v>
      </c>
      <c r="W318">
        <f t="shared" si="68"/>
        <v>76.938202070000017</v>
      </c>
      <c r="X318">
        <f t="shared" si="69"/>
        <v>3.3769381944700001</v>
      </c>
      <c r="Y318">
        <f t="shared" si="70"/>
        <v>73.561263875530017</v>
      </c>
      <c r="Z318">
        <f t="shared" si="71"/>
        <v>41839.378415846179</v>
      </c>
      <c r="AB318">
        <f t="shared" si="72"/>
        <v>7.8524219999999998</v>
      </c>
      <c r="AC318">
        <f t="shared" si="73"/>
        <v>7407.9749148000001</v>
      </c>
      <c r="AD318">
        <f t="shared" si="74"/>
        <v>345.42804378000005</v>
      </c>
      <c r="AE318">
        <f t="shared" si="75"/>
        <v>15.161377873379999</v>
      </c>
      <c r="AF318">
        <f t="shared" si="76"/>
        <v>330.26666590662006</v>
      </c>
      <c r="AG318">
        <f t="shared" si="82"/>
        <v>74410.016339542257</v>
      </c>
      <c r="AH318" t="b">
        <f t="shared" si="77"/>
        <v>1</v>
      </c>
    </row>
    <row r="319" spans="4:34" hidden="1" x14ac:dyDescent="0.4">
      <c r="D319" t="s">
        <v>50</v>
      </c>
      <c r="E319" t="s">
        <v>37</v>
      </c>
      <c r="F319" s="9">
        <v>45968.625</v>
      </c>
      <c r="G319">
        <v>365.9</v>
      </c>
      <c r="H319" s="9">
        <v>45970.625</v>
      </c>
      <c r="I319">
        <v>371.3</v>
      </c>
      <c r="J319" s="12">
        <v>38.0929</v>
      </c>
      <c r="K319" s="12">
        <v>13938.21</v>
      </c>
      <c r="L319">
        <v>21.06</v>
      </c>
      <c r="M319">
        <v>184.64</v>
      </c>
      <c r="N319" s="13">
        <v>1.32E-2</v>
      </c>
      <c r="O319" t="s">
        <v>38</v>
      </c>
      <c r="Q319">
        <f t="shared" si="78"/>
        <v>205.70166000000131</v>
      </c>
      <c r="R319">
        <f t="shared" si="79"/>
        <v>184.64166000000131</v>
      </c>
      <c r="S319">
        <f t="shared" si="80"/>
        <v>14143.893770000001</v>
      </c>
      <c r="U319">
        <f t="shared" si="67"/>
        <v>4.5094289999999999</v>
      </c>
      <c r="V319">
        <f t="shared" si="81"/>
        <v>1650.0000710999998</v>
      </c>
      <c r="W319">
        <f t="shared" si="68"/>
        <v>24.350916600000154</v>
      </c>
      <c r="X319">
        <f t="shared" si="69"/>
        <v>3.3243510588000005</v>
      </c>
      <c r="Y319">
        <f t="shared" si="70"/>
        <v>21.026565541200153</v>
      </c>
      <c r="Z319">
        <f t="shared" si="71"/>
        <v>41765.817151970652</v>
      </c>
      <c r="AB319">
        <f t="shared" si="72"/>
        <v>20.220133000000001</v>
      </c>
      <c r="AC319">
        <f t="shared" si="73"/>
        <v>7398.5466646999994</v>
      </c>
      <c r="AD319">
        <f t="shared" si="74"/>
        <v>109.18871820000069</v>
      </c>
      <c r="AE319">
        <f t="shared" si="75"/>
        <v>14.906282047600001</v>
      </c>
      <c r="AF319">
        <f t="shared" si="76"/>
        <v>94.282436152400692</v>
      </c>
      <c r="AG319">
        <f t="shared" si="82"/>
        <v>74079.749673635641</v>
      </c>
      <c r="AH319" t="b">
        <f t="shared" si="77"/>
        <v>1</v>
      </c>
    </row>
    <row r="320" spans="4:34" hidden="1" x14ac:dyDescent="0.4">
      <c r="D320" t="s">
        <v>40</v>
      </c>
      <c r="E320" t="s">
        <v>41</v>
      </c>
      <c r="F320" s="9">
        <v>45968.5</v>
      </c>
      <c r="G320" s="12">
        <v>627.95000000000005</v>
      </c>
      <c r="H320" s="9">
        <v>45969.833333333336</v>
      </c>
      <c r="I320" s="12">
        <v>588.47</v>
      </c>
      <c r="J320">
        <v>14.125</v>
      </c>
      <c r="K320" s="12">
        <v>8869.98</v>
      </c>
      <c r="L320">
        <v>12.89</v>
      </c>
      <c r="M320">
        <v>-570.54</v>
      </c>
      <c r="N320" s="13">
        <v>-6.4299999999999996E-2</v>
      </c>
      <c r="O320" t="s">
        <v>38</v>
      </c>
      <c r="Q320">
        <f t="shared" si="78"/>
        <v>-557.6550000000002</v>
      </c>
      <c r="R320">
        <f t="shared" si="79"/>
        <v>-570.54500000000019</v>
      </c>
      <c r="S320">
        <f t="shared" si="80"/>
        <v>8312.1387500000001</v>
      </c>
      <c r="U320">
        <f t="shared" si="67"/>
        <v>2.6275979999999999</v>
      </c>
      <c r="V320">
        <f t="shared" si="81"/>
        <v>1650.0001641000001</v>
      </c>
      <c r="W320">
        <f t="shared" si="68"/>
        <v>-103.73756904000004</v>
      </c>
      <c r="X320">
        <f t="shared" si="69"/>
        <v>3.1962627591600001</v>
      </c>
      <c r="Y320">
        <f t="shared" si="70"/>
        <v>-106.93383179916005</v>
      </c>
      <c r="Z320">
        <f t="shared" si="71"/>
        <v>41744.790586429452</v>
      </c>
      <c r="AB320">
        <f t="shared" si="72"/>
        <v>11.858919</v>
      </c>
      <c r="AC320">
        <f t="shared" si="73"/>
        <v>7446.8081860500006</v>
      </c>
      <c r="AD320">
        <f t="shared" si="74"/>
        <v>-468.19012212000024</v>
      </c>
      <c r="AE320">
        <f t="shared" si="75"/>
        <v>14.425426249980001</v>
      </c>
      <c r="AF320">
        <f t="shared" si="76"/>
        <v>-482.61554836998022</v>
      </c>
      <c r="AG320">
        <f t="shared" si="82"/>
        <v>73985.467237483244</v>
      </c>
      <c r="AH320" t="b">
        <f t="shared" si="77"/>
        <v>1</v>
      </c>
    </row>
    <row r="321" spans="4:34" hidden="1" x14ac:dyDescent="0.4">
      <c r="D321" t="s">
        <v>61</v>
      </c>
      <c r="E321" t="s">
        <v>37</v>
      </c>
      <c r="F321" s="9">
        <v>45966.958333333336</v>
      </c>
      <c r="G321">
        <v>0.54779999999999995</v>
      </c>
      <c r="H321" s="9">
        <v>45968.958333333336</v>
      </c>
      <c r="I321">
        <v>0.58320000000000005</v>
      </c>
      <c r="J321" s="12">
        <v>15625.9</v>
      </c>
      <c r="K321" s="12">
        <v>8559.8700000000008</v>
      </c>
      <c r="L321">
        <v>13.25</v>
      </c>
      <c r="M321">
        <v>539.9</v>
      </c>
      <c r="N321" s="13">
        <v>6.3100000000000003E-2</v>
      </c>
      <c r="O321" t="s">
        <v>38</v>
      </c>
      <c r="Q321">
        <f t="shared" si="78"/>
        <v>553.15686000000153</v>
      </c>
      <c r="R321">
        <f t="shared" si="79"/>
        <v>539.90686000000153</v>
      </c>
      <c r="S321">
        <f t="shared" si="80"/>
        <v>9113.0248800000008</v>
      </c>
      <c r="U321">
        <f t="shared" si="67"/>
        <v>3012.0481930000001</v>
      </c>
      <c r="V321">
        <f t="shared" si="81"/>
        <v>1650.0000001254</v>
      </c>
      <c r="W321">
        <f t="shared" si="68"/>
        <v>106.6265060322003</v>
      </c>
      <c r="X321">
        <f t="shared" si="69"/>
        <v>3.4066265062830001</v>
      </c>
      <c r="Y321">
        <f t="shared" si="70"/>
        <v>103.21987952591729</v>
      </c>
      <c r="Z321">
        <f t="shared" si="71"/>
        <v>41851.724418228609</v>
      </c>
      <c r="AB321">
        <f t="shared" si="72"/>
        <v>13509.515371</v>
      </c>
      <c r="AC321">
        <f t="shared" si="73"/>
        <v>7400.5125202337995</v>
      </c>
      <c r="AD321">
        <f t="shared" si="74"/>
        <v>478.23684413340129</v>
      </c>
      <c r="AE321">
        <f t="shared" si="75"/>
        <v>15.279261884601</v>
      </c>
      <c r="AF321">
        <f t="shared" si="76"/>
        <v>462.95758224880029</v>
      </c>
      <c r="AG321">
        <f t="shared" si="82"/>
        <v>74468.082785853228</v>
      </c>
      <c r="AH321" t="b">
        <f t="shared" si="77"/>
        <v>1</v>
      </c>
    </row>
    <row r="322" spans="4:34" hidden="1" x14ac:dyDescent="0.4">
      <c r="D322" t="s">
        <v>40</v>
      </c>
      <c r="E322" t="s">
        <v>41</v>
      </c>
      <c r="F322" s="9">
        <v>45967.166666666664</v>
      </c>
      <c r="G322" s="12">
        <v>490.1</v>
      </c>
      <c r="H322" s="9">
        <v>45968.5</v>
      </c>
      <c r="I322" s="12">
        <v>627.95000000000005</v>
      </c>
      <c r="J322">
        <v>17.606000000000002</v>
      </c>
      <c r="K322" s="12">
        <v>8628.76</v>
      </c>
      <c r="L322">
        <v>14.76</v>
      </c>
      <c r="M322" s="12">
        <v>2412.2199999999998</v>
      </c>
      <c r="N322" s="13">
        <v>0.27960000000000002</v>
      </c>
      <c r="O322" t="s">
        <v>38</v>
      </c>
      <c r="Q322">
        <f t="shared" si="78"/>
        <v>2426.9871000000007</v>
      </c>
      <c r="R322">
        <f t="shared" si="79"/>
        <v>2412.2271000000005</v>
      </c>
      <c r="S322">
        <f t="shared" si="80"/>
        <v>11055.687700000002</v>
      </c>
      <c r="U322">
        <f t="shared" si="67"/>
        <v>3.36666</v>
      </c>
      <c r="V322">
        <f t="shared" si="81"/>
        <v>1650.0000660000001</v>
      </c>
      <c r="W322">
        <f t="shared" si="68"/>
        <v>464.09408100000007</v>
      </c>
      <c r="X322">
        <f t="shared" si="69"/>
        <v>3.7640942130000008</v>
      </c>
      <c r="Y322">
        <f t="shared" si="70"/>
        <v>460.32998678700005</v>
      </c>
      <c r="Z322">
        <f t="shared" si="71"/>
        <v>41748.504538702691</v>
      </c>
      <c r="AB322">
        <f t="shared" si="72"/>
        <v>14.690167000000001</v>
      </c>
      <c r="AC322">
        <f t="shared" si="73"/>
        <v>7199.6508467000003</v>
      </c>
      <c r="AD322">
        <f t="shared" si="74"/>
        <v>2025.0395209500005</v>
      </c>
      <c r="AE322">
        <f t="shared" si="75"/>
        <v>16.424341214350004</v>
      </c>
      <c r="AF322">
        <f t="shared" si="76"/>
        <v>2008.6151797356504</v>
      </c>
      <c r="AG322">
        <f t="shared" si="82"/>
        <v>74005.125203604432</v>
      </c>
      <c r="AH322" t="b">
        <f t="shared" si="77"/>
        <v>1</v>
      </c>
    </row>
    <row r="323" spans="4:34" hidden="1" x14ac:dyDescent="0.4">
      <c r="D323" t="s">
        <v>52</v>
      </c>
      <c r="E323" t="s">
        <v>37</v>
      </c>
      <c r="F323" s="9">
        <v>45966.333333333336</v>
      </c>
      <c r="G323">
        <v>5.0229999999999997</v>
      </c>
      <c r="H323" s="9">
        <v>45968.333333333336</v>
      </c>
      <c r="I323">
        <v>8.5570000000000004</v>
      </c>
      <c r="J323" s="12">
        <v>506.21</v>
      </c>
      <c r="K323" s="12">
        <v>2542.7199999999998</v>
      </c>
      <c r="L323">
        <v>5.16</v>
      </c>
      <c r="M323" s="12">
        <v>1783.79</v>
      </c>
      <c r="N323" s="13">
        <v>0.70150000000000001</v>
      </c>
      <c r="O323" t="s">
        <v>38</v>
      </c>
      <c r="Q323">
        <f t="shared" si="78"/>
        <v>1788.9461400000002</v>
      </c>
      <c r="R323">
        <f t="shared" si="79"/>
        <v>1783.7861400000002</v>
      </c>
      <c r="S323">
        <f t="shared" si="80"/>
        <v>4331.63897</v>
      </c>
      <c r="U323">
        <f t="shared" si="67"/>
        <v>328.48895099999999</v>
      </c>
      <c r="V323">
        <f t="shared" si="81"/>
        <v>1650.0000008729999</v>
      </c>
      <c r="W323">
        <f t="shared" si="68"/>
        <v>1160.8799528340003</v>
      </c>
      <c r="X323">
        <f t="shared" si="69"/>
        <v>4.4608799545800002</v>
      </c>
      <c r="Y323">
        <f t="shared" si="70"/>
        <v>1156.4190728794204</v>
      </c>
      <c r="Z323">
        <f t="shared" si="71"/>
        <v>41288.17455191569</v>
      </c>
      <c r="AB323">
        <f t="shared" si="72"/>
        <v>1339.4594870000001</v>
      </c>
      <c r="AC323">
        <f t="shared" si="73"/>
        <v>6728.1050032009998</v>
      </c>
      <c r="AD323">
        <f t="shared" si="74"/>
        <v>4733.6498270580014</v>
      </c>
      <c r="AE323">
        <f t="shared" si="75"/>
        <v>18.189859833460002</v>
      </c>
      <c r="AF323">
        <f t="shared" si="76"/>
        <v>4715.4599672245413</v>
      </c>
      <c r="AG323">
        <f t="shared" si="82"/>
        <v>71996.510023868788</v>
      </c>
      <c r="AH323" t="b">
        <f t="shared" si="77"/>
        <v>1</v>
      </c>
    </row>
    <row r="324" spans="4:34" hidden="1" x14ac:dyDescent="0.4">
      <c r="D324" t="s">
        <v>52</v>
      </c>
      <c r="E324" t="s">
        <v>37</v>
      </c>
      <c r="F324" s="9">
        <v>45964.25</v>
      </c>
      <c r="G324">
        <v>3.9849999999999999</v>
      </c>
      <c r="H324" s="9">
        <v>45966.25</v>
      </c>
      <c r="I324">
        <v>5.024</v>
      </c>
      <c r="J324">
        <v>621.96</v>
      </c>
      <c r="K324" s="12">
        <v>2478.52</v>
      </c>
      <c r="L324">
        <v>4.2</v>
      </c>
      <c r="M324">
        <v>642.01</v>
      </c>
      <c r="N324" s="13">
        <v>0.25900000000000001</v>
      </c>
      <c r="O324" t="s">
        <v>38</v>
      </c>
      <c r="Q324">
        <f t="shared" si="78"/>
        <v>646.21644000000015</v>
      </c>
      <c r="R324">
        <f t="shared" si="79"/>
        <v>642.0164400000001</v>
      </c>
      <c r="S324">
        <f t="shared" si="80"/>
        <v>3124.7270400000002</v>
      </c>
      <c r="U324">
        <f t="shared" si="67"/>
        <v>414.05269800000002</v>
      </c>
      <c r="V324">
        <f t="shared" si="81"/>
        <v>1650.00000153</v>
      </c>
      <c r="W324">
        <f t="shared" si="68"/>
        <v>430.20075322200006</v>
      </c>
      <c r="X324">
        <f t="shared" si="69"/>
        <v>3.7302007562820005</v>
      </c>
      <c r="Y324">
        <f t="shared" si="70"/>
        <v>426.47055246571807</v>
      </c>
      <c r="Z324">
        <f t="shared" si="71"/>
        <v>40131.75547903627</v>
      </c>
      <c r="AB324">
        <f t="shared" si="72"/>
        <v>1645.818612</v>
      </c>
      <c r="AC324">
        <f t="shared" si="73"/>
        <v>6558.5871688199995</v>
      </c>
      <c r="AD324">
        <f t="shared" si="74"/>
        <v>1710.0055378680004</v>
      </c>
      <c r="AE324">
        <f t="shared" si="75"/>
        <v>14.827179875508003</v>
      </c>
      <c r="AF324">
        <f t="shared" si="76"/>
        <v>1695.1783579924925</v>
      </c>
      <c r="AG324">
        <f t="shared" si="82"/>
        <v>67281.05005664425</v>
      </c>
      <c r="AH324" t="b">
        <f t="shared" si="77"/>
        <v>1</v>
      </c>
    </row>
    <row r="325" spans="4:34" hidden="1" x14ac:dyDescent="0.4">
      <c r="D325" t="s">
        <v>54</v>
      </c>
      <c r="E325" t="s">
        <v>37</v>
      </c>
      <c r="F325" s="9">
        <v>45963.75</v>
      </c>
      <c r="G325">
        <v>184.4</v>
      </c>
      <c r="H325" s="9">
        <v>45965.75</v>
      </c>
      <c r="I325">
        <v>156.13999999999999</v>
      </c>
      <c r="J325">
        <v>27.952000000000002</v>
      </c>
      <c r="K325" s="12">
        <v>5154.37</v>
      </c>
      <c r="L325">
        <v>7.14</v>
      </c>
      <c r="M325">
        <v>-797.06</v>
      </c>
      <c r="N325" s="13">
        <v>-0.15459999999999999</v>
      </c>
      <c r="O325" t="s">
        <v>38</v>
      </c>
      <c r="Q325">
        <f t="shared" si="78"/>
        <v>-789.92352000000062</v>
      </c>
      <c r="R325">
        <f t="shared" si="79"/>
        <v>-797.06352000000061</v>
      </c>
      <c r="S325">
        <f t="shared" si="80"/>
        <v>4364.4252799999995</v>
      </c>
      <c r="U325">
        <f t="shared" si="67"/>
        <v>8.9479389999999999</v>
      </c>
      <c r="V325">
        <f t="shared" si="81"/>
        <v>1649.9999516</v>
      </c>
      <c r="W325">
        <f t="shared" si="68"/>
        <v>-252.86875614000016</v>
      </c>
      <c r="X325">
        <f t="shared" si="69"/>
        <v>3.0471311470599995</v>
      </c>
      <c r="Y325">
        <f t="shared" si="70"/>
        <v>-255.91588728706014</v>
      </c>
      <c r="Z325">
        <f t="shared" si="71"/>
        <v>39705.284926570552</v>
      </c>
      <c r="AB325">
        <f t="shared" si="72"/>
        <v>36.127515000000002</v>
      </c>
      <c r="AC325">
        <f t="shared" si="73"/>
        <v>6661.9137660000006</v>
      </c>
      <c r="AD325">
        <f t="shared" si="74"/>
        <v>-1020.9635739000008</v>
      </c>
      <c r="AE325">
        <f t="shared" si="75"/>
        <v>12.3028639581</v>
      </c>
      <c r="AF325">
        <f t="shared" si="76"/>
        <v>-1033.2664378581007</v>
      </c>
      <c r="AG325">
        <f t="shared" si="82"/>
        <v>65585.871698651754</v>
      </c>
      <c r="AH325" t="b">
        <f t="shared" si="77"/>
        <v>1</v>
      </c>
    </row>
    <row r="326" spans="4:34" hidden="1" x14ac:dyDescent="0.4">
      <c r="D326" t="s">
        <v>59</v>
      </c>
      <c r="E326" t="s">
        <v>37</v>
      </c>
      <c r="F326" s="9">
        <v>45963.166666666664</v>
      </c>
      <c r="G326" s="12">
        <v>110044.94</v>
      </c>
      <c r="H326" s="9">
        <v>45965.666666666664</v>
      </c>
      <c r="I326" s="12">
        <v>103186.14</v>
      </c>
      <c r="J326">
        <v>9.7449999999999995E-2</v>
      </c>
      <c r="K326" s="12">
        <v>10724.87</v>
      </c>
      <c r="L326">
        <v>15.58</v>
      </c>
      <c r="M326">
        <v>-683.97</v>
      </c>
      <c r="N326" s="13">
        <v>-6.3799999999999996E-2</v>
      </c>
      <c r="O326" t="s">
        <v>57</v>
      </c>
      <c r="Q326">
        <f t="shared" si="78"/>
        <v>-668.39006000000029</v>
      </c>
      <c r="R326">
        <f t="shared" si="79"/>
        <v>-683.97006000000033</v>
      </c>
      <c r="S326">
        <f t="shared" si="80"/>
        <v>10055.489342999999</v>
      </c>
      <c r="U326">
        <f t="shared" si="67"/>
        <v>1.4994E-2</v>
      </c>
      <c r="V326">
        <f t="shared" si="81"/>
        <v>1650.0138303600002</v>
      </c>
      <c r="W326">
        <f t="shared" si="68"/>
        <v>-102.84084720000004</v>
      </c>
      <c r="X326">
        <f t="shared" si="69"/>
        <v>3.1971868135200006</v>
      </c>
      <c r="Y326">
        <f t="shared" si="70"/>
        <v>-106.03803401352005</v>
      </c>
      <c r="Z326">
        <f t="shared" si="71"/>
        <v>39961.200813857613</v>
      </c>
      <c r="AB326">
        <f t="shared" si="72"/>
        <v>6.0929999999999998E-2</v>
      </c>
      <c r="AC326">
        <f t="shared" si="73"/>
        <v>6705.0381942000004</v>
      </c>
      <c r="AD326">
        <f t="shared" si="74"/>
        <v>-417.90668400000015</v>
      </c>
      <c r="AE326">
        <f t="shared" si="75"/>
        <v>12.9921697044</v>
      </c>
      <c r="AF326">
        <f t="shared" si="76"/>
        <v>-430.89885370440015</v>
      </c>
      <c r="AG326">
        <f t="shared" si="82"/>
        <v>66619.13813650985</v>
      </c>
      <c r="AH326" t="b">
        <f t="shared" si="77"/>
        <v>1</v>
      </c>
    </row>
    <row r="327" spans="4:34" hidden="1" x14ac:dyDescent="0.4">
      <c r="D327" t="s">
        <v>60</v>
      </c>
      <c r="E327" t="s">
        <v>37</v>
      </c>
      <c r="F327" s="9">
        <v>45963.125</v>
      </c>
      <c r="G327">
        <v>2.5102000000000002</v>
      </c>
      <c r="H327" s="9">
        <v>45965.625</v>
      </c>
      <c r="I327">
        <v>2.3039999999999998</v>
      </c>
      <c r="J327">
        <v>911.2</v>
      </c>
      <c r="K327" s="12">
        <v>2287.5100000000002</v>
      </c>
      <c r="L327">
        <v>3.29</v>
      </c>
      <c r="M327">
        <v>-191.18</v>
      </c>
      <c r="N327" s="13">
        <v>-8.3599999999999994E-2</v>
      </c>
      <c r="O327" t="s">
        <v>57</v>
      </c>
      <c r="Q327">
        <f t="shared" si="78"/>
        <v>-187.88944000000035</v>
      </c>
      <c r="R327">
        <f t="shared" si="79"/>
        <v>-191.17944000000034</v>
      </c>
      <c r="S327">
        <f t="shared" si="80"/>
        <v>2099.4047999999998</v>
      </c>
      <c r="U327">
        <f t="shared" si="67"/>
        <v>657.31814199999997</v>
      </c>
      <c r="V327">
        <f t="shared" si="81"/>
        <v>1650.0000000484001</v>
      </c>
      <c r="W327">
        <f t="shared" si="68"/>
        <v>-135.53900088040024</v>
      </c>
      <c r="X327">
        <f t="shared" si="69"/>
        <v>3.1644609992163995</v>
      </c>
      <c r="Y327">
        <f t="shared" si="70"/>
        <v>-138.70346187961664</v>
      </c>
      <c r="Z327">
        <f t="shared" si="71"/>
        <v>40067.238847871136</v>
      </c>
      <c r="AB327">
        <f t="shared" si="72"/>
        <v>2693.74775</v>
      </c>
      <c r="AC327">
        <f t="shared" si="73"/>
        <v>6761.8456020500007</v>
      </c>
      <c r="AD327">
        <f t="shared" si="74"/>
        <v>-555.45078605000106</v>
      </c>
      <c r="AE327">
        <f t="shared" si="75"/>
        <v>12.968240418049998</v>
      </c>
      <c r="AF327">
        <f t="shared" si="76"/>
        <v>-568.41902646805102</v>
      </c>
      <c r="AG327">
        <f t="shared" si="82"/>
        <v>67050.036990214256</v>
      </c>
      <c r="AH327" t="b">
        <f t="shared" si="77"/>
        <v>1</v>
      </c>
    </row>
    <row r="328" spans="4:34" hidden="1" x14ac:dyDescent="0.4">
      <c r="D328" t="s">
        <v>58</v>
      </c>
      <c r="E328" t="s">
        <v>37</v>
      </c>
      <c r="F328" s="9">
        <v>45963.208333333336</v>
      </c>
      <c r="G328">
        <v>17.37</v>
      </c>
      <c r="H328" s="9">
        <v>45965.208333333336</v>
      </c>
      <c r="I328">
        <v>15.24</v>
      </c>
      <c r="J328" s="12">
        <v>438.73</v>
      </c>
      <c r="K328" s="12">
        <v>7620.9</v>
      </c>
      <c r="L328">
        <v>10.73</v>
      </c>
      <c r="M328">
        <v>-945.23</v>
      </c>
      <c r="N328" s="13">
        <v>-0.124</v>
      </c>
      <c r="O328" t="s">
        <v>38</v>
      </c>
      <c r="Q328">
        <f t="shared" si="78"/>
        <v>-934.49490000000037</v>
      </c>
      <c r="R328">
        <f t="shared" si="79"/>
        <v>-945.22490000000039</v>
      </c>
      <c r="S328">
        <f t="shared" si="80"/>
        <v>6686.2452000000003</v>
      </c>
      <c r="U328">
        <f t="shared" si="67"/>
        <v>94.991364000000004</v>
      </c>
      <c r="V328">
        <f t="shared" si="81"/>
        <v>1649.9999926800001</v>
      </c>
      <c r="W328">
        <f t="shared" si="68"/>
        <v>-202.33160532000008</v>
      </c>
      <c r="X328">
        <f t="shared" si="69"/>
        <v>3.09766838004</v>
      </c>
      <c r="Y328">
        <f t="shared" si="70"/>
        <v>-205.42927370004008</v>
      </c>
      <c r="Z328">
        <f t="shared" si="71"/>
        <v>40205.942309750753</v>
      </c>
      <c r="AB328">
        <f t="shared" si="72"/>
        <v>394.19077099999998</v>
      </c>
      <c r="AC328">
        <f t="shared" si="73"/>
        <v>6847.0936922700002</v>
      </c>
      <c r="AD328">
        <f t="shared" si="74"/>
        <v>-839.62634223000032</v>
      </c>
      <c r="AE328">
        <f t="shared" si="75"/>
        <v>12.854561042309999</v>
      </c>
      <c r="AF328">
        <f t="shared" si="76"/>
        <v>-852.48090327231034</v>
      </c>
      <c r="AG328">
        <f t="shared" si="82"/>
        <v>67618.456016682307</v>
      </c>
      <c r="AH328" t="b">
        <f t="shared" si="77"/>
        <v>1</v>
      </c>
    </row>
    <row r="329" spans="4:34" hidden="1" x14ac:dyDescent="0.4">
      <c r="D329" t="s">
        <v>61</v>
      </c>
      <c r="E329" t="s">
        <v>37</v>
      </c>
      <c r="F329" s="9">
        <v>45963.208333333336</v>
      </c>
      <c r="G329">
        <v>0.6159</v>
      </c>
      <c r="H329" s="9">
        <v>45965.208333333336</v>
      </c>
      <c r="I329">
        <v>0.55810000000000004</v>
      </c>
      <c r="J329" s="12">
        <v>14031.8</v>
      </c>
      <c r="K329" s="12">
        <v>8642.2099999999991</v>
      </c>
      <c r="L329">
        <v>12.35</v>
      </c>
      <c r="M329">
        <v>-823.39</v>
      </c>
      <c r="N329" s="13">
        <v>-9.5299999999999996E-2</v>
      </c>
      <c r="O329" t="s">
        <v>38</v>
      </c>
      <c r="Q329">
        <f t="shared" si="78"/>
        <v>-811.03803999999946</v>
      </c>
      <c r="R329">
        <f t="shared" si="79"/>
        <v>-823.38803999999948</v>
      </c>
      <c r="S329">
        <f t="shared" si="80"/>
        <v>7831.1475799999998</v>
      </c>
      <c r="U329">
        <f t="shared" si="67"/>
        <v>2679.0063319999999</v>
      </c>
      <c r="V329">
        <f t="shared" si="81"/>
        <v>1649.9999998788001</v>
      </c>
      <c r="W329">
        <f t="shared" si="68"/>
        <v>-154.8465659895999</v>
      </c>
      <c r="X329">
        <f t="shared" si="69"/>
        <v>3.1451534337679998</v>
      </c>
      <c r="Y329">
        <f t="shared" si="70"/>
        <v>-157.9917194233679</v>
      </c>
      <c r="Z329">
        <f t="shared" si="71"/>
        <v>40411.371583450797</v>
      </c>
      <c r="AB329">
        <f t="shared" si="72"/>
        <v>11224.695914</v>
      </c>
      <c r="AC329">
        <f t="shared" si="73"/>
        <v>6913.2902134325996</v>
      </c>
      <c r="AD329">
        <f t="shared" si="74"/>
        <v>-648.78742382919961</v>
      </c>
      <c r="AE329">
        <f t="shared" si="75"/>
        <v>13.177793003035999</v>
      </c>
      <c r="AF329">
        <f t="shared" si="76"/>
        <v>-661.96521683223557</v>
      </c>
      <c r="AG329">
        <f t="shared" si="82"/>
        <v>68470.93691995462</v>
      </c>
      <c r="AH329" t="b">
        <f t="shared" si="77"/>
        <v>1</v>
      </c>
    </row>
    <row r="330" spans="4:34" hidden="1" x14ac:dyDescent="0.4">
      <c r="D330" t="s">
        <v>53</v>
      </c>
      <c r="E330" t="s">
        <v>37</v>
      </c>
      <c r="F330" s="9">
        <v>45962.666666666664</v>
      </c>
      <c r="G330" s="12">
        <v>1092.44</v>
      </c>
      <c r="H330" s="9">
        <v>45964.666666666664</v>
      </c>
      <c r="I330">
        <v>980.14</v>
      </c>
      <c r="J330">
        <v>9.1880000000000006</v>
      </c>
      <c r="K330" s="12">
        <v>10037.83</v>
      </c>
      <c r="L330">
        <v>14.28</v>
      </c>
      <c r="M330" s="12">
        <v>-1046.0899999999999</v>
      </c>
      <c r="N330" s="13">
        <v>-0.1042</v>
      </c>
      <c r="O330" t="s">
        <v>38</v>
      </c>
      <c r="Q330">
        <f t="shared" si="78"/>
        <v>-1031.8124000000007</v>
      </c>
      <c r="R330">
        <f t="shared" si="79"/>
        <v>-1046.0924000000007</v>
      </c>
      <c r="S330">
        <f t="shared" si="80"/>
        <v>9005.5263200000009</v>
      </c>
      <c r="U330">
        <f t="shared" si="67"/>
        <v>1.5103800000000001</v>
      </c>
      <c r="V330">
        <f t="shared" si="81"/>
        <v>1649.9995272000001</v>
      </c>
      <c r="W330">
        <f t="shared" si="68"/>
        <v>-169.6156740000001</v>
      </c>
      <c r="X330">
        <f t="shared" si="69"/>
        <v>3.1303833804000001</v>
      </c>
      <c r="Y330">
        <f t="shared" si="70"/>
        <v>-172.74605738040009</v>
      </c>
      <c r="Z330">
        <f t="shared" si="71"/>
        <v>40569.363302874168</v>
      </c>
      <c r="AB330">
        <f t="shared" si="72"/>
        <v>6.395257</v>
      </c>
      <c r="AC330">
        <f t="shared" si="73"/>
        <v>6986.4345570800006</v>
      </c>
      <c r="AD330">
        <f t="shared" si="74"/>
        <v>-718.18736110000043</v>
      </c>
      <c r="AE330">
        <f t="shared" si="75"/>
        <v>13.25468175306</v>
      </c>
      <c r="AF330">
        <f t="shared" si="76"/>
        <v>-731.44204285306046</v>
      </c>
      <c r="AG330">
        <f t="shared" si="82"/>
        <v>69132.902136786855</v>
      </c>
      <c r="AH330" t="b">
        <f t="shared" si="77"/>
        <v>1</v>
      </c>
    </row>
    <row r="331" spans="4:34" hidden="1" x14ac:dyDescent="0.4">
      <c r="D331" t="s">
        <v>56</v>
      </c>
      <c r="E331" t="s">
        <v>37</v>
      </c>
      <c r="F331" s="9">
        <v>45963.791666666664</v>
      </c>
      <c r="G331" s="12">
        <v>3863.99</v>
      </c>
      <c r="H331" s="9">
        <v>45964.125</v>
      </c>
      <c r="I331" s="12">
        <v>3820.5</v>
      </c>
      <c r="J331" s="12">
        <v>1.5182</v>
      </c>
      <c r="K331" s="12">
        <v>5866.52</v>
      </c>
      <c r="L331">
        <v>8.75</v>
      </c>
      <c r="M331">
        <v>-74.78</v>
      </c>
      <c r="N331" s="13">
        <v>-1.2699999999999999E-2</v>
      </c>
      <c r="O331" t="s">
        <v>49</v>
      </c>
      <c r="Q331">
        <f t="shared" si="78"/>
        <v>-66.026517999999669</v>
      </c>
      <c r="R331">
        <f t="shared" si="79"/>
        <v>-74.776517999999669</v>
      </c>
      <c r="S331">
        <f t="shared" si="80"/>
        <v>5800.2830999999996</v>
      </c>
      <c r="U331">
        <f t="shared" si="67"/>
        <v>0.42702000000000001</v>
      </c>
      <c r="V331">
        <f t="shared" si="81"/>
        <v>1650.0010098</v>
      </c>
      <c r="W331">
        <f t="shared" si="68"/>
        <v>-18.571099799999907</v>
      </c>
      <c r="X331">
        <f t="shared" si="69"/>
        <v>3.2814309198</v>
      </c>
      <c r="Y331">
        <f t="shared" si="70"/>
        <v>-21.852530719799908</v>
      </c>
      <c r="Z331">
        <f t="shared" si="71"/>
        <v>40742.109360254566</v>
      </c>
      <c r="AB331">
        <f t="shared" si="72"/>
        <v>1.810486</v>
      </c>
      <c r="AC331">
        <f t="shared" si="73"/>
        <v>6995.6997991399994</v>
      </c>
      <c r="AD331">
        <f t="shared" si="74"/>
        <v>-78.738036139999608</v>
      </c>
      <c r="AE331">
        <f t="shared" si="75"/>
        <v>13.91266156214</v>
      </c>
      <c r="AF331">
        <f t="shared" si="76"/>
        <v>-92.65069770213961</v>
      </c>
      <c r="AG331">
        <f t="shared" si="82"/>
        <v>69864.344179639913</v>
      </c>
      <c r="AH331" t="b">
        <f t="shared" si="77"/>
        <v>1</v>
      </c>
    </row>
    <row r="332" spans="4:34" hidden="1" x14ac:dyDescent="0.4">
      <c r="D332" t="s">
        <v>55</v>
      </c>
      <c r="E332" t="s">
        <v>37</v>
      </c>
      <c r="F332" s="9">
        <v>45962.125</v>
      </c>
      <c r="G332">
        <v>4.3279999999999999E-5</v>
      </c>
      <c r="H332" s="9">
        <v>45964.125</v>
      </c>
      <c r="I332">
        <v>4.1869999999999997E-5</v>
      </c>
      <c r="J332" s="12">
        <v>137515307.71000001</v>
      </c>
      <c r="K332" s="12">
        <v>5951.66</v>
      </c>
      <c r="L332">
        <v>8.7799999999999994</v>
      </c>
      <c r="M332">
        <v>-202.68</v>
      </c>
      <c r="N332" s="13">
        <v>-3.4099999999999998E-2</v>
      </c>
      <c r="O332" t="s">
        <v>38</v>
      </c>
      <c r="Q332">
        <f t="shared" si="78"/>
        <v>-193.89658387110026</v>
      </c>
      <c r="R332">
        <f t="shared" si="79"/>
        <v>-202.67658387110026</v>
      </c>
      <c r="S332">
        <f t="shared" si="80"/>
        <v>5757.7659338177</v>
      </c>
      <c r="U332">
        <f t="shared" si="67"/>
        <v>38123844.731977999</v>
      </c>
      <c r="V332">
        <f t="shared" si="81"/>
        <v>1650.0000000000077</v>
      </c>
      <c r="W332">
        <f t="shared" si="68"/>
        <v>-53.754621072089044</v>
      </c>
      <c r="X332">
        <f t="shared" si="69"/>
        <v>3.2462453789279264</v>
      </c>
      <c r="Y332">
        <f t="shared" si="70"/>
        <v>-57.000866451016968</v>
      </c>
      <c r="Z332">
        <f t="shared" si="71"/>
        <v>40763.961890974366</v>
      </c>
      <c r="AB332">
        <f t="shared" si="72"/>
        <v>162198488.78894401</v>
      </c>
      <c r="AC332">
        <f t="shared" si="73"/>
        <v>7019.9505947854968</v>
      </c>
      <c r="AD332">
        <f t="shared" si="74"/>
        <v>-228.69986919241134</v>
      </c>
      <c r="AE332">
        <f t="shared" si="75"/>
        <v>13.811201320378581</v>
      </c>
      <c r="AF332">
        <f t="shared" si="76"/>
        <v>-242.51107051278993</v>
      </c>
      <c r="AG332">
        <f t="shared" si="82"/>
        <v>69956.994877342047</v>
      </c>
      <c r="AH332" t="b">
        <f t="shared" si="77"/>
        <v>1</v>
      </c>
    </row>
    <row r="333" spans="4:34" hidden="1" x14ac:dyDescent="0.4">
      <c r="D333" t="s">
        <v>52</v>
      </c>
      <c r="E333" t="s">
        <v>37</v>
      </c>
      <c r="F333" s="9">
        <v>45962.041666666664</v>
      </c>
      <c r="G333">
        <v>2.9569999999999999</v>
      </c>
      <c r="H333" s="9">
        <v>45964.041666666664</v>
      </c>
      <c r="I333">
        <v>4.069</v>
      </c>
      <c r="J333">
        <v>807.94</v>
      </c>
      <c r="K333" s="12">
        <v>2389.11</v>
      </c>
      <c r="L333">
        <v>4.26</v>
      </c>
      <c r="M333">
        <v>894.17</v>
      </c>
      <c r="N333" s="13">
        <v>0.37430000000000002</v>
      </c>
      <c r="O333" t="s">
        <v>38</v>
      </c>
      <c r="Q333">
        <f t="shared" si="78"/>
        <v>898.42928000000018</v>
      </c>
      <c r="R333">
        <f t="shared" si="79"/>
        <v>894.16928000000019</v>
      </c>
      <c r="S333">
        <f t="shared" si="80"/>
        <v>3287.5078600000002</v>
      </c>
      <c r="U333">
        <f t="shared" ref="U333:U396" si="83">ROUND(($Q$2)/G333,6)</f>
        <v>557.99797100000001</v>
      </c>
      <c r="V333">
        <f t="shared" si="81"/>
        <v>1650.0000002469999</v>
      </c>
      <c r="W333">
        <f t="shared" ref="W333:W396" si="84">U333*(I333-G333)</f>
        <v>620.49374375200011</v>
      </c>
      <c r="X333">
        <f t="shared" ref="X333:X396" si="85">(G333+I333)*$R$2*U333</f>
        <v>3.9204937442459999</v>
      </c>
      <c r="Y333">
        <f t="shared" ref="Y333:Y396" si="86">W333-X333</f>
        <v>616.57325000775415</v>
      </c>
      <c r="Z333">
        <f t="shared" ref="Z333:Z396" si="87">Z334+Y333</f>
        <v>40820.962757425383</v>
      </c>
      <c r="AB333">
        <f t="shared" ref="AB333:AB396" si="88">ROUND(((AH333*AG334 +(1-AH333)*AI333)/$P$2)/G333,6)</f>
        <v>2288.4943910000002</v>
      </c>
      <c r="AC333">
        <f t="shared" ref="AC333:AC396" si="89">AB333*G333</f>
        <v>6767.0779141869998</v>
      </c>
      <c r="AD333">
        <f t="shared" ref="AD333:AD396" si="90">AB333*(I333-G333)</f>
        <v>2544.8057627920002</v>
      </c>
      <c r="AE333">
        <f t="shared" ref="AE333:AE396" si="91">(G333+I333)*$R$2*AB333</f>
        <v>16.078961591166003</v>
      </c>
      <c r="AF333">
        <f t="shared" ref="AF333:AF396" si="92">AD333-AE333</f>
        <v>2528.7268012008344</v>
      </c>
      <c r="AG333">
        <f t="shared" si="82"/>
        <v>70199.505947854836</v>
      </c>
      <c r="AH333" t="b">
        <f t="shared" ref="AH333:AH396" si="93">ISBLANK(AI333)</f>
        <v>1</v>
      </c>
    </row>
    <row r="334" spans="4:34" hidden="1" x14ac:dyDescent="0.4">
      <c r="D334" t="s">
        <v>48</v>
      </c>
      <c r="E334" t="s">
        <v>37</v>
      </c>
      <c r="F334" s="9">
        <v>45962.041666666664</v>
      </c>
      <c r="G334">
        <v>5.3499999999999999E-2</v>
      </c>
      <c r="H334" s="9">
        <v>45964.041666666664</v>
      </c>
      <c r="I334">
        <v>5.3100000000000001E-2</v>
      </c>
      <c r="J334" s="12">
        <v>55852.1</v>
      </c>
      <c r="K334" s="12">
        <v>2988.09</v>
      </c>
      <c r="L334">
        <v>4.47</v>
      </c>
      <c r="M334">
        <v>-26.81</v>
      </c>
      <c r="N334" s="13">
        <v>-8.9999999999999993E-3</v>
      </c>
      <c r="O334" t="s">
        <v>38</v>
      </c>
      <c r="Q334">
        <f t="shared" ref="Q334:Q397" si="94">(I334-G334)*J334</f>
        <v>-22.340839999999865</v>
      </c>
      <c r="R334">
        <f t="shared" ref="R334:R397" si="95">Q334-L334</f>
        <v>-26.810839999999864</v>
      </c>
      <c r="S334">
        <f t="shared" ref="S334:S397" si="96">I334*J334</f>
        <v>2965.7465099999999</v>
      </c>
      <c r="U334">
        <f t="shared" si="83"/>
        <v>30841.121494999999</v>
      </c>
      <c r="V334">
        <f t="shared" ref="V334:V397" si="97">U334*G334</f>
        <v>1649.9999999825</v>
      </c>
      <c r="W334">
        <f t="shared" si="84"/>
        <v>-12.336448597999926</v>
      </c>
      <c r="X334">
        <f t="shared" si="85"/>
        <v>3.2876635513669998</v>
      </c>
      <c r="Y334">
        <f t="shared" si="86"/>
        <v>-15.624112149366926</v>
      </c>
      <c r="Z334">
        <f t="shared" si="87"/>
        <v>40204.389507417625</v>
      </c>
      <c r="AB334">
        <f t="shared" si="88"/>
        <v>126607.324144</v>
      </c>
      <c r="AC334">
        <f t="shared" si="89"/>
        <v>6773.4918417039999</v>
      </c>
      <c r="AD334">
        <f t="shared" si="90"/>
        <v>-50.642929657599694</v>
      </c>
      <c r="AE334">
        <f t="shared" si="91"/>
        <v>13.496340753750401</v>
      </c>
      <c r="AF334">
        <f t="shared" si="92"/>
        <v>-64.139270411350097</v>
      </c>
      <c r="AG334">
        <f t="shared" si="82"/>
        <v>67670.779146654007</v>
      </c>
      <c r="AH334" t="b">
        <f t="shared" si="93"/>
        <v>1</v>
      </c>
    </row>
    <row r="335" spans="4:34" hidden="1" x14ac:dyDescent="0.4">
      <c r="D335" t="s">
        <v>50</v>
      </c>
      <c r="E335" t="s">
        <v>37</v>
      </c>
      <c r="F335" s="9">
        <v>45961.75</v>
      </c>
      <c r="G335">
        <v>487.2</v>
      </c>
      <c r="H335" s="9">
        <v>45963.75</v>
      </c>
      <c r="I335">
        <v>488</v>
      </c>
      <c r="J335">
        <v>28.6084</v>
      </c>
      <c r="K335" s="12">
        <v>13938.02</v>
      </c>
      <c r="L335">
        <v>20.92</v>
      </c>
      <c r="M335">
        <v>1.96</v>
      </c>
      <c r="N335" s="13">
        <v>1E-4</v>
      </c>
      <c r="O335" t="s">
        <v>38</v>
      </c>
      <c r="Q335">
        <f t="shared" si="94"/>
        <v>22.886720000000324</v>
      </c>
      <c r="R335">
        <f t="shared" si="95"/>
        <v>1.966720000000322</v>
      </c>
      <c r="S335">
        <f t="shared" si="96"/>
        <v>13960.8992</v>
      </c>
      <c r="U335">
        <f t="shared" si="83"/>
        <v>3.3866999999999998</v>
      </c>
      <c r="V335">
        <f t="shared" si="97"/>
        <v>1650.0002399999998</v>
      </c>
      <c r="W335">
        <f t="shared" si="84"/>
        <v>2.7093600000000384</v>
      </c>
      <c r="X335">
        <f t="shared" si="85"/>
        <v>3.3027098399999999</v>
      </c>
      <c r="Y335">
        <f t="shared" si="86"/>
        <v>-0.59334983999996149</v>
      </c>
      <c r="Z335">
        <f t="shared" si="87"/>
        <v>40220.013619566991</v>
      </c>
      <c r="AB335">
        <f t="shared" si="88"/>
        <v>13.903397999999999</v>
      </c>
      <c r="AC335">
        <f t="shared" si="89"/>
        <v>6773.7355055999997</v>
      </c>
      <c r="AD335">
        <f t="shared" si="90"/>
        <v>11.122718400000158</v>
      </c>
      <c r="AE335">
        <f t="shared" si="91"/>
        <v>13.5585937296</v>
      </c>
      <c r="AF335">
        <f t="shared" si="92"/>
        <v>-2.4358753295998419</v>
      </c>
      <c r="AG335">
        <f t="shared" si="82"/>
        <v>67734.918417065361</v>
      </c>
      <c r="AH335" t="b">
        <f t="shared" si="93"/>
        <v>1</v>
      </c>
    </row>
    <row r="336" spans="4:34" hidden="1" x14ac:dyDescent="0.4">
      <c r="D336" t="s">
        <v>56</v>
      </c>
      <c r="E336" t="s">
        <v>37</v>
      </c>
      <c r="F336" s="9">
        <v>45963.125</v>
      </c>
      <c r="G336" s="12">
        <v>3879.6</v>
      </c>
      <c r="H336" s="9">
        <v>45963.625</v>
      </c>
      <c r="I336" s="12">
        <v>3842.13</v>
      </c>
      <c r="J336" s="12">
        <v>1.5138</v>
      </c>
      <c r="K336" s="12">
        <v>5873.07</v>
      </c>
      <c r="L336">
        <v>8.77</v>
      </c>
      <c r="M336">
        <v>-65.489999999999995</v>
      </c>
      <c r="N336" s="13">
        <v>-1.12E-2</v>
      </c>
      <c r="O336" t="s">
        <v>49</v>
      </c>
      <c r="Q336">
        <f t="shared" si="94"/>
        <v>-56.722085999999699</v>
      </c>
      <c r="R336">
        <f t="shared" si="95"/>
        <v>-65.492085999999702</v>
      </c>
      <c r="S336">
        <f t="shared" si="96"/>
        <v>5816.216394</v>
      </c>
      <c r="U336">
        <f t="shared" si="83"/>
        <v>0.42530200000000001</v>
      </c>
      <c r="V336">
        <f t="shared" si="97"/>
        <v>1650.0016392</v>
      </c>
      <c r="W336">
        <f t="shared" si="84"/>
        <v>-15.936065939999915</v>
      </c>
      <c r="X336">
        <f t="shared" si="85"/>
        <v>3.2840672124600001</v>
      </c>
      <c r="Y336">
        <f t="shared" si="86"/>
        <v>-19.220133152459915</v>
      </c>
      <c r="Z336">
        <f t="shared" si="87"/>
        <v>40220.606969406988</v>
      </c>
      <c r="AB336">
        <f t="shared" si="88"/>
        <v>1.748024</v>
      </c>
      <c r="AC336">
        <f t="shared" si="89"/>
        <v>6781.6339103999999</v>
      </c>
      <c r="AD336">
        <f t="shared" si="90"/>
        <v>-65.498459279999651</v>
      </c>
      <c r="AE336">
        <f t="shared" si="91"/>
        <v>13.49776936152</v>
      </c>
      <c r="AF336">
        <f t="shared" si="92"/>
        <v>-78.99622864151965</v>
      </c>
      <c r="AG336">
        <f t="shared" si="82"/>
        <v>67737.354292394957</v>
      </c>
      <c r="AH336" t="b">
        <f t="shared" si="93"/>
        <v>1</v>
      </c>
    </row>
    <row r="337" spans="4:34" hidden="1" x14ac:dyDescent="0.4">
      <c r="D337" t="s">
        <v>50</v>
      </c>
      <c r="E337" t="s">
        <v>37</v>
      </c>
      <c r="F337" s="9">
        <v>45959.708333333336</v>
      </c>
      <c r="G337">
        <v>428.1</v>
      </c>
      <c r="H337" s="9">
        <v>45961.708333333336</v>
      </c>
      <c r="I337">
        <v>474.6</v>
      </c>
      <c r="J337">
        <v>32.213000000000001</v>
      </c>
      <c r="K337" s="12">
        <v>13790.41</v>
      </c>
      <c r="L337">
        <v>21.81</v>
      </c>
      <c r="M337" s="12">
        <v>1476.1</v>
      </c>
      <c r="N337" s="13">
        <v>0.107</v>
      </c>
      <c r="O337" t="s">
        <v>38</v>
      </c>
      <c r="Q337">
        <f t="shared" si="94"/>
        <v>1497.9045000000001</v>
      </c>
      <c r="R337">
        <f t="shared" si="95"/>
        <v>1476.0945000000002</v>
      </c>
      <c r="S337">
        <f t="shared" si="96"/>
        <v>15288.2898</v>
      </c>
      <c r="U337">
        <f t="shared" si="83"/>
        <v>3.8542399999999999</v>
      </c>
      <c r="V337">
        <f t="shared" si="97"/>
        <v>1650.0001440000001</v>
      </c>
      <c r="W337">
        <f t="shared" si="84"/>
        <v>179.22216</v>
      </c>
      <c r="X337">
        <f t="shared" si="85"/>
        <v>3.4792224480000002</v>
      </c>
      <c r="Y337">
        <f t="shared" si="86"/>
        <v>175.742937552</v>
      </c>
      <c r="Z337">
        <f t="shared" si="87"/>
        <v>40239.827102559451</v>
      </c>
      <c r="AB337">
        <f t="shared" si="88"/>
        <v>15.674291999999999</v>
      </c>
      <c r="AC337">
        <f t="shared" si="89"/>
        <v>6710.1644052000001</v>
      </c>
      <c r="AD337">
        <f t="shared" si="90"/>
        <v>728.85457799999995</v>
      </c>
      <c r="AE337">
        <f t="shared" si="91"/>
        <v>14.149183388400001</v>
      </c>
      <c r="AF337">
        <f t="shared" si="92"/>
        <v>714.7053946115999</v>
      </c>
      <c r="AG337">
        <f t="shared" si="82"/>
        <v>67816.350521036482</v>
      </c>
      <c r="AH337" t="b">
        <f t="shared" si="93"/>
        <v>1</v>
      </c>
    </row>
    <row r="338" spans="4:34" hidden="1" x14ac:dyDescent="0.4">
      <c r="D338" t="s">
        <v>60</v>
      </c>
      <c r="E338" t="s">
        <v>37</v>
      </c>
      <c r="F338" s="9">
        <v>45959.083333333336</v>
      </c>
      <c r="G338">
        <v>2.6191</v>
      </c>
      <c r="H338" s="9">
        <v>45961.583333333336</v>
      </c>
      <c r="I338">
        <v>2.508</v>
      </c>
      <c r="J338">
        <v>877.2</v>
      </c>
      <c r="K338" s="12">
        <v>2297.59</v>
      </c>
      <c r="L338">
        <v>3.37</v>
      </c>
      <c r="M338">
        <v>-100.83</v>
      </c>
      <c r="N338" s="13">
        <v>-4.3900000000000002E-2</v>
      </c>
      <c r="O338" t="s">
        <v>57</v>
      </c>
      <c r="Q338">
        <f t="shared" si="94"/>
        <v>-97.456919999999982</v>
      </c>
      <c r="R338">
        <f t="shared" si="95"/>
        <v>-100.82691999999999</v>
      </c>
      <c r="S338">
        <f t="shared" si="96"/>
        <v>2200.0176000000001</v>
      </c>
      <c r="U338">
        <f t="shared" si="83"/>
        <v>629.98739999999998</v>
      </c>
      <c r="V338">
        <f t="shared" si="97"/>
        <v>1649.9999993399999</v>
      </c>
      <c r="W338">
        <f t="shared" si="84"/>
        <v>-69.991600139999989</v>
      </c>
      <c r="X338">
        <f t="shared" si="85"/>
        <v>3.2300083985400003</v>
      </c>
      <c r="Y338">
        <f t="shared" si="86"/>
        <v>-73.221608538539982</v>
      </c>
      <c r="Z338">
        <f t="shared" si="87"/>
        <v>40064.084165007451</v>
      </c>
      <c r="AB338">
        <f t="shared" si="88"/>
        <v>2573.4316220000001</v>
      </c>
      <c r="AC338">
        <f t="shared" si="89"/>
        <v>6740.0747611801999</v>
      </c>
      <c r="AD338">
        <f t="shared" si="90"/>
        <v>-285.90825320419992</v>
      </c>
      <c r="AE338">
        <f t="shared" si="91"/>
        <v>13.194241269156203</v>
      </c>
      <c r="AF338">
        <f t="shared" si="92"/>
        <v>-299.1024944733561</v>
      </c>
      <c r="AG338">
        <f t="shared" si="82"/>
        <v>67101.645126424875</v>
      </c>
      <c r="AH338" t="b">
        <f t="shared" si="93"/>
        <v>1</v>
      </c>
    </row>
    <row r="339" spans="4:34" hidden="1" x14ac:dyDescent="0.4">
      <c r="D339" t="s">
        <v>58</v>
      </c>
      <c r="E339" t="s">
        <v>37</v>
      </c>
      <c r="F339" s="9">
        <v>45958.291666666664</v>
      </c>
      <c r="G339">
        <v>18.420000000000002</v>
      </c>
      <c r="H339" s="9">
        <v>45960.291666666664</v>
      </c>
      <c r="I339">
        <v>18.18</v>
      </c>
      <c r="J339" s="12">
        <v>414.33</v>
      </c>
      <c r="K339" s="12">
        <v>7631.98</v>
      </c>
      <c r="L339">
        <v>11.37</v>
      </c>
      <c r="M339">
        <v>-110.81</v>
      </c>
      <c r="N339" s="13">
        <v>-1.4500000000000001E-2</v>
      </c>
      <c r="O339" t="s">
        <v>38</v>
      </c>
      <c r="Q339">
        <f t="shared" si="94"/>
        <v>-99.439200000000824</v>
      </c>
      <c r="R339">
        <f t="shared" si="95"/>
        <v>-110.80920000000083</v>
      </c>
      <c r="S339">
        <f t="shared" si="96"/>
        <v>7532.5193999999992</v>
      </c>
      <c r="U339">
        <f t="shared" si="83"/>
        <v>89.576547000000005</v>
      </c>
      <c r="V339">
        <f t="shared" si="97"/>
        <v>1649.9999957400003</v>
      </c>
      <c r="W339">
        <f t="shared" si="84"/>
        <v>-21.498371280000178</v>
      </c>
      <c r="X339">
        <f t="shared" si="85"/>
        <v>3.2785016202000001</v>
      </c>
      <c r="Y339">
        <f t="shared" si="86"/>
        <v>-24.776872900200178</v>
      </c>
      <c r="Z339">
        <f t="shared" si="87"/>
        <v>40137.305773545988</v>
      </c>
      <c r="AB339">
        <f t="shared" si="88"/>
        <v>366.46096999999997</v>
      </c>
      <c r="AC339">
        <f t="shared" si="89"/>
        <v>6750.2110674000005</v>
      </c>
      <c r="AD339">
        <f t="shared" si="90"/>
        <v>-87.950632800000719</v>
      </c>
      <c r="AE339">
        <f t="shared" si="91"/>
        <v>13.412471501999999</v>
      </c>
      <c r="AF339">
        <f t="shared" si="92"/>
        <v>-101.36310430200072</v>
      </c>
      <c r="AG339">
        <f t="shared" si="82"/>
        <v>67400.747620898226</v>
      </c>
      <c r="AH339" t="b">
        <f t="shared" si="93"/>
        <v>1</v>
      </c>
    </row>
    <row r="340" spans="4:34" hidden="1" x14ac:dyDescent="0.4">
      <c r="D340" t="s">
        <v>43</v>
      </c>
      <c r="E340" t="s">
        <v>37</v>
      </c>
      <c r="F340" s="9">
        <v>45958.208333333336</v>
      </c>
      <c r="G340">
        <v>2.605</v>
      </c>
      <c r="H340" s="9">
        <v>45960.208333333336</v>
      </c>
      <c r="I340">
        <v>2.4329999999999998</v>
      </c>
      <c r="J340" s="12">
        <v>749.7</v>
      </c>
      <c r="K340" s="12">
        <v>1953.11</v>
      </c>
      <c r="L340">
        <v>2.83</v>
      </c>
      <c r="M340">
        <v>-131.78</v>
      </c>
      <c r="N340" s="13">
        <v>-6.7500000000000004E-2</v>
      </c>
      <c r="O340" t="s">
        <v>38</v>
      </c>
      <c r="Q340">
        <f t="shared" si="94"/>
        <v>-128.94840000000013</v>
      </c>
      <c r="R340">
        <f t="shared" si="95"/>
        <v>-131.77840000000015</v>
      </c>
      <c r="S340">
        <f t="shared" si="96"/>
        <v>1824.0201</v>
      </c>
      <c r="U340">
        <f t="shared" si="83"/>
        <v>633.39731300000005</v>
      </c>
      <c r="V340">
        <f t="shared" si="97"/>
        <v>1650.0000003650002</v>
      </c>
      <c r="W340">
        <f t="shared" si="84"/>
        <v>-108.9443378360001</v>
      </c>
      <c r="X340">
        <f t="shared" si="85"/>
        <v>3.1910556628940001</v>
      </c>
      <c r="Y340">
        <f t="shared" si="86"/>
        <v>-112.1353934988941</v>
      </c>
      <c r="Z340">
        <f t="shared" si="87"/>
        <v>40162.082646446186</v>
      </c>
      <c r="AB340">
        <f t="shared" si="88"/>
        <v>2608.9827180000002</v>
      </c>
      <c r="AC340">
        <f t="shared" si="89"/>
        <v>6796.3999803900006</v>
      </c>
      <c r="AD340">
        <f t="shared" si="90"/>
        <v>-448.74502749600043</v>
      </c>
      <c r="AE340">
        <f t="shared" si="91"/>
        <v>13.144054933284002</v>
      </c>
      <c r="AF340">
        <f t="shared" si="92"/>
        <v>-461.88908242928443</v>
      </c>
      <c r="AG340">
        <f t="shared" si="82"/>
        <v>67502.110725200226</v>
      </c>
      <c r="AH340" t="b">
        <f t="shared" si="93"/>
        <v>1</v>
      </c>
    </row>
    <row r="341" spans="4:34" hidden="1" x14ac:dyDescent="0.4">
      <c r="D341" t="s">
        <v>54</v>
      </c>
      <c r="E341" t="s">
        <v>37</v>
      </c>
      <c r="F341" s="9">
        <v>45957.583333333336</v>
      </c>
      <c r="G341" s="12">
        <v>200.35</v>
      </c>
      <c r="H341" s="9">
        <v>45959.583333333336</v>
      </c>
      <c r="I341" s="12">
        <v>200.78</v>
      </c>
      <c r="J341">
        <v>25.725000000000001</v>
      </c>
      <c r="K341" s="12">
        <v>5154.04</v>
      </c>
      <c r="L341">
        <v>7.74</v>
      </c>
      <c r="M341">
        <v>3.32</v>
      </c>
      <c r="N341" s="13">
        <v>5.9999999999999995E-4</v>
      </c>
      <c r="O341" t="s">
        <v>38</v>
      </c>
      <c r="Q341">
        <f t="shared" si="94"/>
        <v>11.061750000000176</v>
      </c>
      <c r="R341">
        <f t="shared" si="95"/>
        <v>3.3217500000001756</v>
      </c>
      <c r="S341">
        <f t="shared" si="96"/>
        <v>5165.0655000000006</v>
      </c>
      <c r="U341">
        <f t="shared" si="83"/>
        <v>8.2355879999999999</v>
      </c>
      <c r="V341">
        <f t="shared" si="97"/>
        <v>1650.0000557999999</v>
      </c>
      <c r="W341">
        <f t="shared" si="84"/>
        <v>3.5413028400000561</v>
      </c>
      <c r="X341">
        <f t="shared" si="85"/>
        <v>3.3035414144399997</v>
      </c>
      <c r="Y341">
        <f t="shared" si="86"/>
        <v>0.23776142556005642</v>
      </c>
      <c r="Z341">
        <f t="shared" si="87"/>
        <v>40274.218039945081</v>
      </c>
      <c r="AB341">
        <f t="shared" si="88"/>
        <v>33.922145999999998</v>
      </c>
      <c r="AC341">
        <f t="shared" si="89"/>
        <v>6796.3019510999993</v>
      </c>
      <c r="AD341">
        <f t="shared" si="90"/>
        <v>14.58652278000023</v>
      </c>
      <c r="AE341">
        <f t="shared" si="91"/>
        <v>13.607190424979999</v>
      </c>
      <c r="AF341">
        <f t="shared" si="92"/>
        <v>0.9793323550202313</v>
      </c>
      <c r="AG341">
        <f t="shared" si="82"/>
        <v>67963.999807629516</v>
      </c>
      <c r="AH341" t="b">
        <f t="shared" si="93"/>
        <v>1</v>
      </c>
    </row>
    <row r="342" spans="4:34" hidden="1" x14ac:dyDescent="0.4">
      <c r="D342" t="s">
        <v>50</v>
      </c>
      <c r="E342" t="s">
        <v>37</v>
      </c>
      <c r="F342" s="9">
        <v>45957.583333333336</v>
      </c>
      <c r="G342" s="12">
        <v>413.8</v>
      </c>
      <c r="H342" s="9">
        <v>45959.583333333336</v>
      </c>
      <c r="I342" s="12">
        <v>426.7</v>
      </c>
      <c r="J342">
        <v>33.227699999999999</v>
      </c>
      <c r="K342" s="12">
        <v>13749.64</v>
      </c>
      <c r="L342">
        <v>20.95</v>
      </c>
      <c r="M342">
        <v>407.69</v>
      </c>
      <c r="N342" s="13">
        <v>2.9700000000000001E-2</v>
      </c>
      <c r="O342" t="s">
        <v>38</v>
      </c>
      <c r="Q342">
        <f t="shared" si="94"/>
        <v>428.63732999999922</v>
      </c>
      <c r="R342">
        <f t="shared" si="95"/>
        <v>407.68732999999924</v>
      </c>
      <c r="S342">
        <f t="shared" si="96"/>
        <v>14178.25959</v>
      </c>
      <c r="U342">
        <f t="shared" si="83"/>
        <v>3.9874339999999999</v>
      </c>
      <c r="V342">
        <f t="shared" si="97"/>
        <v>1650.0001892</v>
      </c>
      <c r="W342">
        <f t="shared" si="84"/>
        <v>51.437898599999912</v>
      </c>
      <c r="X342">
        <f t="shared" si="85"/>
        <v>3.3514382770000002</v>
      </c>
      <c r="Y342">
        <f t="shared" si="86"/>
        <v>48.086460322999912</v>
      </c>
      <c r="Z342">
        <f t="shared" si="87"/>
        <v>40273.980278519521</v>
      </c>
      <c r="AB342">
        <f t="shared" si="88"/>
        <v>16.376397000000001</v>
      </c>
      <c r="AC342">
        <f t="shared" si="89"/>
        <v>6776.5530786000008</v>
      </c>
      <c r="AD342">
        <f t="shared" si="90"/>
        <v>211.25552129999963</v>
      </c>
      <c r="AE342">
        <f t="shared" si="91"/>
        <v>13.7643616785</v>
      </c>
      <c r="AF342">
        <f t="shared" si="92"/>
        <v>197.49115962149963</v>
      </c>
      <c r="AG342">
        <f t="shared" si="82"/>
        <v>67963.02047527449</v>
      </c>
      <c r="AH342" t="b">
        <f t="shared" si="93"/>
        <v>1</v>
      </c>
    </row>
    <row r="343" spans="4:34" hidden="1" x14ac:dyDescent="0.4">
      <c r="D343" t="s">
        <v>53</v>
      </c>
      <c r="E343" t="s">
        <v>37</v>
      </c>
      <c r="F343" s="9">
        <v>45957.291666666664</v>
      </c>
      <c r="G343" s="12">
        <v>1153.32</v>
      </c>
      <c r="H343" s="9">
        <v>45959.291666666664</v>
      </c>
      <c r="I343" s="12">
        <v>1121.24</v>
      </c>
      <c r="J343">
        <v>8.7279999999999998</v>
      </c>
      <c r="K343" s="12">
        <v>10067.32</v>
      </c>
      <c r="L343">
        <v>14.89</v>
      </c>
      <c r="M343">
        <v>-294.88</v>
      </c>
      <c r="N343" s="13">
        <v>-2.93E-2</v>
      </c>
      <c r="O343" t="s">
        <v>38</v>
      </c>
      <c r="Q343">
        <f t="shared" si="94"/>
        <v>-279.99423999999937</v>
      </c>
      <c r="R343">
        <f t="shared" si="95"/>
        <v>-294.88423999999935</v>
      </c>
      <c r="S343">
        <f t="shared" si="96"/>
        <v>9786.1827200000007</v>
      </c>
      <c r="U343">
        <f t="shared" si="83"/>
        <v>1.430652</v>
      </c>
      <c r="V343">
        <f t="shared" si="97"/>
        <v>1649.99956464</v>
      </c>
      <c r="W343">
        <f t="shared" si="84"/>
        <v>-45.895316159999894</v>
      </c>
      <c r="X343">
        <f t="shared" si="85"/>
        <v>3.2541038131200004</v>
      </c>
      <c r="Y343">
        <f t="shared" si="86"/>
        <v>-49.14941997311989</v>
      </c>
      <c r="Z343">
        <f t="shared" si="87"/>
        <v>40225.89381819652</v>
      </c>
      <c r="AB343">
        <f t="shared" si="88"/>
        <v>5.8932460000000004</v>
      </c>
      <c r="AC343">
        <f t="shared" si="89"/>
        <v>6796.7984767200005</v>
      </c>
      <c r="AD343">
        <f t="shared" si="90"/>
        <v>-189.0553316799996</v>
      </c>
      <c r="AE343">
        <f t="shared" si="91"/>
        <v>13.404541621760002</v>
      </c>
      <c r="AF343">
        <f t="shared" si="92"/>
        <v>-202.45987330175959</v>
      </c>
      <c r="AG343">
        <f t="shared" si="82"/>
        <v>67765.529315652995</v>
      </c>
      <c r="AH343" t="b">
        <f t="shared" si="93"/>
        <v>1</v>
      </c>
    </row>
    <row r="344" spans="4:34" hidden="1" x14ac:dyDescent="0.4">
      <c r="D344" t="s">
        <v>59</v>
      </c>
      <c r="E344" t="s">
        <v>37</v>
      </c>
      <c r="F344" s="9">
        <v>45956.25</v>
      </c>
      <c r="G344" s="12">
        <v>111633.78</v>
      </c>
      <c r="H344" s="9">
        <v>45958.75</v>
      </c>
      <c r="I344" s="12">
        <v>115313.27</v>
      </c>
      <c r="J344">
        <v>9.5769999999999994E-2</v>
      </c>
      <c r="K344" s="12">
        <v>10691.26</v>
      </c>
      <c r="L344">
        <v>16.3</v>
      </c>
      <c r="M344">
        <v>336.08</v>
      </c>
      <c r="N344" s="13">
        <v>3.1399999999999997E-2</v>
      </c>
      <c r="O344" t="s">
        <v>57</v>
      </c>
      <c r="Q344">
        <f t="shared" si="94"/>
        <v>352.3847573000005</v>
      </c>
      <c r="R344">
        <f t="shared" si="95"/>
        <v>336.08475730000049</v>
      </c>
      <c r="S344">
        <f t="shared" si="96"/>
        <v>11043.5518679</v>
      </c>
      <c r="U344">
        <f t="shared" si="83"/>
        <v>1.478E-2</v>
      </c>
      <c r="V344">
        <f t="shared" si="97"/>
        <v>1649.9472684</v>
      </c>
      <c r="W344">
        <f t="shared" si="84"/>
        <v>54.382862200000076</v>
      </c>
      <c r="X344">
        <f t="shared" si="85"/>
        <v>3.3542773989999999</v>
      </c>
      <c r="Y344">
        <f t="shared" si="86"/>
        <v>51.028584801000079</v>
      </c>
      <c r="Z344">
        <f t="shared" si="87"/>
        <v>40275.043238169637</v>
      </c>
      <c r="AB344">
        <f t="shared" si="88"/>
        <v>6.0697000000000001E-2</v>
      </c>
      <c r="AC344">
        <f t="shared" si="89"/>
        <v>6775.8355446599999</v>
      </c>
      <c r="AD344">
        <f t="shared" si="90"/>
        <v>223.33400453000033</v>
      </c>
      <c r="AE344">
        <f t="shared" si="91"/>
        <v>13.77500509385</v>
      </c>
      <c r="AF344">
        <f t="shared" si="92"/>
        <v>209.55899943615032</v>
      </c>
      <c r="AG344">
        <f t="shared" si="82"/>
        <v>67967.989188954758</v>
      </c>
      <c r="AH344" t="b">
        <f t="shared" si="93"/>
        <v>1</v>
      </c>
    </row>
    <row r="345" spans="4:34" hidden="1" x14ac:dyDescent="0.4">
      <c r="D345" t="s">
        <v>60</v>
      </c>
      <c r="E345" t="s">
        <v>37</v>
      </c>
      <c r="F345" s="9">
        <v>45956.208333333336</v>
      </c>
      <c r="G345">
        <v>2.6107</v>
      </c>
      <c r="H345" s="9">
        <v>45958.708333333336</v>
      </c>
      <c r="I345">
        <v>2.6490999999999998</v>
      </c>
      <c r="J345" s="12">
        <v>878.9</v>
      </c>
      <c r="K345" s="12">
        <v>2294.5700000000002</v>
      </c>
      <c r="L345">
        <v>3.47</v>
      </c>
      <c r="M345">
        <v>30.28</v>
      </c>
      <c r="N345" s="13">
        <v>1.32E-2</v>
      </c>
      <c r="O345" t="s">
        <v>57</v>
      </c>
      <c r="Q345">
        <f t="shared" si="94"/>
        <v>33.749759999999796</v>
      </c>
      <c r="R345">
        <f t="shared" si="95"/>
        <v>30.279759999999797</v>
      </c>
      <c r="S345">
        <f t="shared" si="96"/>
        <v>2328.2939899999997</v>
      </c>
      <c r="U345">
        <f t="shared" si="83"/>
        <v>632.01440200000002</v>
      </c>
      <c r="V345">
        <f t="shared" si="97"/>
        <v>1649.9999993014001</v>
      </c>
      <c r="W345">
        <f t="shared" si="84"/>
        <v>24.269353036799853</v>
      </c>
      <c r="X345">
        <f t="shared" si="85"/>
        <v>3.3242693516396002</v>
      </c>
      <c r="Y345">
        <f t="shared" si="86"/>
        <v>20.945083685160252</v>
      </c>
      <c r="Z345">
        <f t="shared" si="87"/>
        <v>40224.014653368635</v>
      </c>
      <c r="AB345">
        <f t="shared" si="88"/>
        <v>2592.1219120000001</v>
      </c>
      <c r="AC345">
        <f t="shared" si="89"/>
        <v>6767.2526756584002</v>
      </c>
      <c r="AD345">
        <f t="shared" si="90"/>
        <v>99.537481420799395</v>
      </c>
      <c r="AE345">
        <f t="shared" si="91"/>
        <v>13.634042832737601</v>
      </c>
      <c r="AF345">
        <f t="shared" si="92"/>
        <v>85.903438588061789</v>
      </c>
      <c r="AG345">
        <f t="shared" si="82"/>
        <v>67758.430189518607</v>
      </c>
      <c r="AH345" t="b">
        <f t="shared" si="93"/>
        <v>1</v>
      </c>
    </row>
    <row r="346" spans="4:34" hidden="1" x14ac:dyDescent="0.4">
      <c r="D346" t="s">
        <v>56</v>
      </c>
      <c r="E346" t="s">
        <v>37</v>
      </c>
      <c r="F346" s="9">
        <v>45956.208333333336</v>
      </c>
      <c r="G346" s="12">
        <v>3940.86</v>
      </c>
      <c r="H346" s="9">
        <v>45958.708333333336</v>
      </c>
      <c r="I346" s="12">
        <v>4135.41</v>
      </c>
      <c r="J346">
        <v>1.4832000000000001</v>
      </c>
      <c r="K346" s="12">
        <v>5845.11</v>
      </c>
      <c r="L346">
        <v>8.98</v>
      </c>
      <c r="M346">
        <v>279.57</v>
      </c>
      <c r="N346" s="13">
        <v>4.7800000000000002E-2</v>
      </c>
      <c r="O346" t="s">
        <v>57</v>
      </c>
      <c r="Q346">
        <f t="shared" si="94"/>
        <v>288.55655999999959</v>
      </c>
      <c r="R346">
        <f t="shared" si="95"/>
        <v>279.57655999999957</v>
      </c>
      <c r="S346">
        <f t="shared" si="96"/>
        <v>6133.640112</v>
      </c>
      <c r="U346">
        <f t="shared" si="83"/>
        <v>0.41869000000000001</v>
      </c>
      <c r="V346">
        <f t="shared" si="97"/>
        <v>1649.9986734000001</v>
      </c>
      <c r="W346">
        <f t="shared" si="84"/>
        <v>81.456139499999892</v>
      </c>
      <c r="X346">
        <f t="shared" si="85"/>
        <v>3.3814534863000003</v>
      </c>
      <c r="Y346">
        <f t="shared" si="86"/>
        <v>78.074686013699889</v>
      </c>
      <c r="Z346">
        <f t="shared" si="87"/>
        <v>40203.069569683474</v>
      </c>
      <c r="AB346">
        <f t="shared" si="88"/>
        <v>1.7091149999999999</v>
      </c>
      <c r="AC346">
        <f t="shared" si="89"/>
        <v>6735.3829389000002</v>
      </c>
      <c r="AD346">
        <f t="shared" si="90"/>
        <v>332.50832324999953</v>
      </c>
      <c r="AE346">
        <f t="shared" si="91"/>
        <v>13.803274201050002</v>
      </c>
      <c r="AF346">
        <f t="shared" si="92"/>
        <v>318.70504904894955</v>
      </c>
      <c r="AG346">
        <f t="shared" si="82"/>
        <v>67672.526750930541</v>
      </c>
      <c r="AH346" t="b">
        <f t="shared" si="93"/>
        <v>1</v>
      </c>
    </row>
    <row r="347" spans="4:34" hidden="1" x14ac:dyDescent="0.4">
      <c r="D347" t="s">
        <v>55</v>
      </c>
      <c r="E347" t="s">
        <v>37</v>
      </c>
      <c r="F347" s="9">
        <v>45956.666666666664</v>
      </c>
      <c r="G347">
        <v>4.7129999999999998E-5</v>
      </c>
      <c r="H347" s="9">
        <v>45958.666666666664</v>
      </c>
      <c r="I347">
        <v>4.5630000000000002E-5</v>
      </c>
      <c r="J347" s="12">
        <v>126703788.76000001</v>
      </c>
      <c r="K347" s="12">
        <v>5971.55</v>
      </c>
      <c r="L347">
        <v>8.81</v>
      </c>
      <c r="M347">
        <v>-198.87</v>
      </c>
      <c r="N347" s="13">
        <v>-3.3300000000000003E-2</v>
      </c>
      <c r="O347" t="s">
        <v>38</v>
      </c>
      <c r="Q347">
        <f t="shared" si="94"/>
        <v>-190.05568313999947</v>
      </c>
      <c r="R347">
        <f t="shared" si="95"/>
        <v>-198.86568313999948</v>
      </c>
      <c r="S347">
        <f t="shared" si="96"/>
        <v>5781.4938811188003</v>
      </c>
      <c r="U347">
        <f t="shared" si="83"/>
        <v>35009548.058560997</v>
      </c>
      <c r="V347">
        <f t="shared" si="97"/>
        <v>1649.9999999999798</v>
      </c>
      <c r="W347">
        <f t="shared" si="84"/>
        <v>-52.51432208784135</v>
      </c>
      <c r="X347">
        <f t="shared" si="85"/>
        <v>3.2474856779121182</v>
      </c>
      <c r="Y347">
        <f t="shared" si="86"/>
        <v>-55.761807765753467</v>
      </c>
      <c r="Z347">
        <f t="shared" si="87"/>
        <v>40124.994883669773</v>
      </c>
      <c r="AB347">
        <f t="shared" si="88"/>
        <v>143395323.652839</v>
      </c>
      <c r="AC347">
        <f t="shared" si="89"/>
        <v>6758.2216037583021</v>
      </c>
      <c r="AD347">
        <f t="shared" si="90"/>
        <v>-215.09298547925792</v>
      </c>
      <c r="AE347">
        <f t="shared" si="91"/>
        <v>13.301350222037346</v>
      </c>
      <c r="AF347">
        <f t="shared" si="92"/>
        <v>-228.39433570129526</v>
      </c>
      <c r="AG347">
        <f t="shared" si="82"/>
        <v>67353.821701881592</v>
      </c>
      <c r="AH347" t="b">
        <f t="shared" si="93"/>
        <v>1</v>
      </c>
    </row>
    <row r="348" spans="4:34" hidden="1" x14ac:dyDescent="0.4">
      <c r="D348" t="s">
        <v>48</v>
      </c>
      <c r="E348" t="s">
        <v>37</v>
      </c>
      <c r="F348" s="9">
        <v>45956.333333333336</v>
      </c>
      <c r="G348">
        <v>6.5199999999999994E-2</v>
      </c>
      <c r="H348" s="9">
        <v>45958.333333333336</v>
      </c>
      <c r="I348">
        <v>6.2799999999999995E-2</v>
      </c>
      <c r="J348" s="12">
        <v>46005.599999999999</v>
      </c>
      <c r="K348" s="12">
        <v>2999.57</v>
      </c>
      <c r="L348">
        <v>4.42</v>
      </c>
      <c r="M348">
        <v>-114.83</v>
      </c>
      <c r="N348" s="13">
        <v>-3.8300000000000001E-2</v>
      </c>
      <c r="O348" t="s">
        <v>38</v>
      </c>
      <c r="Q348">
        <f t="shared" si="94"/>
        <v>-110.41343999999997</v>
      </c>
      <c r="R348">
        <f t="shared" si="95"/>
        <v>-114.83343999999997</v>
      </c>
      <c r="S348">
        <f t="shared" si="96"/>
        <v>2889.1516799999995</v>
      </c>
      <c r="U348">
        <f t="shared" si="83"/>
        <v>25306.748466000001</v>
      </c>
      <c r="V348">
        <f t="shared" si="97"/>
        <v>1649.9999999831998</v>
      </c>
      <c r="W348">
        <f t="shared" si="84"/>
        <v>-60.736196318399983</v>
      </c>
      <c r="X348">
        <f t="shared" si="85"/>
        <v>3.2392638036479999</v>
      </c>
      <c r="Y348">
        <f t="shared" si="86"/>
        <v>-63.975460122047984</v>
      </c>
      <c r="Z348">
        <f t="shared" si="87"/>
        <v>40180.756691435527</v>
      </c>
      <c r="AB348">
        <f t="shared" si="88"/>
        <v>104057.166495</v>
      </c>
      <c r="AC348">
        <f t="shared" si="89"/>
        <v>6784.5272554739995</v>
      </c>
      <c r="AD348">
        <f t="shared" si="90"/>
        <v>-249.73719958799992</v>
      </c>
      <c r="AE348">
        <f t="shared" si="91"/>
        <v>13.319317311359999</v>
      </c>
      <c r="AF348">
        <f t="shared" si="92"/>
        <v>-263.05651689935991</v>
      </c>
      <c r="AG348">
        <f t="shared" si="82"/>
        <v>67582.216037582883</v>
      </c>
      <c r="AH348" t="b">
        <f t="shared" si="93"/>
        <v>1</v>
      </c>
    </row>
    <row r="349" spans="4:34" hidden="1" x14ac:dyDescent="0.4">
      <c r="D349" t="s">
        <v>43</v>
      </c>
      <c r="E349" t="s">
        <v>37</v>
      </c>
      <c r="F349" s="9">
        <v>45956.208333333336</v>
      </c>
      <c r="G349">
        <v>2.5255000000000001</v>
      </c>
      <c r="H349" s="9">
        <v>45958.208333333336</v>
      </c>
      <c r="I349">
        <v>2.605</v>
      </c>
      <c r="J349">
        <v>771</v>
      </c>
      <c r="K349" s="12">
        <v>1947.28</v>
      </c>
      <c r="L349">
        <v>2.97</v>
      </c>
      <c r="M349">
        <v>58.33</v>
      </c>
      <c r="N349" s="13">
        <v>0.03</v>
      </c>
      <c r="O349" t="s">
        <v>38</v>
      </c>
      <c r="Q349">
        <f t="shared" si="94"/>
        <v>61.294499999999928</v>
      </c>
      <c r="R349">
        <f t="shared" si="95"/>
        <v>58.324499999999929</v>
      </c>
      <c r="S349">
        <f t="shared" si="96"/>
        <v>2008.4549999999999</v>
      </c>
      <c r="U349">
        <f t="shared" si="83"/>
        <v>653.33597299999997</v>
      </c>
      <c r="V349">
        <f t="shared" si="97"/>
        <v>1649.9999998114999</v>
      </c>
      <c r="W349">
        <f t="shared" si="84"/>
        <v>51.940209853499937</v>
      </c>
      <c r="X349">
        <f t="shared" si="85"/>
        <v>3.3519402094764996</v>
      </c>
      <c r="Y349">
        <f t="shared" si="86"/>
        <v>48.588269644023434</v>
      </c>
      <c r="Z349">
        <f t="shared" si="87"/>
        <v>40244.732151557575</v>
      </c>
      <c r="AB349">
        <f t="shared" si="88"/>
        <v>2678.5219649999999</v>
      </c>
      <c r="AC349">
        <f t="shared" si="89"/>
        <v>6764.6072226075003</v>
      </c>
      <c r="AD349">
        <f t="shared" si="90"/>
        <v>212.94249621749972</v>
      </c>
      <c r="AE349">
        <f t="shared" si="91"/>
        <v>13.742156941432498</v>
      </c>
      <c r="AF349">
        <f t="shared" si="92"/>
        <v>199.20033927606721</v>
      </c>
      <c r="AG349">
        <f t="shared" si="82"/>
        <v>67845.272554482246</v>
      </c>
      <c r="AH349" t="b">
        <f t="shared" si="93"/>
        <v>1</v>
      </c>
    </row>
    <row r="350" spans="4:34" hidden="1" x14ac:dyDescent="0.4">
      <c r="D350" t="s">
        <v>58</v>
      </c>
      <c r="E350" t="s">
        <v>37</v>
      </c>
      <c r="F350" s="9">
        <v>45955.791666666664</v>
      </c>
      <c r="G350">
        <v>18.010000000000002</v>
      </c>
      <c r="H350" s="9">
        <v>45957.75</v>
      </c>
      <c r="I350">
        <v>18.739999999999998</v>
      </c>
      <c r="J350">
        <v>422.11</v>
      </c>
      <c r="K350" s="12">
        <v>7602.33</v>
      </c>
      <c r="L350">
        <v>11.63</v>
      </c>
      <c r="M350">
        <v>296.51</v>
      </c>
      <c r="N350" s="13">
        <v>3.9E-2</v>
      </c>
      <c r="O350" t="s">
        <v>38</v>
      </c>
      <c r="Q350">
        <f t="shared" si="94"/>
        <v>308.14029999999872</v>
      </c>
      <c r="R350">
        <f t="shared" si="95"/>
        <v>296.51029999999872</v>
      </c>
      <c r="S350">
        <f t="shared" si="96"/>
        <v>7910.3413999999993</v>
      </c>
      <c r="U350">
        <f t="shared" si="83"/>
        <v>91.615769</v>
      </c>
      <c r="V350">
        <f t="shared" si="97"/>
        <v>1649.9999996900001</v>
      </c>
      <c r="W350">
        <f t="shared" si="84"/>
        <v>66.879511369999719</v>
      </c>
      <c r="X350">
        <f t="shared" si="85"/>
        <v>3.36687951075</v>
      </c>
      <c r="Y350">
        <f t="shared" si="86"/>
        <v>63.512631859249716</v>
      </c>
      <c r="Z350">
        <f t="shared" si="87"/>
        <v>40196.143881913551</v>
      </c>
      <c r="AB350">
        <f t="shared" si="88"/>
        <v>374.162599</v>
      </c>
      <c r="AC350">
        <f t="shared" si="89"/>
        <v>6738.6684079900006</v>
      </c>
      <c r="AD350">
        <f t="shared" si="90"/>
        <v>273.13869726999883</v>
      </c>
      <c r="AE350">
        <f t="shared" si="91"/>
        <v>13.750475513249999</v>
      </c>
      <c r="AF350">
        <f t="shared" si="92"/>
        <v>259.38822175674881</v>
      </c>
      <c r="AG350">
        <f t="shared" si="82"/>
        <v>67646.072215206179</v>
      </c>
      <c r="AH350" t="b">
        <f t="shared" si="93"/>
        <v>1</v>
      </c>
    </row>
    <row r="351" spans="4:34" hidden="1" x14ac:dyDescent="0.4">
      <c r="D351" t="s">
        <v>52</v>
      </c>
      <c r="E351" t="s">
        <v>37</v>
      </c>
      <c r="F351" s="9">
        <v>45955.75</v>
      </c>
      <c r="G351">
        <v>3.1110000000000002</v>
      </c>
      <c r="H351" s="9">
        <v>45957.708333333336</v>
      </c>
      <c r="I351">
        <v>3.2480000000000002</v>
      </c>
      <c r="J351" s="12">
        <v>764.7</v>
      </c>
      <c r="K351" s="12">
        <v>2378.9899999999998</v>
      </c>
      <c r="L351">
        <v>3.65</v>
      </c>
      <c r="M351">
        <v>101.12</v>
      </c>
      <c r="N351" s="13">
        <v>4.2500000000000003E-2</v>
      </c>
      <c r="O351" t="s">
        <v>38</v>
      </c>
      <c r="Q351">
        <f t="shared" si="94"/>
        <v>104.76390000000002</v>
      </c>
      <c r="R351">
        <f t="shared" si="95"/>
        <v>101.11390000000002</v>
      </c>
      <c r="S351">
        <f t="shared" si="96"/>
        <v>2483.7456000000002</v>
      </c>
      <c r="U351">
        <f t="shared" si="83"/>
        <v>530.37608499999999</v>
      </c>
      <c r="V351">
        <f t="shared" si="97"/>
        <v>1650.0000004350002</v>
      </c>
      <c r="W351">
        <f t="shared" si="84"/>
        <v>72.661523645000003</v>
      </c>
      <c r="X351">
        <f t="shared" si="85"/>
        <v>3.3726615245149998</v>
      </c>
      <c r="Y351">
        <f t="shared" si="86"/>
        <v>69.288862120485007</v>
      </c>
      <c r="Z351">
        <f t="shared" si="87"/>
        <v>40132.631250054299</v>
      </c>
      <c r="AB351">
        <f t="shared" si="88"/>
        <v>2157.0198890000001</v>
      </c>
      <c r="AC351">
        <f t="shared" si="89"/>
        <v>6710.4888746790011</v>
      </c>
      <c r="AD351">
        <f t="shared" si="90"/>
        <v>295.51172479300004</v>
      </c>
      <c r="AE351">
        <f t="shared" si="91"/>
        <v>13.716489474151</v>
      </c>
      <c r="AF351">
        <f t="shared" si="92"/>
        <v>281.79523531884905</v>
      </c>
      <c r="AG351">
        <f t="shared" si="82"/>
        <v>67386.683993449435</v>
      </c>
      <c r="AH351" t="b">
        <f t="shared" si="93"/>
        <v>1</v>
      </c>
    </row>
    <row r="352" spans="4:34" hidden="1" x14ac:dyDescent="0.4">
      <c r="D352" t="s">
        <v>61</v>
      </c>
      <c r="E352" t="s">
        <v>37</v>
      </c>
      <c r="F352" s="9">
        <v>45955.666666666664</v>
      </c>
      <c r="G352">
        <v>0.65480000000000005</v>
      </c>
      <c r="H352" s="9">
        <v>45957.625</v>
      </c>
      <c r="I352">
        <v>0.67010000000000003</v>
      </c>
      <c r="J352" s="12">
        <v>13169.4</v>
      </c>
      <c r="K352" s="12">
        <v>8623.3700000000008</v>
      </c>
      <c r="L352">
        <v>13.09</v>
      </c>
      <c r="M352">
        <v>188.41</v>
      </c>
      <c r="N352" s="13">
        <v>2.18E-2</v>
      </c>
      <c r="O352" t="s">
        <v>38</v>
      </c>
      <c r="Q352">
        <f t="shared" si="94"/>
        <v>201.49181999999973</v>
      </c>
      <c r="R352">
        <f t="shared" si="95"/>
        <v>188.40181999999973</v>
      </c>
      <c r="S352">
        <f t="shared" si="96"/>
        <v>8824.8149400000002</v>
      </c>
      <c r="U352">
        <f t="shared" si="83"/>
        <v>2519.8533900000002</v>
      </c>
      <c r="V352">
        <f t="shared" si="97"/>
        <v>1649.9999997720004</v>
      </c>
      <c r="W352">
        <f t="shared" si="84"/>
        <v>38.553756866999954</v>
      </c>
      <c r="X352">
        <f t="shared" si="85"/>
        <v>3.3385537564110002</v>
      </c>
      <c r="Y352">
        <f t="shared" si="86"/>
        <v>35.215203110588952</v>
      </c>
      <c r="Z352">
        <f t="shared" si="87"/>
        <v>40063.342387933815</v>
      </c>
      <c r="AB352">
        <f t="shared" si="88"/>
        <v>10226.324809</v>
      </c>
      <c r="AC352">
        <f t="shared" si="89"/>
        <v>6696.1974849332</v>
      </c>
      <c r="AD352">
        <f t="shared" si="90"/>
        <v>156.46276957769979</v>
      </c>
      <c r="AE352">
        <f t="shared" si="91"/>
        <v>13.548857739444099</v>
      </c>
      <c r="AF352">
        <f t="shared" si="92"/>
        <v>142.9139118382557</v>
      </c>
      <c r="AG352">
        <f t="shared" si="82"/>
        <v>67104.88875813059</v>
      </c>
      <c r="AH352" t="b">
        <f t="shared" si="93"/>
        <v>1</v>
      </c>
    </row>
    <row r="353" spans="4:34" hidden="1" x14ac:dyDescent="0.4">
      <c r="D353" t="s">
        <v>54</v>
      </c>
      <c r="E353" t="s">
        <v>37</v>
      </c>
      <c r="F353" s="9">
        <v>45955.583333333336</v>
      </c>
      <c r="G353" s="12">
        <v>193.97</v>
      </c>
      <c r="H353" s="9">
        <v>45957.541666666664</v>
      </c>
      <c r="I353" s="12">
        <v>199.54</v>
      </c>
      <c r="J353">
        <v>26.498999999999999</v>
      </c>
      <c r="K353" s="12">
        <v>5140.0600000000004</v>
      </c>
      <c r="L353">
        <v>7.82</v>
      </c>
      <c r="M353">
        <v>139.78</v>
      </c>
      <c r="N353" s="13">
        <v>2.7199999999999998E-2</v>
      </c>
      <c r="O353" t="s">
        <v>38</v>
      </c>
      <c r="Q353">
        <f t="shared" si="94"/>
        <v>147.59942999999981</v>
      </c>
      <c r="R353">
        <f t="shared" si="95"/>
        <v>139.77942999999982</v>
      </c>
      <c r="S353">
        <f t="shared" si="96"/>
        <v>5287.6104599999999</v>
      </c>
      <c r="U353">
        <f t="shared" si="83"/>
        <v>8.5064700000000002</v>
      </c>
      <c r="V353">
        <f t="shared" si="97"/>
        <v>1649.9999859</v>
      </c>
      <c r="W353">
        <f t="shared" si="84"/>
        <v>47.381037899999946</v>
      </c>
      <c r="X353">
        <f t="shared" si="85"/>
        <v>3.3473810097000003</v>
      </c>
      <c r="Y353">
        <f t="shared" si="86"/>
        <v>44.033656890299945</v>
      </c>
      <c r="Z353">
        <f t="shared" si="87"/>
        <v>40028.127184823228</v>
      </c>
      <c r="AB353">
        <f t="shared" si="88"/>
        <v>34.429937000000002</v>
      </c>
      <c r="AC353">
        <f t="shared" si="89"/>
        <v>6678.3748798900006</v>
      </c>
      <c r="AD353">
        <f t="shared" si="90"/>
        <v>191.77474908999977</v>
      </c>
      <c r="AE353">
        <f t="shared" si="91"/>
        <v>13.548524508870003</v>
      </c>
      <c r="AF353">
        <f t="shared" si="92"/>
        <v>178.22622458112977</v>
      </c>
      <c r="AG353">
        <f t="shared" si="82"/>
        <v>66961.974846292331</v>
      </c>
      <c r="AH353" t="b">
        <f t="shared" si="93"/>
        <v>1</v>
      </c>
    </row>
    <row r="354" spans="4:34" hidden="1" x14ac:dyDescent="0.4">
      <c r="D354" t="s">
        <v>50</v>
      </c>
      <c r="E354" t="s">
        <v>37</v>
      </c>
      <c r="F354" s="9">
        <v>45955.583333333336</v>
      </c>
      <c r="G354">
        <v>390.5</v>
      </c>
      <c r="H354" s="9">
        <v>45957.541666666664</v>
      </c>
      <c r="I354">
        <v>400.4</v>
      </c>
      <c r="J354">
        <v>35.126600000000003</v>
      </c>
      <c r="K354" s="12">
        <v>13716.95</v>
      </c>
      <c r="L354">
        <v>20.84</v>
      </c>
      <c r="M354">
        <v>326.92</v>
      </c>
      <c r="N354" s="13">
        <v>2.3800000000000002E-2</v>
      </c>
      <c r="O354" t="s">
        <v>38</v>
      </c>
      <c r="Q354">
        <f t="shared" si="94"/>
        <v>347.75333999999924</v>
      </c>
      <c r="R354">
        <f t="shared" si="95"/>
        <v>326.91333999999927</v>
      </c>
      <c r="S354">
        <f t="shared" si="96"/>
        <v>14064.690640000001</v>
      </c>
      <c r="U354">
        <f t="shared" si="83"/>
        <v>4.225352</v>
      </c>
      <c r="V354">
        <f t="shared" si="97"/>
        <v>1649.9999560000001</v>
      </c>
      <c r="W354">
        <f t="shared" si="84"/>
        <v>41.830984799999904</v>
      </c>
      <c r="X354">
        <f t="shared" si="85"/>
        <v>3.3418308968000003</v>
      </c>
      <c r="Y354">
        <f t="shared" si="86"/>
        <v>38.489153903199906</v>
      </c>
      <c r="Z354">
        <f t="shared" si="87"/>
        <v>39984.093527932928</v>
      </c>
      <c r="AB354">
        <f t="shared" si="88"/>
        <v>17.062311000000001</v>
      </c>
      <c r="AC354">
        <f t="shared" si="89"/>
        <v>6662.8324455000002</v>
      </c>
      <c r="AD354">
        <f t="shared" si="90"/>
        <v>168.91687889999963</v>
      </c>
      <c r="AE354">
        <f t="shared" si="91"/>
        <v>13.494581769900002</v>
      </c>
      <c r="AF354">
        <f t="shared" si="92"/>
        <v>155.42229713009962</v>
      </c>
      <c r="AG354">
        <f t="shared" si="82"/>
        <v>66783.748621711202</v>
      </c>
      <c r="AH354" t="b">
        <f t="shared" si="93"/>
        <v>1</v>
      </c>
    </row>
    <row r="355" spans="4:34" hidden="1" x14ac:dyDescent="0.4">
      <c r="D355" t="s">
        <v>53</v>
      </c>
      <c r="E355" t="s">
        <v>37</v>
      </c>
      <c r="F355" s="9">
        <v>45955.291666666664</v>
      </c>
      <c r="G355" s="12">
        <v>1118.1500000000001</v>
      </c>
      <c r="H355" s="9">
        <v>45957.25</v>
      </c>
      <c r="I355" s="12">
        <v>1149.93</v>
      </c>
      <c r="J355">
        <v>8.9789999999999992</v>
      </c>
      <c r="K355" s="12">
        <v>10040.31</v>
      </c>
      <c r="L355">
        <v>15.27</v>
      </c>
      <c r="M355">
        <v>270.08</v>
      </c>
      <c r="N355" s="13">
        <v>2.69E-2</v>
      </c>
      <c r="O355" t="s">
        <v>38</v>
      </c>
      <c r="Q355">
        <f t="shared" si="94"/>
        <v>285.35261999999972</v>
      </c>
      <c r="R355">
        <f t="shared" si="95"/>
        <v>270.08261999999974</v>
      </c>
      <c r="S355">
        <f t="shared" si="96"/>
        <v>10325.22147</v>
      </c>
      <c r="U355">
        <f t="shared" si="83"/>
        <v>1.475652</v>
      </c>
      <c r="V355">
        <f t="shared" si="97"/>
        <v>1650.0002838</v>
      </c>
      <c r="W355">
        <f t="shared" si="84"/>
        <v>46.896220559999961</v>
      </c>
      <c r="X355">
        <f t="shared" si="85"/>
        <v>3.3468967881599996</v>
      </c>
      <c r="Y355">
        <f t="shared" si="86"/>
        <v>43.549323771839958</v>
      </c>
      <c r="Z355">
        <f t="shared" si="87"/>
        <v>39945.604374029725</v>
      </c>
      <c r="AB355">
        <f t="shared" si="88"/>
        <v>5.9431139999999996</v>
      </c>
      <c r="AC355">
        <f t="shared" si="89"/>
        <v>6645.2929191000003</v>
      </c>
      <c r="AD355">
        <f t="shared" si="90"/>
        <v>188.87216291999982</v>
      </c>
      <c r="AE355">
        <f t="shared" si="91"/>
        <v>13.479458001119998</v>
      </c>
      <c r="AF355">
        <f t="shared" si="92"/>
        <v>175.39270491887982</v>
      </c>
      <c r="AG355">
        <f t="shared" si="82"/>
        <v>66628.326324581096</v>
      </c>
      <c r="AH355" t="b">
        <f t="shared" si="93"/>
        <v>1</v>
      </c>
    </row>
    <row r="356" spans="4:34" hidden="1" x14ac:dyDescent="0.4">
      <c r="D356" t="s">
        <v>55</v>
      </c>
      <c r="E356" t="s">
        <v>37</v>
      </c>
      <c r="F356" s="9">
        <v>45954.583333333336</v>
      </c>
      <c r="G356">
        <v>4.5229999999999999E-5</v>
      </c>
      <c r="H356" s="9">
        <v>45956.541666666664</v>
      </c>
      <c r="I356">
        <v>4.7309999999999999E-5</v>
      </c>
      <c r="J356" s="12">
        <v>131442005.31</v>
      </c>
      <c r="K356" s="12">
        <v>5945.12</v>
      </c>
      <c r="L356">
        <v>9.1199999999999992</v>
      </c>
      <c r="M356">
        <v>264.27999999999997</v>
      </c>
      <c r="N356" s="13">
        <v>4.4499999999999998E-2</v>
      </c>
      <c r="O356" t="s">
        <v>38</v>
      </c>
      <c r="Q356">
        <f t="shared" si="94"/>
        <v>273.39937104480003</v>
      </c>
      <c r="R356">
        <f t="shared" si="95"/>
        <v>264.27937104480003</v>
      </c>
      <c r="S356">
        <f t="shared" si="96"/>
        <v>6218.5212712161001</v>
      </c>
      <c r="U356">
        <f t="shared" si="83"/>
        <v>36480212.248507999</v>
      </c>
      <c r="V356">
        <f t="shared" si="97"/>
        <v>1650.0000000000168</v>
      </c>
      <c r="W356">
        <f t="shared" si="84"/>
        <v>75.878841476896653</v>
      </c>
      <c r="X356">
        <f t="shared" si="85"/>
        <v>3.3758788414769305</v>
      </c>
      <c r="Y356">
        <f t="shared" si="86"/>
        <v>72.502962635419721</v>
      </c>
      <c r="Z356">
        <f t="shared" si="87"/>
        <v>39902.055050257884</v>
      </c>
      <c r="AB356">
        <f t="shared" si="88"/>
        <v>146279480.441001</v>
      </c>
      <c r="AC356">
        <f t="shared" si="89"/>
        <v>6616.220900346475</v>
      </c>
      <c r="AD356">
        <f t="shared" si="90"/>
        <v>304.26131931728213</v>
      </c>
      <c r="AE356">
        <f t="shared" si="91"/>
        <v>13.536703120010234</v>
      </c>
      <c r="AF356">
        <f t="shared" si="92"/>
        <v>290.72461619727187</v>
      </c>
      <c r="AG356">
        <f t="shared" si="82"/>
        <v>66452.933619662217</v>
      </c>
      <c r="AH356" t="b">
        <f t="shared" si="93"/>
        <v>1</v>
      </c>
    </row>
    <row r="357" spans="4:34" hidden="1" x14ac:dyDescent="0.4">
      <c r="D357" t="s">
        <v>56</v>
      </c>
      <c r="E357" t="s">
        <v>37</v>
      </c>
      <c r="F357" s="9">
        <v>45953.708333333336</v>
      </c>
      <c r="G357" s="12">
        <v>3878.4</v>
      </c>
      <c r="H357" s="9">
        <v>45956.166666666664</v>
      </c>
      <c r="I357" s="12">
        <v>3932.54</v>
      </c>
      <c r="J357" s="12">
        <v>1.5052000000000001</v>
      </c>
      <c r="K357" s="12">
        <v>5837.85</v>
      </c>
      <c r="L357">
        <v>8.82</v>
      </c>
      <c r="M357">
        <v>72.67</v>
      </c>
      <c r="N357" s="13">
        <v>1.24E-2</v>
      </c>
      <c r="O357" t="s">
        <v>57</v>
      </c>
      <c r="Q357">
        <f t="shared" si="94"/>
        <v>81.491527999999818</v>
      </c>
      <c r="R357">
        <f t="shared" si="95"/>
        <v>72.671527999999824</v>
      </c>
      <c r="S357">
        <f t="shared" si="96"/>
        <v>5919.2592080000004</v>
      </c>
      <c r="U357">
        <f t="shared" si="83"/>
        <v>0.42543300000000001</v>
      </c>
      <c r="V357">
        <f t="shared" si="97"/>
        <v>1649.9993472000001</v>
      </c>
      <c r="W357">
        <f t="shared" si="84"/>
        <v>23.032942619999947</v>
      </c>
      <c r="X357">
        <f t="shared" si="85"/>
        <v>3.3230316370200002</v>
      </c>
      <c r="Y357">
        <f t="shared" si="86"/>
        <v>19.709910982979945</v>
      </c>
      <c r="Z357">
        <f t="shared" si="87"/>
        <v>39829.552087622462</v>
      </c>
      <c r="AB357">
        <f t="shared" si="88"/>
        <v>1.7038800000000001</v>
      </c>
      <c r="AC357">
        <f t="shared" si="89"/>
        <v>6608.3281919999999</v>
      </c>
      <c r="AD357">
        <f t="shared" si="90"/>
        <v>92.248063199999791</v>
      </c>
      <c r="AE357">
        <f t="shared" si="91"/>
        <v>13.308904447200002</v>
      </c>
      <c r="AF357">
        <f t="shared" si="92"/>
        <v>78.939158752799784</v>
      </c>
      <c r="AG357">
        <f t="shared" si="82"/>
        <v>66162.209003464945</v>
      </c>
      <c r="AH357" t="b">
        <f t="shared" si="93"/>
        <v>1</v>
      </c>
    </row>
    <row r="358" spans="4:34" hidden="1" x14ac:dyDescent="0.4">
      <c r="D358" t="s">
        <v>60</v>
      </c>
      <c r="E358" t="s">
        <v>37</v>
      </c>
      <c r="F358" s="9">
        <v>45953.666666666664</v>
      </c>
      <c r="G358" s="12">
        <v>2.4034</v>
      </c>
      <c r="H358" s="9">
        <v>45956.125</v>
      </c>
      <c r="I358" s="12">
        <v>2.5977000000000001</v>
      </c>
      <c r="J358">
        <v>947.2</v>
      </c>
      <c r="K358" s="12">
        <v>2276.52</v>
      </c>
      <c r="L358">
        <v>3.55</v>
      </c>
      <c r="M358">
        <v>180.49</v>
      </c>
      <c r="N358" s="13">
        <v>7.9299999999999995E-2</v>
      </c>
      <c r="O358" t="s">
        <v>57</v>
      </c>
      <c r="Q358">
        <f t="shared" si="94"/>
        <v>184.04096000000015</v>
      </c>
      <c r="R358">
        <f t="shared" si="95"/>
        <v>180.49096000000014</v>
      </c>
      <c r="S358">
        <f t="shared" si="96"/>
        <v>2460.5414400000004</v>
      </c>
      <c r="U358">
        <f t="shared" si="83"/>
        <v>686.52741900000001</v>
      </c>
      <c r="V358">
        <f t="shared" si="97"/>
        <v>1649.9999988246</v>
      </c>
      <c r="W358">
        <f t="shared" si="84"/>
        <v>133.39227751170009</v>
      </c>
      <c r="X358">
        <f t="shared" si="85"/>
        <v>3.4333922751609003</v>
      </c>
      <c r="Y358">
        <f t="shared" si="86"/>
        <v>129.95888523653917</v>
      </c>
      <c r="Z358">
        <f t="shared" si="87"/>
        <v>39809.842176639482</v>
      </c>
      <c r="AB358">
        <f t="shared" si="88"/>
        <v>2728.087125</v>
      </c>
      <c r="AC358">
        <f t="shared" si="89"/>
        <v>6556.684596225</v>
      </c>
      <c r="AD358">
        <f t="shared" si="90"/>
        <v>530.06732838750042</v>
      </c>
      <c r="AE358">
        <f t="shared" si="91"/>
        <v>13.643436520837501</v>
      </c>
      <c r="AF358">
        <f t="shared" si="92"/>
        <v>516.42389186666287</v>
      </c>
      <c r="AG358">
        <f t="shared" si="82"/>
        <v>66083.269844712151</v>
      </c>
      <c r="AH358" t="b">
        <f t="shared" si="93"/>
        <v>1</v>
      </c>
    </row>
    <row r="359" spans="4:34" hidden="1" x14ac:dyDescent="0.4">
      <c r="D359" t="s">
        <v>43</v>
      </c>
      <c r="E359" t="s">
        <v>37</v>
      </c>
      <c r="F359" s="9">
        <v>45954.083333333336</v>
      </c>
      <c r="G359">
        <v>2.4306999999999999</v>
      </c>
      <c r="H359" s="9">
        <v>45956.083333333336</v>
      </c>
      <c r="I359">
        <v>2.5276999999999998</v>
      </c>
      <c r="J359">
        <v>798</v>
      </c>
      <c r="K359" s="12">
        <v>1939.83</v>
      </c>
      <c r="L359">
        <v>2.97</v>
      </c>
      <c r="M359">
        <v>74.44</v>
      </c>
      <c r="N359" s="13">
        <v>3.8399999999999997E-2</v>
      </c>
      <c r="O359" t="s">
        <v>38</v>
      </c>
      <c r="Q359">
        <f t="shared" si="94"/>
        <v>77.405999999999977</v>
      </c>
      <c r="R359">
        <f t="shared" si="95"/>
        <v>74.435999999999979</v>
      </c>
      <c r="S359">
        <f t="shared" si="96"/>
        <v>2017.1045999999999</v>
      </c>
      <c r="U359">
        <f t="shared" si="83"/>
        <v>678.81680200000005</v>
      </c>
      <c r="V359">
        <f t="shared" si="97"/>
        <v>1650.0000006214</v>
      </c>
      <c r="W359">
        <f t="shared" si="84"/>
        <v>65.845229793999991</v>
      </c>
      <c r="X359">
        <f t="shared" si="85"/>
        <v>3.3658452310367997</v>
      </c>
      <c r="Y359">
        <f t="shared" si="86"/>
        <v>62.47938456296319</v>
      </c>
      <c r="Z359">
        <f t="shared" si="87"/>
        <v>39679.883291402941</v>
      </c>
      <c r="AB359">
        <f t="shared" si="88"/>
        <v>2687.2713699999999</v>
      </c>
      <c r="AC359">
        <f t="shared" si="89"/>
        <v>6531.9505190589998</v>
      </c>
      <c r="AD359">
        <f t="shared" si="90"/>
        <v>260.66532288999991</v>
      </c>
      <c r="AE359">
        <f t="shared" si="91"/>
        <v>13.324566361007998</v>
      </c>
      <c r="AF359">
        <f t="shared" si="92"/>
        <v>247.3407565289919</v>
      </c>
      <c r="AG359">
        <f t="shared" si="82"/>
        <v>65566.845952845484</v>
      </c>
      <c r="AH359" t="b">
        <f t="shared" si="93"/>
        <v>1</v>
      </c>
    </row>
    <row r="360" spans="4:34" hidden="1" x14ac:dyDescent="0.4">
      <c r="D360" t="s">
        <v>59</v>
      </c>
      <c r="E360" t="s">
        <v>37</v>
      </c>
      <c r="F360" s="9">
        <v>45953.625</v>
      </c>
      <c r="G360" s="12">
        <v>109533.68</v>
      </c>
      <c r="H360" s="9">
        <v>45956.083333333336</v>
      </c>
      <c r="I360" s="12">
        <v>111658.41</v>
      </c>
      <c r="J360">
        <v>9.7430000000000003E-2</v>
      </c>
      <c r="K360" s="12">
        <v>10672.18</v>
      </c>
      <c r="L360">
        <v>16.16</v>
      </c>
      <c r="M360">
        <v>190.85</v>
      </c>
      <c r="N360" s="13">
        <v>1.7899999999999999E-2</v>
      </c>
      <c r="O360" t="s">
        <v>57</v>
      </c>
      <c r="Q360">
        <f t="shared" si="94"/>
        <v>207.01244390000102</v>
      </c>
      <c r="R360">
        <f t="shared" si="95"/>
        <v>190.85244390000102</v>
      </c>
      <c r="S360">
        <f t="shared" si="96"/>
        <v>10878.878886300001</v>
      </c>
      <c r="U360">
        <f t="shared" si="83"/>
        <v>1.5063999999999999E-2</v>
      </c>
      <c r="V360">
        <f t="shared" si="97"/>
        <v>1650.0153555199997</v>
      </c>
      <c r="W360">
        <f t="shared" si="84"/>
        <v>32.006932720000158</v>
      </c>
      <c r="X360">
        <f t="shared" si="85"/>
        <v>3.3320376437600001</v>
      </c>
      <c r="Y360">
        <f t="shared" si="86"/>
        <v>28.674895076240158</v>
      </c>
      <c r="Z360">
        <f t="shared" si="87"/>
        <v>39617.40390683998</v>
      </c>
      <c r="AB360">
        <f t="shared" si="88"/>
        <v>5.9531000000000001E-2</v>
      </c>
      <c r="AC360">
        <f t="shared" si="89"/>
        <v>6520.64950408</v>
      </c>
      <c r="AD360">
        <f t="shared" si="90"/>
        <v>126.48730163000063</v>
      </c>
      <c r="AE360">
        <f t="shared" si="91"/>
        <v>13.167786309790001</v>
      </c>
      <c r="AF360">
        <f t="shared" si="92"/>
        <v>113.31951532021063</v>
      </c>
      <c r="AG360">
        <f t="shared" si="82"/>
        <v>65319.505196316495</v>
      </c>
      <c r="AH360" t="b">
        <f t="shared" si="93"/>
        <v>1</v>
      </c>
    </row>
    <row r="361" spans="4:34" hidden="1" x14ac:dyDescent="0.4">
      <c r="D361" t="s">
        <v>52</v>
      </c>
      <c r="E361" t="s">
        <v>37</v>
      </c>
      <c r="F361" s="9">
        <v>45953.708333333336</v>
      </c>
      <c r="G361">
        <v>3.03</v>
      </c>
      <c r="H361" s="9">
        <v>45955.708333333336</v>
      </c>
      <c r="I361">
        <v>3.1080000000000001</v>
      </c>
      <c r="J361" s="12">
        <v>783.24</v>
      </c>
      <c r="K361" s="12">
        <v>2373.25</v>
      </c>
      <c r="L361">
        <v>3.61</v>
      </c>
      <c r="M361">
        <v>57.49</v>
      </c>
      <c r="N361" s="13">
        <v>2.4199999999999999E-2</v>
      </c>
      <c r="O361" t="s">
        <v>38</v>
      </c>
      <c r="Q361">
        <f t="shared" si="94"/>
        <v>61.092720000000227</v>
      </c>
      <c r="R361">
        <f t="shared" si="95"/>
        <v>57.482720000000228</v>
      </c>
      <c r="S361">
        <f t="shared" si="96"/>
        <v>2434.3099200000001</v>
      </c>
      <c r="U361">
        <f t="shared" si="83"/>
        <v>544.55445499999996</v>
      </c>
      <c r="V361">
        <f t="shared" si="97"/>
        <v>1649.9999986499997</v>
      </c>
      <c r="W361">
        <f t="shared" si="84"/>
        <v>42.475247490000157</v>
      </c>
      <c r="X361">
        <f t="shared" si="85"/>
        <v>3.3424752447899997</v>
      </c>
      <c r="Y361">
        <f t="shared" si="86"/>
        <v>39.132772245210155</v>
      </c>
      <c r="Z361">
        <f t="shared" si="87"/>
        <v>39588.729011763739</v>
      </c>
      <c r="AB361">
        <f t="shared" si="88"/>
        <v>2146.927498</v>
      </c>
      <c r="AC361">
        <f t="shared" si="89"/>
        <v>6505.19031894</v>
      </c>
      <c r="AD361">
        <f t="shared" si="90"/>
        <v>167.46034484400062</v>
      </c>
      <c r="AE361">
        <f t="shared" si="91"/>
        <v>13.177840982724</v>
      </c>
      <c r="AF361">
        <f t="shared" si="92"/>
        <v>154.28250386127661</v>
      </c>
      <c r="AG361">
        <f t="shared" si="82"/>
        <v>65206.185680996285</v>
      </c>
      <c r="AH361" t="b">
        <f t="shared" si="93"/>
        <v>1</v>
      </c>
    </row>
    <row r="362" spans="4:34" hidden="1" x14ac:dyDescent="0.4">
      <c r="D362" t="s">
        <v>58</v>
      </c>
      <c r="E362" t="s">
        <v>37</v>
      </c>
      <c r="F362" s="9">
        <v>45953.708333333336</v>
      </c>
      <c r="G362">
        <v>17.41</v>
      </c>
      <c r="H362" s="9">
        <v>45955.708333333336</v>
      </c>
      <c r="I362">
        <v>17.989999999999998</v>
      </c>
      <c r="J362" s="12">
        <v>435.28</v>
      </c>
      <c r="K362" s="12">
        <v>7578.24</v>
      </c>
      <c r="L362">
        <v>11.56</v>
      </c>
      <c r="M362">
        <v>240.91</v>
      </c>
      <c r="N362" s="13">
        <v>3.1800000000000002E-2</v>
      </c>
      <c r="O362" t="s">
        <v>38</v>
      </c>
      <c r="Q362">
        <f t="shared" si="94"/>
        <v>252.46239999999923</v>
      </c>
      <c r="R362">
        <f t="shared" si="95"/>
        <v>240.90239999999923</v>
      </c>
      <c r="S362">
        <f t="shared" si="96"/>
        <v>7830.6871999999985</v>
      </c>
      <c r="U362">
        <f t="shared" si="83"/>
        <v>94.773118999999994</v>
      </c>
      <c r="V362">
        <f t="shared" si="97"/>
        <v>1650.0000017899999</v>
      </c>
      <c r="W362">
        <f t="shared" si="84"/>
        <v>54.968409019999832</v>
      </c>
      <c r="X362">
        <f t="shared" si="85"/>
        <v>3.3549684125999999</v>
      </c>
      <c r="Y362">
        <f t="shared" si="86"/>
        <v>51.613440607399831</v>
      </c>
      <c r="Z362">
        <f t="shared" si="87"/>
        <v>39549.596239518527</v>
      </c>
      <c r="AB362">
        <f t="shared" si="88"/>
        <v>372.48161800000003</v>
      </c>
      <c r="AC362">
        <f t="shared" si="89"/>
        <v>6484.9049693800007</v>
      </c>
      <c r="AD362">
        <f t="shared" si="90"/>
        <v>216.03933843999937</v>
      </c>
      <c r="AE362">
        <f t="shared" si="91"/>
        <v>13.185849277200001</v>
      </c>
      <c r="AF362">
        <f t="shared" si="92"/>
        <v>202.85348916279938</v>
      </c>
      <c r="AG362">
        <f t="shared" ref="AG362:AG425" si="98">AG363*AH362 + (1-AH362)*AI362+AF362</f>
        <v>65051.903177135006</v>
      </c>
      <c r="AH362" t="b">
        <f t="shared" si="93"/>
        <v>1</v>
      </c>
    </row>
    <row r="363" spans="4:34" hidden="1" x14ac:dyDescent="0.4">
      <c r="D363" t="s">
        <v>48</v>
      </c>
      <c r="E363" t="s">
        <v>37</v>
      </c>
      <c r="F363" s="9">
        <v>45953.625</v>
      </c>
      <c r="G363">
        <v>6.3200000000000006E-2</v>
      </c>
      <c r="H363" s="9">
        <v>45955.625</v>
      </c>
      <c r="I363">
        <v>6.4399999999999999E-2</v>
      </c>
      <c r="J363" s="12">
        <v>47378.7</v>
      </c>
      <c r="K363" s="12">
        <v>2994.34</v>
      </c>
      <c r="L363">
        <v>4.53</v>
      </c>
      <c r="M363">
        <v>52.32</v>
      </c>
      <c r="N363" s="13">
        <v>1.7500000000000002E-2</v>
      </c>
      <c r="O363" t="s">
        <v>38</v>
      </c>
      <c r="Q363">
        <f t="shared" si="94"/>
        <v>56.854439999999656</v>
      </c>
      <c r="R363">
        <f t="shared" si="95"/>
        <v>52.324439999999655</v>
      </c>
      <c r="S363">
        <f t="shared" si="96"/>
        <v>3051.1882799999998</v>
      </c>
      <c r="U363">
        <f t="shared" si="83"/>
        <v>26107.594937000002</v>
      </c>
      <c r="V363">
        <f t="shared" si="97"/>
        <v>1650.0000000184002</v>
      </c>
      <c r="W363">
        <f t="shared" si="84"/>
        <v>31.329113924399813</v>
      </c>
      <c r="X363">
        <f t="shared" si="85"/>
        <v>3.3313291139611998</v>
      </c>
      <c r="Y363">
        <f t="shared" si="86"/>
        <v>27.997784810438613</v>
      </c>
      <c r="Z363">
        <f t="shared" si="87"/>
        <v>39497.982798911129</v>
      </c>
      <c r="AB363">
        <f t="shared" si="88"/>
        <v>102435.439751</v>
      </c>
      <c r="AC363">
        <f t="shared" si="89"/>
        <v>6473.9197922632002</v>
      </c>
      <c r="AD363">
        <f t="shared" si="90"/>
        <v>122.92252770119926</v>
      </c>
      <c r="AE363">
        <f t="shared" si="91"/>
        <v>13.070762112227598</v>
      </c>
      <c r="AF363">
        <f t="shared" si="92"/>
        <v>109.85176558897166</v>
      </c>
      <c r="AG363">
        <f t="shared" si="98"/>
        <v>64849.049687972205</v>
      </c>
      <c r="AH363" t="b">
        <f t="shared" si="93"/>
        <v>1</v>
      </c>
    </row>
    <row r="364" spans="4:34" hidden="1" x14ac:dyDescent="0.4">
      <c r="D364" t="s">
        <v>54</v>
      </c>
      <c r="E364" t="s">
        <v>37</v>
      </c>
      <c r="F364" s="9">
        <v>45953.583333333336</v>
      </c>
      <c r="G364">
        <v>189.38</v>
      </c>
      <c r="H364" s="9">
        <v>45955.583333333336</v>
      </c>
      <c r="I364">
        <v>193.97</v>
      </c>
      <c r="J364">
        <v>27.079000000000001</v>
      </c>
      <c r="K364" s="12">
        <v>5128.41</v>
      </c>
      <c r="L364">
        <v>7.79</v>
      </c>
      <c r="M364">
        <v>116.51</v>
      </c>
      <c r="N364" s="13">
        <v>2.2700000000000001E-2</v>
      </c>
      <c r="O364" t="s">
        <v>38</v>
      </c>
      <c r="Q364">
        <f t="shared" si="94"/>
        <v>124.2926100000001</v>
      </c>
      <c r="R364">
        <f t="shared" si="95"/>
        <v>116.50261000000009</v>
      </c>
      <c r="S364">
        <f t="shared" si="96"/>
        <v>5252.5136300000004</v>
      </c>
      <c r="U364">
        <f t="shared" si="83"/>
        <v>8.7126409999999996</v>
      </c>
      <c r="V364">
        <f t="shared" si="97"/>
        <v>1649.9999525799999</v>
      </c>
      <c r="W364">
        <f t="shared" si="84"/>
        <v>39.991022190000031</v>
      </c>
      <c r="X364">
        <f t="shared" si="85"/>
        <v>3.3399909273500001</v>
      </c>
      <c r="Y364">
        <f t="shared" si="86"/>
        <v>36.651031262650029</v>
      </c>
      <c r="Z364">
        <f t="shared" si="87"/>
        <v>39469.98501410069</v>
      </c>
      <c r="AB364">
        <f t="shared" si="88"/>
        <v>34.109046999999997</v>
      </c>
      <c r="AC364">
        <f t="shared" si="89"/>
        <v>6459.5713208599991</v>
      </c>
      <c r="AD364">
        <f t="shared" si="90"/>
        <v>156.56052573000011</v>
      </c>
      <c r="AE364">
        <f t="shared" si="91"/>
        <v>13.075703167449999</v>
      </c>
      <c r="AF364">
        <f t="shared" si="92"/>
        <v>143.48482256255011</v>
      </c>
      <c r="AG364">
        <f t="shared" si="98"/>
        <v>64739.197922383231</v>
      </c>
      <c r="AH364" t="b">
        <f t="shared" si="93"/>
        <v>1</v>
      </c>
    </row>
    <row r="365" spans="4:34" hidden="1" x14ac:dyDescent="0.4">
      <c r="D365" t="s">
        <v>61</v>
      </c>
      <c r="E365" t="s">
        <v>37</v>
      </c>
      <c r="F365" s="9">
        <v>45953.583333333336</v>
      </c>
      <c r="G365">
        <v>0.63980000000000004</v>
      </c>
      <c r="H365" s="9">
        <v>45955.583333333336</v>
      </c>
      <c r="I365">
        <v>0.65590000000000004</v>
      </c>
      <c r="J365" s="12">
        <v>13446.4</v>
      </c>
      <c r="K365" s="12">
        <v>8603.0300000000007</v>
      </c>
      <c r="L365">
        <v>13.07</v>
      </c>
      <c r="M365">
        <v>203.42</v>
      </c>
      <c r="N365" s="13">
        <v>2.3599999999999999E-2</v>
      </c>
      <c r="O365" t="s">
        <v>38</v>
      </c>
      <c r="Q365">
        <f t="shared" si="94"/>
        <v>216.48704000000004</v>
      </c>
      <c r="R365">
        <f t="shared" si="95"/>
        <v>203.41704000000004</v>
      </c>
      <c r="S365">
        <f t="shared" si="96"/>
        <v>8819.4937599999994</v>
      </c>
      <c r="U365">
        <f t="shared" si="83"/>
        <v>2578.9309159999998</v>
      </c>
      <c r="V365">
        <f t="shared" si="97"/>
        <v>1650.0000000568</v>
      </c>
      <c r="W365">
        <f t="shared" si="84"/>
        <v>41.520787747600004</v>
      </c>
      <c r="X365">
        <f t="shared" si="85"/>
        <v>3.3415207878611999</v>
      </c>
      <c r="Y365">
        <f t="shared" si="86"/>
        <v>38.179266959738804</v>
      </c>
      <c r="Z365">
        <f t="shared" si="87"/>
        <v>39433.333982838041</v>
      </c>
      <c r="AB365">
        <f t="shared" si="88"/>
        <v>10072.927549</v>
      </c>
      <c r="AC365">
        <f t="shared" si="89"/>
        <v>6444.6590458502005</v>
      </c>
      <c r="AD365">
        <f t="shared" si="90"/>
        <v>162.17413353890004</v>
      </c>
      <c r="AE365">
        <f t="shared" si="91"/>
        <v>13.051492225239301</v>
      </c>
      <c r="AF365">
        <f t="shared" si="92"/>
        <v>149.12264131366072</v>
      </c>
      <c r="AG365">
        <f t="shared" si="98"/>
        <v>64595.713099820678</v>
      </c>
      <c r="AH365" t="b">
        <f t="shared" si="93"/>
        <v>1</v>
      </c>
    </row>
    <row r="366" spans="4:34" hidden="1" x14ac:dyDescent="0.4">
      <c r="D366" t="s">
        <v>53</v>
      </c>
      <c r="E366" t="s">
        <v>37</v>
      </c>
      <c r="F366" s="9">
        <v>45953.291666666664</v>
      </c>
      <c r="G366" s="12">
        <v>1097.44</v>
      </c>
      <c r="H366" s="9">
        <v>45955.291666666664</v>
      </c>
      <c r="I366" s="12">
        <v>1118.1500000000001</v>
      </c>
      <c r="J366">
        <v>9.1319999999999997</v>
      </c>
      <c r="K366" s="12">
        <v>10022.92</v>
      </c>
      <c r="L366">
        <v>15.17</v>
      </c>
      <c r="M366">
        <v>173.95</v>
      </c>
      <c r="N366" s="13">
        <v>1.7399999999999999E-2</v>
      </c>
      <c r="O366" t="s">
        <v>38</v>
      </c>
      <c r="Q366">
        <f t="shared" si="94"/>
        <v>189.12372000000033</v>
      </c>
      <c r="R366">
        <f t="shared" si="95"/>
        <v>173.95372000000035</v>
      </c>
      <c r="S366">
        <f t="shared" si="96"/>
        <v>10210.945800000001</v>
      </c>
      <c r="U366">
        <f t="shared" si="83"/>
        <v>1.5034989999999999</v>
      </c>
      <c r="V366">
        <f t="shared" si="97"/>
        <v>1649.9999425599999</v>
      </c>
      <c r="W366">
        <f t="shared" si="84"/>
        <v>31.137464290000054</v>
      </c>
      <c r="X366">
        <f t="shared" si="85"/>
        <v>3.3311373494100001</v>
      </c>
      <c r="Y366">
        <f t="shared" si="86"/>
        <v>27.806326940590054</v>
      </c>
      <c r="Z366">
        <f t="shared" si="87"/>
        <v>39395.1547158783</v>
      </c>
      <c r="AB366">
        <f t="shared" si="88"/>
        <v>5.8625679999999996</v>
      </c>
      <c r="AC366">
        <f t="shared" si="89"/>
        <v>6433.8166259199998</v>
      </c>
      <c r="AD366">
        <f t="shared" si="90"/>
        <v>121.4137832800002</v>
      </c>
      <c r="AE366">
        <f t="shared" si="91"/>
        <v>12.98904703512</v>
      </c>
      <c r="AF366">
        <f t="shared" si="92"/>
        <v>108.42473624488021</v>
      </c>
      <c r="AG366">
        <f t="shared" si="98"/>
        <v>64446.590458507017</v>
      </c>
      <c r="AH366" t="b">
        <f t="shared" si="93"/>
        <v>1</v>
      </c>
    </row>
    <row r="367" spans="4:34" hidden="1" x14ac:dyDescent="0.4">
      <c r="D367" t="s">
        <v>55</v>
      </c>
      <c r="E367" t="s">
        <v>37</v>
      </c>
      <c r="F367" s="9">
        <v>45952.541666666664</v>
      </c>
      <c r="G367">
        <v>4.5009999999999998E-5</v>
      </c>
      <c r="H367" s="9">
        <v>45954.541666666664</v>
      </c>
      <c r="I367">
        <v>4.494E-5</v>
      </c>
      <c r="J367" s="12">
        <v>132124819.40000001</v>
      </c>
      <c r="K367" s="12">
        <v>5946.94</v>
      </c>
      <c r="L367">
        <v>8.91</v>
      </c>
      <c r="M367">
        <v>-18.16</v>
      </c>
      <c r="N367" s="13">
        <v>-3.0999999999999999E-3</v>
      </c>
      <c r="O367" t="s">
        <v>38</v>
      </c>
      <c r="Q367">
        <f t="shared" si="94"/>
        <v>-9.2487373579996888</v>
      </c>
      <c r="R367">
        <f t="shared" si="95"/>
        <v>-18.158737357999691</v>
      </c>
      <c r="S367">
        <f t="shared" si="96"/>
        <v>5937.6893838360002</v>
      </c>
      <c r="U367">
        <f t="shared" si="83"/>
        <v>36658520.328815997</v>
      </c>
      <c r="V367">
        <f t="shared" si="97"/>
        <v>1650.000000000008</v>
      </c>
      <c r="W367">
        <f t="shared" si="84"/>
        <v>-2.5660964230170329</v>
      </c>
      <c r="X367">
        <f t="shared" si="85"/>
        <v>3.2974339035769988</v>
      </c>
      <c r="Y367">
        <f t="shared" si="86"/>
        <v>-5.8635303265940317</v>
      </c>
      <c r="Z367">
        <f t="shared" si="87"/>
        <v>39367.348388937709</v>
      </c>
      <c r="AB367">
        <f t="shared" si="88"/>
        <v>142992751.41713199</v>
      </c>
      <c r="AC367">
        <f t="shared" si="89"/>
        <v>6436.1037412851101</v>
      </c>
      <c r="AD367">
        <f t="shared" si="90"/>
        <v>-10.009492599198902</v>
      </c>
      <c r="AE367">
        <f t="shared" si="91"/>
        <v>12.862197989971023</v>
      </c>
      <c r="AF367">
        <f t="shared" si="92"/>
        <v>-22.871690589169923</v>
      </c>
      <c r="AG367">
        <f t="shared" si="98"/>
        <v>64338.165722262136</v>
      </c>
      <c r="AH367" t="b">
        <f t="shared" si="93"/>
        <v>1</v>
      </c>
    </row>
    <row r="368" spans="4:34" hidden="1" x14ac:dyDescent="0.4">
      <c r="D368" t="s">
        <v>60</v>
      </c>
      <c r="E368" t="s">
        <v>37</v>
      </c>
      <c r="F368" s="9">
        <v>45950.625</v>
      </c>
      <c r="G368">
        <v>2.4611999999999998</v>
      </c>
      <c r="H368" s="9">
        <v>45953.125</v>
      </c>
      <c r="I368">
        <v>2.3711000000000002</v>
      </c>
      <c r="J368">
        <v>928.4</v>
      </c>
      <c r="K368" s="12">
        <v>2285.2199999999998</v>
      </c>
      <c r="L368">
        <v>3.36</v>
      </c>
      <c r="M368">
        <v>-87.01</v>
      </c>
      <c r="N368" s="13">
        <v>-3.8100000000000002E-2</v>
      </c>
      <c r="O368" t="s">
        <v>57</v>
      </c>
      <c r="Q368">
        <f t="shared" si="94"/>
        <v>-83.648839999999652</v>
      </c>
      <c r="R368">
        <f t="shared" si="95"/>
        <v>-87.008839999999651</v>
      </c>
      <c r="S368">
        <f t="shared" si="96"/>
        <v>2201.32924</v>
      </c>
      <c r="U368">
        <f t="shared" si="83"/>
        <v>670.40468099999998</v>
      </c>
      <c r="V368">
        <f t="shared" si="97"/>
        <v>1650.0000008771999</v>
      </c>
      <c r="W368">
        <f t="shared" si="84"/>
        <v>-60.403461758099745</v>
      </c>
      <c r="X368">
        <f t="shared" si="85"/>
        <v>3.2395965399963003</v>
      </c>
      <c r="Y368">
        <f t="shared" si="86"/>
        <v>-63.643058298096044</v>
      </c>
      <c r="Z368">
        <f t="shared" si="87"/>
        <v>39373.2119192643</v>
      </c>
      <c r="AB368">
        <f t="shared" si="88"/>
        <v>2625.1523309999998</v>
      </c>
      <c r="AC368">
        <f t="shared" si="89"/>
        <v>6461.0249170571988</v>
      </c>
      <c r="AD368">
        <f t="shared" si="90"/>
        <v>-236.52622502309899</v>
      </c>
      <c r="AE368">
        <f t="shared" si="91"/>
        <v>12.6855236090913</v>
      </c>
      <c r="AF368">
        <f t="shared" si="92"/>
        <v>-249.21174863219028</v>
      </c>
      <c r="AG368">
        <f t="shared" si="98"/>
        <v>64361.037412851307</v>
      </c>
      <c r="AH368" t="b">
        <f t="shared" si="93"/>
        <v>1</v>
      </c>
    </row>
    <row r="369" spans="4:34" hidden="1" x14ac:dyDescent="0.4">
      <c r="D369" t="s">
        <v>43</v>
      </c>
      <c r="E369" t="s">
        <v>37</v>
      </c>
      <c r="F369" s="9">
        <v>45950.833333333336</v>
      </c>
      <c r="G369" s="12">
        <v>2.5836000000000001</v>
      </c>
      <c r="H369" s="9">
        <v>45952.833333333336</v>
      </c>
      <c r="I369" s="12">
        <v>2.4173</v>
      </c>
      <c r="J369">
        <v>755.8</v>
      </c>
      <c r="K369" s="12">
        <v>1952.69</v>
      </c>
      <c r="L369">
        <v>2.83</v>
      </c>
      <c r="M369">
        <v>-128.52000000000001</v>
      </c>
      <c r="N369" s="13">
        <v>-6.5799999999999997E-2</v>
      </c>
      <c r="O369" t="s">
        <v>38</v>
      </c>
      <c r="Q369">
        <f t="shared" si="94"/>
        <v>-125.68954000000008</v>
      </c>
      <c r="R369">
        <f t="shared" si="95"/>
        <v>-128.51954000000009</v>
      </c>
      <c r="S369">
        <f t="shared" si="96"/>
        <v>1826.9953399999999</v>
      </c>
      <c r="U369">
        <f t="shared" si="83"/>
        <v>638.64375299999995</v>
      </c>
      <c r="V369">
        <f t="shared" si="97"/>
        <v>1650.0000002508</v>
      </c>
      <c r="W369">
        <f t="shared" si="84"/>
        <v>-106.20645612390007</v>
      </c>
      <c r="X369">
        <f t="shared" si="85"/>
        <v>3.1937935443776997</v>
      </c>
      <c r="Y369">
        <f t="shared" si="86"/>
        <v>-109.40024966827777</v>
      </c>
      <c r="Z369">
        <f t="shared" si="87"/>
        <v>39436.854977562398</v>
      </c>
      <c r="AB369">
        <f t="shared" si="88"/>
        <v>2517.4754210000001</v>
      </c>
      <c r="AC369">
        <f t="shared" si="89"/>
        <v>6504.149497695601</v>
      </c>
      <c r="AD369">
        <f t="shared" si="90"/>
        <v>-418.65616251230028</v>
      </c>
      <c r="AE369">
        <f t="shared" si="91"/>
        <v>12.5896428328789</v>
      </c>
      <c r="AF369">
        <f t="shared" si="92"/>
        <v>-431.24580534517918</v>
      </c>
      <c r="AG369">
        <f t="shared" si="98"/>
        <v>64610.249161483494</v>
      </c>
      <c r="AH369" t="b">
        <f t="shared" si="93"/>
        <v>1</v>
      </c>
    </row>
    <row r="370" spans="4:34" hidden="1" x14ac:dyDescent="0.4">
      <c r="D370" t="s">
        <v>55</v>
      </c>
      <c r="E370" t="s">
        <v>37</v>
      </c>
      <c r="F370" s="9">
        <v>45950.458333333336</v>
      </c>
      <c r="G370" s="12">
        <v>4.3290000000000001E-5</v>
      </c>
      <c r="H370" s="9">
        <v>45952.458333333336</v>
      </c>
      <c r="I370" s="12">
        <v>4.4969999999999998E-5</v>
      </c>
      <c r="J370" s="12">
        <v>136864192.87</v>
      </c>
      <c r="K370" s="12">
        <v>5924.85</v>
      </c>
      <c r="L370">
        <v>9.06</v>
      </c>
      <c r="M370">
        <v>220.87</v>
      </c>
      <c r="N370" s="13">
        <v>3.73E-2</v>
      </c>
      <c r="O370" t="s">
        <v>38</v>
      </c>
      <c r="Q370">
        <f t="shared" si="94"/>
        <v>229.93184402159966</v>
      </c>
      <c r="R370">
        <f t="shared" si="95"/>
        <v>220.87184402159966</v>
      </c>
      <c r="S370">
        <f t="shared" si="96"/>
        <v>6154.7827533639002</v>
      </c>
      <c r="U370">
        <f t="shared" si="83"/>
        <v>38115038.115038</v>
      </c>
      <c r="V370">
        <f t="shared" si="97"/>
        <v>1649.999999999995</v>
      </c>
      <c r="W370">
        <f t="shared" si="84"/>
        <v>64.033264033263748</v>
      </c>
      <c r="X370">
        <f t="shared" si="85"/>
        <v>3.364033264033254</v>
      </c>
      <c r="Y370">
        <f t="shared" si="86"/>
        <v>60.669230769230495</v>
      </c>
      <c r="Z370">
        <f t="shared" si="87"/>
        <v>39546.255227230678</v>
      </c>
      <c r="AB370">
        <f t="shared" si="88"/>
        <v>149695584.47032499</v>
      </c>
      <c r="AC370">
        <f t="shared" si="89"/>
        <v>6480.3218517203686</v>
      </c>
      <c r="AD370">
        <f t="shared" si="90"/>
        <v>251.4885819101456</v>
      </c>
      <c r="AE370">
        <f t="shared" si="91"/>
        <v>13.212132285350883</v>
      </c>
      <c r="AF370">
        <f t="shared" si="92"/>
        <v>238.27644962479471</v>
      </c>
      <c r="AG370">
        <f t="shared" si="98"/>
        <v>65041.494966828672</v>
      </c>
      <c r="AH370" t="b">
        <f t="shared" si="93"/>
        <v>1</v>
      </c>
    </row>
    <row r="371" spans="4:34" hidden="1" x14ac:dyDescent="0.4">
      <c r="D371" t="s">
        <v>61</v>
      </c>
      <c r="E371" t="s">
        <v>37</v>
      </c>
      <c r="F371" s="9">
        <v>45950.208333333336</v>
      </c>
      <c r="G371">
        <v>0.66300000000000003</v>
      </c>
      <c r="H371" s="9">
        <v>45952.208333333336</v>
      </c>
      <c r="I371">
        <v>0.64190000000000003</v>
      </c>
      <c r="J371" s="12">
        <v>13019.2</v>
      </c>
      <c r="K371" s="12">
        <v>8631.7800000000007</v>
      </c>
      <c r="L371">
        <v>12.74</v>
      </c>
      <c r="M371">
        <v>-287.45</v>
      </c>
      <c r="N371" s="13">
        <v>-3.3300000000000003E-2</v>
      </c>
      <c r="O371" t="s">
        <v>38</v>
      </c>
      <c r="Q371">
        <f t="shared" si="94"/>
        <v>-274.70512000000014</v>
      </c>
      <c r="R371">
        <f t="shared" si="95"/>
        <v>-287.44512000000014</v>
      </c>
      <c r="S371">
        <f t="shared" si="96"/>
        <v>8357.02448</v>
      </c>
      <c r="U371">
        <f t="shared" si="83"/>
        <v>2488.6877829999999</v>
      </c>
      <c r="V371">
        <f t="shared" si="97"/>
        <v>1650.000000129</v>
      </c>
      <c r="W371">
        <f t="shared" si="84"/>
        <v>-52.511312221300017</v>
      </c>
      <c r="X371">
        <f t="shared" si="85"/>
        <v>3.2474886880366998</v>
      </c>
      <c r="Y371">
        <f t="shared" si="86"/>
        <v>-55.758800909336713</v>
      </c>
      <c r="Z371">
        <f t="shared" si="87"/>
        <v>39485.58599646145</v>
      </c>
      <c r="AB371">
        <f t="shared" si="88"/>
        <v>9807.3834029999998</v>
      </c>
      <c r="AC371">
        <f t="shared" si="89"/>
        <v>6502.2951961890003</v>
      </c>
      <c r="AD371">
        <f t="shared" si="90"/>
        <v>-206.93578980330008</v>
      </c>
      <c r="AE371">
        <f t="shared" si="91"/>
        <v>12.797654602574699</v>
      </c>
      <c r="AF371">
        <f t="shared" si="92"/>
        <v>-219.73344440587479</v>
      </c>
      <c r="AG371">
        <f t="shared" si="98"/>
        <v>64803.218517203873</v>
      </c>
      <c r="AH371" t="b">
        <f t="shared" si="93"/>
        <v>1</v>
      </c>
    </row>
    <row r="372" spans="4:34" hidden="1" x14ac:dyDescent="0.4">
      <c r="D372" t="s">
        <v>54</v>
      </c>
      <c r="E372" t="s">
        <v>37</v>
      </c>
      <c r="F372" s="9">
        <v>45950.166666666664</v>
      </c>
      <c r="G372">
        <v>186.98</v>
      </c>
      <c r="H372" s="9">
        <v>45952.166666666664</v>
      </c>
      <c r="I372">
        <v>186</v>
      </c>
      <c r="J372" s="12">
        <v>27.446000000000002</v>
      </c>
      <c r="K372" s="12">
        <v>5131.87</v>
      </c>
      <c r="L372">
        <v>7.68</v>
      </c>
      <c r="M372">
        <v>-34.57</v>
      </c>
      <c r="N372" s="13">
        <v>-6.7000000000000002E-3</v>
      </c>
      <c r="O372" t="s">
        <v>38</v>
      </c>
      <c r="Q372">
        <f t="shared" si="94"/>
        <v>-26.897079999999722</v>
      </c>
      <c r="R372">
        <f t="shared" si="95"/>
        <v>-34.577079999999725</v>
      </c>
      <c r="S372">
        <f t="shared" si="96"/>
        <v>5104.9560000000001</v>
      </c>
      <c r="U372">
        <f t="shared" si="83"/>
        <v>8.8244729999999993</v>
      </c>
      <c r="V372">
        <f t="shared" si="97"/>
        <v>1649.9999615399997</v>
      </c>
      <c r="W372">
        <f t="shared" si="84"/>
        <v>-8.6479835399999097</v>
      </c>
      <c r="X372">
        <f t="shared" si="85"/>
        <v>3.2913519395400002</v>
      </c>
      <c r="Y372">
        <f t="shared" si="86"/>
        <v>-11.93933547953991</v>
      </c>
      <c r="Z372">
        <f t="shared" si="87"/>
        <v>39541.344797370788</v>
      </c>
      <c r="AB372">
        <f t="shared" si="88"/>
        <v>34.800533000000001</v>
      </c>
      <c r="AC372">
        <f t="shared" si="89"/>
        <v>6507.0036603400004</v>
      </c>
      <c r="AD372">
        <f t="shared" si="90"/>
        <v>-34.104522339999647</v>
      </c>
      <c r="AE372">
        <f t="shared" si="91"/>
        <v>12.979902798340001</v>
      </c>
      <c r="AF372">
        <f t="shared" si="92"/>
        <v>-47.084425138339647</v>
      </c>
      <c r="AG372">
        <f t="shared" si="98"/>
        <v>65022.951961609746</v>
      </c>
      <c r="AH372" t="b">
        <f t="shared" si="93"/>
        <v>1</v>
      </c>
    </row>
    <row r="373" spans="4:34" hidden="1" x14ac:dyDescent="0.4">
      <c r="D373" t="s">
        <v>53</v>
      </c>
      <c r="E373" t="s">
        <v>37</v>
      </c>
      <c r="F373" s="9">
        <v>45950.166666666664</v>
      </c>
      <c r="G373" s="12">
        <v>1110.3399999999999</v>
      </c>
      <c r="H373" s="9">
        <v>45952.166666666664</v>
      </c>
      <c r="I373" s="12">
        <v>1070.78</v>
      </c>
      <c r="J373" s="12">
        <v>9.06</v>
      </c>
      <c r="K373" s="12">
        <v>10060.24</v>
      </c>
      <c r="L373">
        <v>14.82</v>
      </c>
      <c r="M373">
        <v>-373.23</v>
      </c>
      <c r="N373" s="13">
        <v>-3.7100000000000001E-2</v>
      </c>
      <c r="O373" t="s">
        <v>38</v>
      </c>
      <c r="Q373">
        <f t="shared" si="94"/>
        <v>-358.41359999999952</v>
      </c>
      <c r="R373">
        <f t="shared" si="95"/>
        <v>-373.23359999999951</v>
      </c>
      <c r="S373">
        <f t="shared" si="96"/>
        <v>9701.2667999999994</v>
      </c>
      <c r="U373">
        <f t="shared" si="83"/>
        <v>1.4860310000000001</v>
      </c>
      <c r="V373">
        <f t="shared" si="97"/>
        <v>1649.9996605399999</v>
      </c>
      <c r="W373">
        <f t="shared" si="84"/>
        <v>-58.787386359999921</v>
      </c>
      <c r="X373">
        <f t="shared" si="85"/>
        <v>3.2412119347200004</v>
      </c>
      <c r="Y373">
        <f t="shared" si="86"/>
        <v>-62.02859829471992</v>
      </c>
      <c r="Z373">
        <f t="shared" si="87"/>
        <v>39553.284132850327</v>
      </c>
      <c r="AB373">
        <f t="shared" si="88"/>
        <v>5.8824839999999998</v>
      </c>
      <c r="AC373">
        <f t="shared" si="89"/>
        <v>6531.5572845599991</v>
      </c>
      <c r="AD373">
        <f t="shared" si="90"/>
        <v>-232.71106703999968</v>
      </c>
      <c r="AE373">
        <f t="shared" si="91"/>
        <v>12.830403502079999</v>
      </c>
      <c r="AF373">
        <f t="shared" si="92"/>
        <v>-245.54147054207968</v>
      </c>
      <c r="AG373">
        <f t="shared" si="98"/>
        <v>65070.036386748085</v>
      </c>
      <c r="AH373" t="b">
        <f t="shared" si="93"/>
        <v>1</v>
      </c>
    </row>
    <row r="374" spans="4:34" hidden="1" x14ac:dyDescent="0.4">
      <c r="D374" t="s">
        <v>59</v>
      </c>
      <c r="E374" t="s">
        <v>37</v>
      </c>
      <c r="F374" s="9">
        <v>45949.208333333336</v>
      </c>
      <c r="G374" s="12">
        <v>107302.78</v>
      </c>
      <c r="H374" s="9">
        <v>45951.708333333336</v>
      </c>
      <c r="I374" s="12">
        <v>113481.51</v>
      </c>
      <c r="J374">
        <v>9.8900000000000002E-2</v>
      </c>
      <c r="K374" s="12">
        <v>10612.71</v>
      </c>
      <c r="L374">
        <v>16.38</v>
      </c>
      <c r="M374">
        <v>594.70000000000005</v>
      </c>
      <c r="N374" s="13">
        <v>5.6000000000000001E-2</v>
      </c>
      <c r="O374" t="s">
        <v>57</v>
      </c>
      <c r="Q374">
        <f t="shared" si="94"/>
        <v>611.07639699999959</v>
      </c>
      <c r="R374">
        <f t="shared" si="95"/>
        <v>594.69639699999959</v>
      </c>
      <c r="S374">
        <f t="shared" si="96"/>
        <v>11223.321339</v>
      </c>
      <c r="U374">
        <f t="shared" si="83"/>
        <v>1.5377E-2</v>
      </c>
      <c r="V374">
        <f t="shared" si="97"/>
        <v>1649.9948480600001</v>
      </c>
      <c r="W374">
        <f t="shared" si="84"/>
        <v>95.010331209999933</v>
      </c>
      <c r="X374">
        <f t="shared" si="85"/>
        <v>3.3950000273299996</v>
      </c>
      <c r="Y374">
        <f t="shared" si="86"/>
        <v>91.615331182669934</v>
      </c>
      <c r="Z374">
        <f t="shared" si="87"/>
        <v>39615.312731145044</v>
      </c>
      <c r="AB374">
        <f t="shared" si="88"/>
        <v>6.0533999999999998E-2</v>
      </c>
      <c r="AC374">
        <f t="shared" si="89"/>
        <v>6495.4664845199995</v>
      </c>
      <c r="AD374">
        <f t="shared" si="90"/>
        <v>374.02324181999973</v>
      </c>
      <c r="AE374">
        <f t="shared" si="91"/>
        <v>13.364956210859997</v>
      </c>
      <c r="AF374">
        <f t="shared" si="92"/>
        <v>360.65828560913974</v>
      </c>
      <c r="AG374">
        <f t="shared" si="98"/>
        <v>65315.577857290162</v>
      </c>
      <c r="AH374" t="b">
        <f t="shared" si="93"/>
        <v>1</v>
      </c>
    </row>
    <row r="375" spans="4:34" hidden="1" x14ac:dyDescent="0.4">
      <c r="D375" t="s">
        <v>52</v>
      </c>
      <c r="E375" t="s">
        <v>37</v>
      </c>
      <c r="F375" s="9">
        <v>45949.208333333336</v>
      </c>
      <c r="G375" s="12">
        <v>3.06</v>
      </c>
      <c r="H375" s="9">
        <v>45951.208333333336</v>
      </c>
      <c r="I375" s="12">
        <v>3.1030000000000002</v>
      </c>
      <c r="J375">
        <v>774.59</v>
      </c>
      <c r="K375" s="12">
        <v>2370.27</v>
      </c>
      <c r="L375">
        <v>3.58</v>
      </c>
      <c r="M375">
        <v>29.73</v>
      </c>
      <c r="N375" s="13">
        <v>1.2500000000000001E-2</v>
      </c>
      <c r="O375" t="s">
        <v>38</v>
      </c>
      <c r="Q375">
        <f t="shared" si="94"/>
        <v>33.30737000000012</v>
      </c>
      <c r="R375">
        <f t="shared" si="95"/>
        <v>29.727370000000121</v>
      </c>
      <c r="S375">
        <f t="shared" si="96"/>
        <v>2403.5527700000002</v>
      </c>
      <c r="U375">
        <f t="shared" si="83"/>
        <v>539.21568600000001</v>
      </c>
      <c r="V375">
        <f t="shared" si="97"/>
        <v>1649.99999916</v>
      </c>
      <c r="W375">
        <f t="shared" si="84"/>
        <v>23.186274498000081</v>
      </c>
      <c r="X375">
        <f t="shared" si="85"/>
        <v>3.3231862728179999</v>
      </c>
      <c r="Y375">
        <f t="shared" si="86"/>
        <v>19.863088225182082</v>
      </c>
      <c r="Z375">
        <f t="shared" si="87"/>
        <v>39523.697399962373</v>
      </c>
      <c r="AB375">
        <f t="shared" si="88"/>
        <v>2120.157494</v>
      </c>
      <c r="AC375">
        <f t="shared" si="89"/>
        <v>6487.6819316400006</v>
      </c>
      <c r="AD375">
        <f t="shared" si="90"/>
        <v>91.16677224200032</v>
      </c>
      <c r="AE375">
        <f t="shared" si="91"/>
        <v>13.066530635522</v>
      </c>
      <c r="AF375">
        <f t="shared" si="92"/>
        <v>78.10024160647832</v>
      </c>
      <c r="AG375">
        <f t="shared" si="98"/>
        <v>64954.919571681021</v>
      </c>
      <c r="AH375" t="b">
        <f t="shared" si="93"/>
        <v>1</v>
      </c>
    </row>
    <row r="376" spans="4:34" hidden="1" x14ac:dyDescent="0.4">
      <c r="D376" t="s">
        <v>56</v>
      </c>
      <c r="E376" t="s">
        <v>37</v>
      </c>
      <c r="F376" s="9">
        <v>45948.708333333336</v>
      </c>
      <c r="G376" s="12">
        <v>3879.36</v>
      </c>
      <c r="H376" s="9">
        <v>45951.208333333336</v>
      </c>
      <c r="I376" s="12">
        <v>3924.36</v>
      </c>
      <c r="J376">
        <v>1.5033000000000001</v>
      </c>
      <c r="K376" s="12">
        <v>5831.96</v>
      </c>
      <c r="L376">
        <v>8.8000000000000007</v>
      </c>
      <c r="M376">
        <v>58.85</v>
      </c>
      <c r="N376" s="13">
        <v>1.01E-2</v>
      </c>
      <c r="O376" t="s">
        <v>57</v>
      </c>
      <c r="Q376">
        <f t="shared" si="94"/>
        <v>67.648499999999999</v>
      </c>
      <c r="R376">
        <f t="shared" si="95"/>
        <v>58.848500000000001</v>
      </c>
      <c r="S376">
        <f t="shared" si="96"/>
        <v>5899.4903880000002</v>
      </c>
      <c r="U376">
        <f t="shared" si="83"/>
        <v>0.42532799999999998</v>
      </c>
      <c r="V376">
        <f t="shared" si="97"/>
        <v>1650.0004300799999</v>
      </c>
      <c r="W376">
        <f t="shared" si="84"/>
        <v>19.139759999999999</v>
      </c>
      <c r="X376">
        <f t="shared" si="85"/>
        <v>3.3191406201599998</v>
      </c>
      <c r="Y376">
        <f t="shared" si="86"/>
        <v>15.82061937984</v>
      </c>
      <c r="Z376">
        <f t="shared" si="87"/>
        <v>39503.834311737191</v>
      </c>
      <c r="AB376">
        <f t="shared" si="88"/>
        <v>1.670757</v>
      </c>
      <c r="AC376">
        <f t="shared" si="89"/>
        <v>6481.4678755200002</v>
      </c>
      <c r="AD376">
        <f t="shared" si="90"/>
        <v>75.184065000000004</v>
      </c>
      <c r="AE376">
        <f t="shared" si="91"/>
        <v>13.03811981604</v>
      </c>
      <c r="AF376">
        <f t="shared" si="92"/>
        <v>62.145945183960002</v>
      </c>
      <c r="AG376">
        <f t="shared" si="98"/>
        <v>64876.819330074541</v>
      </c>
      <c r="AH376" t="b">
        <f t="shared" si="93"/>
        <v>1</v>
      </c>
    </row>
    <row r="377" spans="4:34" hidden="1" x14ac:dyDescent="0.4">
      <c r="D377" t="s">
        <v>58</v>
      </c>
      <c r="E377" t="s">
        <v>37</v>
      </c>
      <c r="F377" s="9">
        <v>45949.208333333336</v>
      </c>
      <c r="G377">
        <v>16.87</v>
      </c>
      <c r="H377" s="9">
        <v>45951.208333333336</v>
      </c>
      <c r="I377">
        <v>18.16</v>
      </c>
      <c r="J377">
        <v>445.87</v>
      </c>
      <c r="K377" s="12">
        <v>7521.9</v>
      </c>
      <c r="L377">
        <v>11.71</v>
      </c>
      <c r="M377">
        <v>563.46</v>
      </c>
      <c r="N377" s="13">
        <v>7.4899999999999994E-2</v>
      </c>
      <c r="O377" t="s">
        <v>38</v>
      </c>
      <c r="Q377">
        <f t="shared" si="94"/>
        <v>575.17229999999961</v>
      </c>
      <c r="R377">
        <f t="shared" si="95"/>
        <v>563.46229999999957</v>
      </c>
      <c r="S377">
        <f t="shared" si="96"/>
        <v>8096.9992000000002</v>
      </c>
      <c r="U377">
        <f t="shared" si="83"/>
        <v>97.806758000000002</v>
      </c>
      <c r="V377">
        <f t="shared" si="97"/>
        <v>1650.0000074600002</v>
      </c>
      <c r="W377">
        <f t="shared" si="84"/>
        <v>126.17071781999992</v>
      </c>
      <c r="X377">
        <f t="shared" si="85"/>
        <v>3.4261707327399997</v>
      </c>
      <c r="Y377">
        <f t="shared" si="86"/>
        <v>122.74454708725992</v>
      </c>
      <c r="Z377">
        <f t="shared" si="87"/>
        <v>39488.013692357352</v>
      </c>
      <c r="AB377">
        <f t="shared" si="88"/>
        <v>381.36380100000002</v>
      </c>
      <c r="AC377">
        <f t="shared" si="89"/>
        <v>6433.6073228700006</v>
      </c>
      <c r="AD377">
        <f t="shared" si="90"/>
        <v>491.9593032899997</v>
      </c>
      <c r="AE377">
        <f t="shared" si="91"/>
        <v>13.35917394903</v>
      </c>
      <c r="AF377">
        <f t="shared" si="92"/>
        <v>478.60012934096972</v>
      </c>
      <c r="AG377">
        <f t="shared" si="98"/>
        <v>64814.673384890579</v>
      </c>
      <c r="AH377" t="b">
        <f t="shared" si="93"/>
        <v>1</v>
      </c>
    </row>
    <row r="378" spans="4:34" hidden="1" x14ac:dyDescent="0.4">
      <c r="D378" t="s">
        <v>48</v>
      </c>
      <c r="E378" t="s">
        <v>37</v>
      </c>
      <c r="F378" s="9">
        <v>45949.125</v>
      </c>
      <c r="G378">
        <v>6.3500000000000001E-2</v>
      </c>
      <c r="H378" s="9">
        <v>45951.125</v>
      </c>
      <c r="I378">
        <v>6.54E-2</v>
      </c>
      <c r="J378" s="12">
        <v>47021.4</v>
      </c>
      <c r="K378" s="12">
        <v>2985.86</v>
      </c>
      <c r="L378">
        <v>4.55</v>
      </c>
      <c r="M378">
        <v>84.79</v>
      </c>
      <c r="N378" s="13">
        <v>2.8400000000000002E-2</v>
      </c>
      <c r="O378" t="s">
        <v>38</v>
      </c>
      <c r="Q378">
        <f t="shared" si="94"/>
        <v>89.340659999999957</v>
      </c>
      <c r="R378">
        <f t="shared" si="95"/>
        <v>84.79065999999996</v>
      </c>
      <c r="S378">
        <f t="shared" si="96"/>
        <v>3075.19956</v>
      </c>
      <c r="U378">
        <f t="shared" si="83"/>
        <v>25984.251969000001</v>
      </c>
      <c r="V378">
        <f t="shared" si="97"/>
        <v>1650.0000000315001</v>
      </c>
      <c r="W378">
        <f t="shared" si="84"/>
        <v>49.370078741099974</v>
      </c>
      <c r="X378">
        <f t="shared" si="85"/>
        <v>3.3493700788041005</v>
      </c>
      <c r="Y378">
        <f t="shared" si="86"/>
        <v>46.020708662295874</v>
      </c>
      <c r="Z378">
        <f t="shared" si="87"/>
        <v>39365.269145270089</v>
      </c>
      <c r="AB378">
        <f t="shared" si="88"/>
        <v>101034.851072</v>
      </c>
      <c r="AC378">
        <f t="shared" si="89"/>
        <v>6415.7130430720008</v>
      </c>
      <c r="AD378">
        <f t="shared" si="90"/>
        <v>191.96621703679989</v>
      </c>
      <c r="AE378">
        <f t="shared" si="91"/>
        <v>13.023392303180803</v>
      </c>
      <c r="AF378">
        <f t="shared" si="92"/>
        <v>178.94282473361909</v>
      </c>
      <c r="AG378">
        <f t="shared" si="98"/>
        <v>64336.073255549607</v>
      </c>
      <c r="AH378" t="b">
        <f t="shared" si="93"/>
        <v>1</v>
      </c>
    </row>
    <row r="379" spans="4:34" hidden="1" x14ac:dyDescent="0.4">
      <c r="D379" t="s">
        <v>43</v>
      </c>
      <c r="E379" t="s">
        <v>37</v>
      </c>
      <c r="F379" s="9">
        <v>45948.666666666664</v>
      </c>
      <c r="G379">
        <v>2.4868000000000001</v>
      </c>
      <c r="H379" s="9">
        <v>45950.666666666664</v>
      </c>
      <c r="I379">
        <v>2.6215000000000002</v>
      </c>
      <c r="J379">
        <v>781.1</v>
      </c>
      <c r="K379" s="12">
        <v>1942.46</v>
      </c>
      <c r="L379">
        <v>2.99</v>
      </c>
      <c r="M379">
        <v>102.22</v>
      </c>
      <c r="N379" s="13">
        <v>5.2600000000000001E-2</v>
      </c>
      <c r="O379" t="s">
        <v>38</v>
      </c>
      <c r="Q379">
        <f t="shared" si="94"/>
        <v>105.21417000000004</v>
      </c>
      <c r="R379">
        <f t="shared" si="95"/>
        <v>102.22417000000004</v>
      </c>
      <c r="S379">
        <f t="shared" si="96"/>
        <v>2047.6536500000002</v>
      </c>
      <c r="U379">
        <f t="shared" si="83"/>
        <v>663.50329699999998</v>
      </c>
      <c r="V379">
        <f t="shared" si="97"/>
        <v>1649.9999989795999</v>
      </c>
      <c r="W379">
        <f t="shared" si="84"/>
        <v>89.373894105900021</v>
      </c>
      <c r="X379">
        <f t="shared" si="85"/>
        <v>3.3893738920650995</v>
      </c>
      <c r="Y379">
        <f t="shared" si="86"/>
        <v>85.984520213834926</v>
      </c>
      <c r="Z379">
        <f t="shared" si="87"/>
        <v>39319.248436607792</v>
      </c>
      <c r="AB379">
        <f t="shared" si="88"/>
        <v>2566.5324559999999</v>
      </c>
      <c r="AC379">
        <f t="shared" si="89"/>
        <v>6382.4529115808</v>
      </c>
      <c r="AD379">
        <f t="shared" si="90"/>
        <v>345.7119218232001</v>
      </c>
      <c r="AE379">
        <f t="shared" si="91"/>
        <v>13.110617744984799</v>
      </c>
      <c r="AF379">
        <f t="shared" si="92"/>
        <v>332.60130407821532</v>
      </c>
      <c r="AG379">
        <f t="shared" si="98"/>
        <v>64157.130430815989</v>
      </c>
      <c r="AH379" t="b">
        <f t="shared" si="93"/>
        <v>1</v>
      </c>
    </row>
    <row r="380" spans="4:34" hidden="1" x14ac:dyDescent="0.4">
      <c r="D380" t="s">
        <v>60</v>
      </c>
      <c r="E380" t="s">
        <v>37</v>
      </c>
      <c r="F380" s="9">
        <v>45948.083333333336</v>
      </c>
      <c r="G380">
        <v>2.3111000000000002</v>
      </c>
      <c r="H380" s="9">
        <v>45950.583333333336</v>
      </c>
      <c r="I380">
        <v>2.4539</v>
      </c>
      <c r="J380">
        <v>982.8</v>
      </c>
      <c r="K380" s="12">
        <v>2271.54</v>
      </c>
      <c r="L380">
        <v>3.51</v>
      </c>
      <c r="M380">
        <v>136.83000000000001</v>
      </c>
      <c r="N380" s="13">
        <v>6.0199999999999997E-2</v>
      </c>
      <c r="O380" t="s">
        <v>57</v>
      </c>
      <c r="Q380">
        <f t="shared" si="94"/>
        <v>140.3438399999998</v>
      </c>
      <c r="R380">
        <f t="shared" si="95"/>
        <v>136.83383999999981</v>
      </c>
      <c r="S380">
        <f t="shared" si="96"/>
        <v>2411.69292</v>
      </c>
      <c r="U380">
        <f t="shared" si="83"/>
        <v>713.94574</v>
      </c>
      <c r="V380">
        <f t="shared" si="97"/>
        <v>1649.9999997140001</v>
      </c>
      <c r="W380">
        <f t="shared" si="84"/>
        <v>101.95145167199986</v>
      </c>
      <c r="X380">
        <f t="shared" si="85"/>
        <v>3.4019514511000009</v>
      </c>
      <c r="Y380">
        <f t="shared" si="86"/>
        <v>98.549500220899859</v>
      </c>
      <c r="Z380">
        <f t="shared" si="87"/>
        <v>39233.263916393953</v>
      </c>
      <c r="AB380">
        <f t="shared" si="88"/>
        <v>2745.254981</v>
      </c>
      <c r="AC380">
        <f t="shared" si="89"/>
        <v>6344.5587865891002</v>
      </c>
      <c r="AD380">
        <f t="shared" si="90"/>
        <v>392.02241128679952</v>
      </c>
      <c r="AE380">
        <f t="shared" si="91"/>
        <v>13.081139984465002</v>
      </c>
      <c r="AF380">
        <f t="shared" si="92"/>
        <v>378.94127130233454</v>
      </c>
      <c r="AG380">
        <f t="shared" si="98"/>
        <v>63824.529126737776</v>
      </c>
      <c r="AH380" t="b">
        <f t="shared" si="93"/>
        <v>1</v>
      </c>
    </row>
    <row r="381" spans="4:34" hidden="1" x14ac:dyDescent="0.4">
      <c r="D381" t="s">
        <v>50</v>
      </c>
      <c r="E381" t="s">
        <v>37</v>
      </c>
      <c r="F381" s="9">
        <v>45948.333333333336</v>
      </c>
      <c r="G381" s="12">
        <v>398.1</v>
      </c>
      <c r="H381" s="9">
        <v>45950.333333333336</v>
      </c>
      <c r="I381" s="12">
        <v>451.5</v>
      </c>
      <c r="J381">
        <v>34.005299999999998</v>
      </c>
      <c r="K381" s="12">
        <v>13537.53</v>
      </c>
      <c r="L381">
        <v>21.67</v>
      </c>
      <c r="M381" s="12">
        <v>1794.21</v>
      </c>
      <c r="N381" s="13">
        <v>0.13250000000000001</v>
      </c>
      <c r="O381" t="s">
        <v>38</v>
      </c>
      <c r="Q381">
        <f t="shared" si="94"/>
        <v>1815.8830199999991</v>
      </c>
      <c r="R381">
        <f t="shared" si="95"/>
        <v>1794.213019999999</v>
      </c>
      <c r="S381">
        <f t="shared" si="96"/>
        <v>15353.392949999999</v>
      </c>
      <c r="U381">
        <f t="shared" si="83"/>
        <v>4.1446870000000002</v>
      </c>
      <c r="V381">
        <f t="shared" si="97"/>
        <v>1649.9998947000001</v>
      </c>
      <c r="W381">
        <f t="shared" si="84"/>
        <v>221.32628579999991</v>
      </c>
      <c r="X381">
        <f t="shared" si="85"/>
        <v>3.5213260752000002</v>
      </c>
      <c r="Y381">
        <f t="shared" si="86"/>
        <v>217.80495972479991</v>
      </c>
      <c r="Z381">
        <f t="shared" si="87"/>
        <v>39134.714416173054</v>
      </c>
      <c r="AB381">
        <f t="shared" si="88"/>
        <v>15.729464999999999</v>
      </c>
      <c r="AC381">
        <f t="shared" si="89"/>
        <v>6261.9000164999998</v>
      </c>
      <c r="AD381">
        <f t="shared" si="90"/>
        <v>839.95343099999957</v>
      </c>
      <c r="AE381">
        <f t="shared" si="91"/>
        <v>13.363753464</v>
      </c>
      <c r="AF381">
        <f t="shared" si="92"/>
        <v>826.58967753599961</v>
      </c>
      <c r="AG381">
        <f t="shared" si="98"/>
        <v>63445.587855435442</v>
      </c>
      <c r="AH381" t="b">
        <f t="shared" si="93"/>
        <v>1</v>
      </c>
    </row>
    <row r="382" spans="4:34" hidden="1" x14ac:dyDescent="0.4">
      <c r="D382" t="s">
        <v>55</v>
      </c>
      <c r="E382" t="s">
        <v>37</v>
      </c>
      <c r="F382" s="9">
        <v>45948.208333333336</v>
      </c>
      <c r="G382">
        <v>4.0540000000000001E-5</v>
      </c>
      <c r="H382" s="9">
        <v>45950.208333333336</v>
      </c>
      <c r="I382">
        <v>4.2429999999999999E-5</v>
      </c>
      <c r="J382" s="12">
        <v>145492309.44999999</v>
      </c>
      <c r="K382" s="12">
        <v>5898.26</v>
      </c>
      <c r="L382">
        <v>9.0500000000000007</v>
      </c>
      <c r="M382">
        <v>265.93</v>
      </c>
      <c r="N382" s="13">
        <v>4.5100000000000001E-2</v>
      </c>
      <c r="O382" t="s">
        <v>38</v>
      </c>
      <c r="Q382">
        <f t="shared" si="94"/>
        <v>274.98046486049958</v>
      </c>
      <c r="R382">
        <f t="shared" si="95"/>
        <v>265.93046486049957</v>
      </c>
      <c r="S382">
        <f t="shared" si="96"/>
        <v>6173.2386899634994</v>
      </c>
      <c r="U382">
        <f t="shared" si="83"/>
        <v>40700542.673901998</v>
      </c>
      <c r="V382">
        <f t="shared" si="97"/>
        <v>1649.999999999987</v>
      </c>
      <c r="W382">
        <f t="shared" si="84"/>
        <v>76.924025653674661</v>
      </c>
      <c r="X382">
        <f t="shared" si="85"/>
        <v>3.3769240256536492</v>
      </c>
      <c r="Y382">
        <f t="shared" si="86"/>
        <v>73.547101628021011</v>
      </c>
      <c r="Z382">
        <f t="shared" si="87"/>
        <v>38916.909456448251</v>
      </c>
      <c r="AB382">
        <f t="shared" si="88"/>
        <v>153776810.23311299</v>
      </c>
      <c r="AC382">
        <f t="shared" si="89"/>
        <v>6234.1118868504009</v>
      </c>
      <c r="AD382">
        <f t="shared" si="90"/>
        <v>290.63817134058314</v>
      </c>
      <c r="AE382">
        <f t="shared" si="91"/>
        <v>12.758861945041385</v>
      </c>
      <c r="AF382">
        <f t="shared" si="92"/>
        <v>277.87930939554178</v>
      </c>
      <c r="AG382">
        <f t="shared" si="98"/>
        <v>62618.998177899441</v>
      </c>
      <c r="AH382" t="b">
        <f t="shared" si="93"/>
        <v>1</v>
      </c>
    </row>
    <row r="383" spans="4:34" hidden="1" x14ac:dyDescent="0.4">
      <c r="D383" t="s">
        <v>54</v>
      </c>
      <c r="E383" t="s">
        <v>37</v>
      </c>
      <c r="F383" s="9">
        <v>45948.125</v>
      </c>
      <c r="G383">
        <v>184.69</v>
      </c>
      <c r="H383" s="9">
        <v>45950.125</v>
      </c>
      <c r="I383">
        <v>185.76</v>
      </c>
      <c r="J383" s="12">
        <v>27.774000000000001</v>
      </c>
      <c r="K383" s="12">
        <v>5129.67</v>
      </c>
      <c r="L383">
        <v>7.72</v>
      </c>
      <c r="M383">
        <v>22</v>
      </c>
      <c r="N383" s="13">
        <v>4.3E-3</v>
      </c>
      <c r="O383" t="s">
        <v>38</v>
      </c>
      <c r="Q383">
        <f t="shared" si="94"/>
        <v>29.718179999999812</v>
      </c>
      <c r="R383">
        <f t="shared" si="95"/>
        <v>21.998179999999813</v>
      </c>
      <c r="S383">
        <f t="shared" si="96"/>
        <v>5159.2982400000001</v>
      </c>
      <c r="U383">
        <f t="shared" si="83"/>
        <v>8.9338890000000006</v>
      </c>
      <c r="V383">
        <f t="shared" si="97"/>
        <v>1649.9999594100002</v>
      </c>
      <c r="W383">
        <f t="shared" si="84"/>
        <v>9.5592612299999402</v>
      </c>
      <c r="X383">
        <f t="shared" si="85"/>
        <v>3.3095591800500004</v>
      </c>
      <c r="Y383">
        <f t="shared" si="86"/>
        <v>6.2497020499499403</v>
      </c>
      <c r="Z383">
        <f t="shared" si="87"/>
        <v>38843.36235482023</v>
      </c>
      <c r="AB383">
        <f t="shared" si="88"/>
        <v>33.741683000000002</v>
      </c>
      <c r="AC383">
        <f t="shared" si="89"/>
        <v>6231.7514332700002</v>
      </c>
      <c r="AD383">
        <f t="shared" si="90"/>
        <v>36.103600809999769</v>
      </c>
      <c r="AE383">
        <f t="shared" si="91"/>
        <v>12.49960646735</v>
      </c>
      <c r="AF383">
        <f t="shared" si="92"/>
        <v>23.60399434264977</v>
      </c>
      <c r="AG383">
        <f t="shared" si="98"/>
        <v>62341.118868503901</v>
      </c>
      <c r="AH383" t="b">
        <f t="shared" si="93"/>
        <v>1</v>
      </c>
    </row>
    <row r="384" spans="4:34" hidden="1" x14ac:dyDescent="0.4">
      <c r="D384" t="s">
        <v>61</v>
      </c>
      <c r="E384" t="s">
        <v>37</v>
      </c>
      <c r="F384" s="9">
        <v>45948.083333333336</v>
      </c>
      <c r="G384">
        <v>0.628</v>
      </c>
      <c r="H384" s="9">
        <v>45950.083333333336</v>
      </c>
      <c r="I384">
        <v>0.64670000000000005</v>
      </c>
      <c r="J384" s="12">
        <v>13706.1</v>
      </c>
      <c r="K384" s="12">
        <v>8607.4599999999991</v>
      </c>
      <c r="L384">
        <v>13.1</v>
      </c>
      <c r="M384">
        <v>243.2</v>
      </c>
      <c r="N384" s="13">
        <v>2.8299999999999999E-2</v>
      </c>
      <c r="O384" t="s">
        <v>38</v>
      </c>
      <c r="Q384">
        <f t="shared" si="94"/>
        <v>256.30407000000071</v>
      </c>
      <c r="R384">
        <f t="shared" si="95"/>
        <v>243.20407000000071</v>
      </c>
      <c r="S384">
        <f t="shared" si="96"/>
        <v>8863.7348700000002</v>
      </c>
      <c r="U384">
        <f t="shared" si="83"/>
        <v>2627.388535</v>
      </c>
      <c r="V384">
        <f t="shared" si="97"/>
        <v>1649.99999998</v>
      </c>
      <c r="W384">
        <f t="shared" si="84"/>
        <v>49.13216560450013</v>
      </c>
      <c r="X384">
        <f t="shared" si="85"/>
        <v>3.3491321655645003</v>
      </c>
      <c r="Y384">
        <f t="shared" si="86"/>
        <v>45.783033438935632</v>
      </c>
      <c r="Z384">
        <f t="shared" si="87"/>
        <v>38837.11265277028</v>
      </c>
      <c r="AB384">
        <f t="shared" si="88"/>
        <v>9895.7132330000004</v>
      </c>
      <c r="AC384">
        <f t="shared" si="89"/>
        <v>6214.5079103240005</v>
      </c>
      <c r="AD384">
        <f t="shared" si="90"/>
        <v>185.04983745710049</v>
      </c>
      <c r="AE384">
        <f t="shared" si="91"/>
        <v>12.614065658105101</v>
      </c>
      <c r="AF384">
        <f t="shared" si="92"/>
        <v>172.4357717989954</v>
      </c>
      <c r="AG384">
        <f t="shared" si="98"/>
        <v>62317.51487416125</v>
      </c>
      <c r="AH384" t="b">
        <f t="shared" si="93"/>
        <v>1</v>
      </c>
    </row>
    <row r="385" spans="4:34" hidden="1" x14ac:dyDescent="0.4">
      <c r="D385" t="s">
        <v>60</v>
      </c>
      <c r="E385" t="s">
        <v>37</v>
      </c>
      <c r="F385" s="9">
        <v>45945.291666666664</v>
      </c>
      <c r="G385" s="12">
        <v>2.5011000000000001</v>
      </c>
      <c r="H385" s="9">
        <v>45947.791666666664</v>
      </c>
      <c r="I385" s="12">
        <v>2.2936000000000001</v>
      </c>
      <c r="J385">
        <v>915.9</v>
      </c>
      <c r="K385" s="12">
        <v>2290.87</v>
      </c>
      <c r="L385">
        <v>3.29</v>
      </c>
      <c r="M385">
        <v>-193.34</v>
      </c>
      <c r="N385" s="13">
        <v>-8.4400000000000003E-2</v>
      </c>
      <c r="O385" t="s">
        <v>57</v>
      </c>
      <c r="Q385">
        <f t="shared" si="94"/>
        <v>-190.04925</v>
      </c>
      <c r="R385">
        <f t="shared" si="95"/>
        <v>-193.33924999999999</v>
      </c>
      <c r="S385">
        <f t="shared" si="96"/>
        <v>2100.7082399999999</v>
      </c>
      <c r="U385">
        <f t="shared" si="83"/>
        <v>659.70972800000004</v>
      </c>
      <c r="V385">
        <f t="shared" si="97"/>
        <v>1650.0000007008002</v>
      </c>
      <c r="W385">
        <f t="shared" si="84"/>
        <v>-136.88976856000002</v>
      </c>
      <c r="X385">
        <f t="shared" si="85"/>
        <v>3.1631102328416008</v>
      </c>
      <c r="Y385">
        <f t="shared" si="86"/>
        <v>-140.05287879284162</v>
      </c>
      <c r="Z385">
        <f t="shared" si="87"/>
        <v>38791.329619331344</v>
      </c>
      <c r="AB385">
        <f t="shared" si="88"/>
        <v>2505.9807900000001</v>
      </c>
      <c r="AC385">
        <f t="shared" si="89"/>
        <v>6267.7085538690008</v>
      </c>
      <c r="AD385">
        <f t="shared" si="90"/>
        <v>-519.99101392500006</v>
      </c>
      <c r="AE385">
        <f t="shared" si="91"/>
        <v>12.015426093813002</v>
      </c>
      <c r="AF385">
        <f t="shared" si="92"/>
        <v>-532.00644001881301</v>
      </c>
      <c r="AG385">
        <f t="shared" si="98"/>
        <v>62145.079102362251</v>
      </c>
      <c r="AH385" t="b">
        <f t="shared" si="93"/>
        <v>1</v>
      </c>
    </row>
    <row r="386" spans="4:34" hidden="1" x14ac:dyDescent="0.4">
      <c r="D386" t="s">
        <v>55</v>
      </c>
      <c r="E386" t="s">
        <v>37</v>
      </c>
      <c r="F386" s="9">
        <v>45945.041666666664</v>
      </c>
      <c r="G386">
        <v>4.2459999999999997E-5</v>
      </c>
      <c r="H386" s="9">
        <v>45947.041666666664</v>
      </c>
      <c r="I386">
        <v>3.9879999999999998E-5</v>
      </c>
      <c r="J386" s="12">
        <v>139782983.15000001</v>
      </c>
      <c r="K386" s="12">
        <v>5935.19</v>
      </c>
      <c r="L386">
        <v>8.6300000000000008</v>
      </c>
      <c r="M386">
        <v>-369.27</v>
      </c>
      <c r="N386" s="13">
        <v>-6.2199999999999998E-2</v>
      </c>
      <c r="O386" t="s">
        <v>38</v>
      </c>
      <c r="Q386">
        <f t="shared" si="94"/>
        <v>-360.64009652699986</v>
      </c>
      <c r="R386">
        <f t="shared" si="95"/>
        <v>-369.27009652699985</v>
      </c>
      <c r="S386">
        <f t="shared" si="96"/>
        <v>5574.5453680219998</v>
      </c>
      <c r="U386">
        <f t="shared" si="83"/>
        <v>38860103.626943</v>
      </c>
      <c r="V386">
        <f t="shared" si="97"/>
        <v>1649.9999999999995</v>
      </c>
      <c r="W386">
        <f t="shared" si="84"/>
        <v>-100.2590673575129</v>
      </c>
      <c r="X386">
        <f t="shared" si="85"/>
        <v>3.199740932642487</v>
      </c>
      <c r="Y386">
        <f t="shared" si="86"/>
        <v>-103.45880829015539</v>
      </c>
      <c r="Z386">
        <f t="shared" si="87"/>
        <v>38931.382498124185</v>
      </c>
      <c r="AB386">
        <f t="shared" si="88"/>
        <v>148545843.34183699</v>
      </c>
      <c r="AC386">
        <f t="shared" si="89"/>
        <v>6307.2565082943984</v>
      </c>
      <c r="AD386">
        <f t="shared" si="90"/>
        <v>-383.24827582193927</v>
      </c>
      <c r="AE386">
        <f t="shared" si="91"/>
        <v>12.231264740766859</v>
      </c>
      <c r="AF386">
        <f t="shared" si="92"/>
        <v>-395.47954056270612</v>
      </c>
      <c r="AG386">
        <f t="shared" si="98"/>
        <v>62677.085542381064</v>
      </c>
      <c r="AH386" t="b">
        <f t="shared" si="93"/>
        <v>1</v>
      </c>
    </row>
    <row r="387" spans="4:34" hidden="1" x14ac:dyDescent="0.4">
      <c r="D387" t="s">
        <v>48</v>
      </c>
      <c r="E387" t="s">
        <v>37</v>
      </c>
      <c r="F387" s="9">
        <v>45945</v>
      </c>
      <c r="G387">
        <v>7.4999999999999997E-2</v>
      </c>
      <c r="H387" s="9">
        <v>45947</v>
      </c>
      <c r="I387">
        <v>6.6900000000000001E-2</v>
      </c>
      <c r="J387" s="12">
        <v>40251.800000000003</v>
      </c>
      <c r="K387" s="12">
        <v>3018.89</v>
      </c>
      <c r="L387">
        <v>4.28</v>
      </c>
      <c r="M387">
        <v>-330.32</v>
      </c>
      <c r="N387" s="13">
        <v>-0.1094</v>
      </c>
      <c r="O387" t="s">
        <v>38</v>
      </c>
      <c r="Q387">
        <f t="shared" si="94"/>
        <v>-326.03957999999989</v>
      </c>
      <c r="R387">
        <f t="shared" si="95"/>
        <v>-330.31957999999986</v>
      </c>
      <c r="S387">
        <f t="shared" si="96"/>
        <v>2692.8454200000001</v>
      </c>
      <c r="U387">
        <f t="shared" si="83"/>
        <v>22000</v>
      </c>
      <c r="V387">
        <f t="shared" si="97"/>
        <v>1650</v>
      </c>
      <c r="W387">
        <f t="shared" si="84"/>
        <v>-178.1999999999999</v>
      </c>
      <c r="X387">
        <f t="shared" si="85"/>
        <v>3.1218000000000004</v>
      </c>
      <c r="Y387">
        <f t="shared" si="86"/>
        <v>-181.32179999999991</v>
      </c>
      <c r="Z387">
        <f t="shared" si="87"/>
        <v>39034.841306414339</v>
      </c>
      <c r="AB387">
        <f t="shared" si="88"/>
        <v>85031.178065999993</v>
      </c>
      <c r="AC387">
        <f t="shared" si="89"/>
        <v>6377.3383549499995</v>
      </c>
      <c r="AD387">
        <f t="shared" si="90"/>
        <v>-688.75254233459964</v>
      </c>
      <c r="AE387">
        <f t="shared" si="91"/>
        <v>12.065924167565399</v>
      </c>
      <c r="AF387">
        <f t="shared" si="92"/>
        <v>-700.81846650216505</v>
      </c>
      <c r="AG387">
        <f t="shared" si="98"/>
        <v>63072.565082943773</v>
      </c>
      <c r="AH387" t="b">
        <f t="shared" si="93"/>
        <v>1</v>
      </c>
    </row>
    <row r="388" spans="4:34" hidden="1" x14ac:dyDescent="0.4">
      <c r="D388" t="s">
        <v>43</v>
      </c>
      <c r="E388" t="s">
        <v>37</v>
      </c>
      <c r="F388" s="9">
        <v>45944.958333333336</v>
      </c>
      <c r="G388">
        <v>2.8254999999999999</v>
      </c>
      <c r="H388" s="9">
        <v>45946.958333333336</v>
      </c>
      <c r="I388">
        <v>2.5505</v>
      </c>
      <c r="J388">
        <v>694.3</v>
      </c>
      <c r="K388" s="12">
        <v>1961.84</v>
      </c>
      <c r="L388">
        <v>2.8</v>
      </c>
      <c r="M388">
        <v>-193.73</v>
      </c>
      <c r="N388" s="13">
        <v>-9.8799999999999999E-2</v>
      </c>
      <c r="O388" t="s">
        <v>38</v>
      </c>
      <c r="Q388">
        <f t="shared" si="94"/>
        <v>-190.93249999999992</v>
      </c>
      <c r="R388">
        <f t="shared" si="95"/>
        <v>-193.73249999999993</v>
      </c>
      <c r="S388">
        <f t="shared" si="96"/>
        <v>1770.81215</v>
      </c>
      <c r="U388">
        <f t="shared" si="83"/>
        <v>583.96743900000001</v>
      </c>
      <c r="V388">
        <f t="shared" si="97"/>
        <v>1649.9999988944999</v>
      </c>
      <c r="W388">
        <f t="shared" si="84"/>
        <v>-160.59104572499996</v>
      </c>
      <c r="X388">
        <f t="shared" si="85"/>
        <v>3.1394089520640001</v>
      </c>
      <c r="Y388">
        <f t="shared" si="86"/>
        <v>-163.73045467706396</v>
      </c>
      <c r="Z388">
        <f t="shared" si="87"/>
        <v>39216.163106414337</v>
      </c>
      <c r="AB388">
        <f t="shared" si="88"/>
        <v>2279.6868890000001</v>
      </c>
      <c r="AC388">
        <f t="shared" si="89"/>
        <v>6441.2553048694999</v>
      </c>
      <c r="AD388">
        <f t="shared" si="90"/>
        <v>-626.91389447499978</v>
      </c>
      <c r="AE388">
        <f t="shared" si="91"/>
        <v>12.255596715264</v>
      </c>
      <c r="AF388">
        <f t="shared" si="92"/>
        <v>-639.16949119026378</v>
      </c>
      <c r="AG388">
        <f t="shared" si="98"/>
        <v>63773.383549445934</v>
      </c>
      <c r="AH388" t="b">
        <f t="shared" si="93"/>
        <v>1</v>
      </c>
    </row>
    <row r="389" spans="4:34" hidden="1" x14ac:dyDescent="0.4">
      <c r="D389" t="s">
        <v>56</v>
      </c>
      <c r="E389" t="s">
        <v>37</v>
      </c>
      <c r="F389" s="9">
        <v>45946.458333333336</v>
      </c>
      <c r="G389" s="12">
        <v>4031.66</v>
      </c>
      <c r="H389" s="9">
        <v>45946.708333333336</v>
      </c>
      <c r="I389" s="12">
        <v>3931.06</v>
      </c>
      <c r="J389">
        <v>1.4502999999999999</v>
      </c>
      <c r="K389" s="12">
        <v>5847.42</v>
      </c>
      <c r="L389">
        <v>8.66</v>
      </c>
      <c r="M389">
        <v>-154.56</v>
      </c>
      <c r="N389" s="13">
        <v>-2.64E-2</v>
      </c>
      <c r="O389" t="s">
        <v>49</v>
      </c>
      <c r="Q389">
        <f t="shared" si="94"/>
        <v>-145.90017999999986</v>
      </c>
      <c r="R389">
        <f t="shared" si="95"/>
        <v>-154.56017999999986</v>
      </c>
      <c r="S389">
        <f t="shared" si="96"/>
        <v>5701.2163179999998</v>
      </c>
      <c r="U389">
        <f t="shared" si="83"/>
        <v>0.40926099999999999</v>
      </c>
      <c r="V389">
        <f t="shared" si="97"/>
        <v>1650.0012032599998</v>
      </c>
      <c r="W389">
        <f t="shared" si="84"/>
        <v>-41.171656599999963</v>
      </c>
      <c r="X389">
        <f t="shared" si="85"/>
        <v>3.2588307499199995</v>
      </c>
      <c r="Y389">
        <f t="shared" si="86"/>
        <v>-44.430487349919964</v>
      </c>
      <c r="Z389">
        <f t="shared" si="87"/>
        <v>39379.893561091398</v>
      </c>
      <c r="AB389">
        <f t="shared" si="88"/>
        <v>1.601982</v>
      </c>
      <c r="AC389">
        <f t="shared" si="89"/>
        <v>6458.6467501199995</v>
      </c>
      <c r="AD389">
        <f t="shared" si="90"/>
        <v>-161.15938919999985</v>
      </c>
      <c r="AE389">
        <f t="shared" si="91"/>
        <v>12.756134111039998</v>
      </c>
      <c r="AF389">
        <f t="shared" si="92"/>
        <v>-173.91552331103986</v>
      </c>
      <c r="AG389">
        <f t="shared" si="98"/>
        <v>64412.553040636201</v>
      </c>
      <c r="AH389" t="b">
        <f t="shared" si="93"/>
        <v>1</v>
      </c>
    </row>
    <row r="390" spans="4:34" hidden="1" x14ac:dyDescent="0.4">
      <c r="D390" t="s">
        <v>58</v>
      </c>
      <c r="E390" t="s">
        <v>37</v>
      </c>
      <c r="F390" s="9">
        <v>45944.708333333336</v>
      </c>
      <c r="G390">
        <v>19.05</v>
      </c>
      <c r="H390" s="9">
        <v>45946.708333333336</v>
      </c>
      <c r="I390">
        <v>17.670000000000002</v>
      </c>
      <c r="J390">
        <v>397.78</v>
      </c>
      <c r="K390" s="12">
        <v>7577.89</v>
      </c>
      <c r="L390">
        <v>10.95</v>
      </c>
      <c r="M390">
        <v>-559.89</v>
      </c>
      <c r="N390" s="13">
        <v>-7.3899999999999993E-2</v>
      </c>
      <c r="O390" t="s">
        <v>38</v>
      </c>
      <c r="Q390">
        <f t="shared" si="94"/>
        <v>-548.93639999999959</v>
      </c>
      <c r="R390">
        <f t="shared" si="95"/>
        <v>-559.88639999999964</v>
      </c>
      <c r="S390">
        <f t="shared" si="96"/>
        <v>7028.7726000000002</v>
      </c>
      <c r="U390">
        <f t="shared" si="83"/>
        <v>86.614172999999994</v>
      </c>
      <c r="V390">
        <f t="shared" si="97"/>
        <v>1649.9999956499998</v>
      </c>
      <c r="W390">
        <f t="shared" si="84"/>
        <v>-119.5275587399999</v>
      </c>
      <c r="X390">
        <f t="shared" si="85"/>
        <v>3.1804724325599998</v>
      </c>
      <c r="Y390">
        <f t="shared" si="86"/>
        <v>-122.7080311725599</v>
      </c>
      <c r="Z390">
        <f t="shared" si="87"/>
        <v>39424.324048441318</v>
      </c>
      <c r="AB390">
        <f t="shared" si="88"/>
        <v>341.57683600000001</v>
      </c>
      <c r="AC390">
        <f t="shared" si="89"/>
        <v>6507.0387258000001</v>
      </c>
      <c r="AD390">
        <f t="shared" si="90"/>
        <v>-471.37603367999969</v>
      </c>
      <c r="AE390">
        <f t="shared" si="91"/>
        <v>12.542701417920002</v>
      </c>
      <c r="AF390">
        <f t="shared" si="92"/>
        <v>-483.91873509791969</v>
      </c>
      <c r="AG390">
        <f t="shared" si="98"/>
        <v>64586.468563947245</v>
      </c>
      <c r="AH390" t="b">
        <f t="shared" si="93"/>
        <v>1</v>
      </c>
    </row>
    <row r="391" spans="4:34" hidden="1" x14ac:dyDescent="0.4">
      <c r="D391" t="s">
        <v>52</v>
      </c>
      <c r="E391" t="s">
        <v>37</v>
      </c>
      <c r="F391" s="9">
        <v>45944.625</v>
      </c>
      <c r="G391">
        <v>3.4409999999999998</v>
      </c>
      <c r="H391" s="9">
        <v>45946.625</v>
      </c>
      <c r="I391">
        <v>3.3439999999999999</v>
      </c>
      <c r="J391">
        <v>690.88</v>
      </c>
      <c r="K391" s="12">
        <v>2377.33</v>
      </c>
      <c r="L391">
        <v>3.52</v>
      </c>
      <c r="M391">
        <v>-70.53</v>
      </c>
      <c r="N391" s="13">
        <v>-2.9700000000000001E-2</v>
      </c>
      <c r="O391" t="s">
        <v>38</v>
      </c>
      <c r="Q391">
        <f t="shared" si="94"/>
        <v>-67.015359999999987</v>
      </c>
      <c r="R391">
        <f t="shared" si="95"/>
        <v>-70.535359999999983</v>
      </c>
      <c r="S391">
        <f t="shared" si="96"/>
        <v>2310.3027199999997</v>
      </c>
      <c r="U391">
        <f t="shared" si="83"/>
        <v>479.51177000000001</v>
      </c>
      <c r="V391">
        <f t="shared" si="97"/>
        <v>1650.0000005699999</v>
      </c>
      <c r="W391">
        <f t="shared" si="84"/>
        <v>-46.512641689999988</v>
      </c>
      <c r="X391">
        <f t="shared" si="85"/>
        <v>3.2534873594500002</v>
      </c>
      <c r="Y391">
        <f t="shared" si="86"/>
        <v>-49.766129049449987</v>
      </c>
      <c r="Z391">
        <f t="shared" si="87"/>
        <v>39547.032079613877</v>
      </c>
      <c r="AB391">
        <f t="shared" si="88"/>
        <v>1896.7521569999999</v>
      </c>
      <c r="AC391">
        <f t="shared" si="89"/>
        <v>6526.724172236999</v>
      </c>
      <c r="AD391">
        <f t="shared" si="90"/>
        <v>-183.98495922899994</v>
      </c>
      <c r="AE391">
        <f t="shared" si="91"/>
        <v>12.869463385245</v>
      </c>
      <c r="AF391">
        <f t="shared" si="92"/>
        <v>-196.85442261424495</v>
      </c>
      <c r="AG391">
        <f t="shared" si="98"/>
        <v>65070.387299045164</v>
      </c>
      <c r="AH391" t="b">
        <f t="shared" si="93"/>
        <v>1</v>
      </c>
    </row>
    <row r="392" spans="4:34" hidden="1" x14ac:dyDescent="0.4">
      <c r="D392" t="s">
        <v>54</v>
      </c>
      <c r="E392" t="s">
        <v>37</v>
      </c>
      <c r="F392" s="9">
        <v>45944.625</v>
      </c>
      <c r="G392" s="12">
        <v>195.17</v>
      </c>
      <c r="H392" s="9">
        <v>45946.625</v>
      </c>
      <c r="I392" s="12">
        <v>195.91</v>
      </c>
      <c r="J392">
        <v>26.277000000000001</v>
      </c>
      <c r="K392" s="12">
        <v>5128.49</v>
      </c>
      <c r="L392">
        <v>7.71</v>
      </c>
      <c r="M392">
        <v>11.74</v>
      </c>
      <c r="N392" s="13">
        <v>2.3E-3</v>
      </c>
      <c r="O392" t="s">
        <v>38</v>
      </c>
      <c r="Q392">
        <f t="shared" si="94"/>
        <v>19.444980000000239</v>
      </c>
      <c r="R392">
        <f t="shared" si="95"/>
        <v>11.734980000000238</v>
      </c>
      <c r="S392">
        <f t="shared" si="96"/>
        <v>5147.9270699999997</v>
      </c>
      <c r="U392">
        <f t="shared" si="83"/>
        <v>8.4541679999999992</v>
      </c>
      <c r="V392">
        <f t="shared" si="97"/>
        <v>1649.9999685599998</v>
      </c>
      <c r="W392">
        <f t="shared" si="84"/>
        <v>6.2560843200000766</v>
      </c>
      <c r="X392">
        <f t="shared" si="85"/>
        <v>3.3062560214399994</v>
      </c>
      <c r="Y392">
        <f t="shared" si="86"/>
        <v>2.9498282985600772</v>
      </c>
      <c r="Z392">
        <f t="shared" si="87"/>
        <v>39596.798208663327</v>
      </c>
      <c r="AB392">
        <f t="shared" si="88"/>
        <v>33.435248999999999</v>
      </c>
      <c r="AC392">
        <f t="shared" si="89"/>
        <v>6525.5575473299996</v>
      </c>
      <c r="AD392">
        <f t="shared" si="90"/>
        <v>24.742084260000304</v>
      </c>
      <c r="AE392">
        <f t="shared" si="91"/>
        <v>13.07585717892</v>
      </c>
      <c r="AF392">
        <f t="shared" si="92"/>
        <v>11.666227081080304</v>
      </c>
      <c r="AG392">
        <f t="shared" si="98"/>
        <v>65267.241721659411</v>
      </c>
      <c r="AH392" t="b">
        <f t="shared" si="93"/>
        <v>1</v>
      </c>
    </row>
    <row r="393" spans="4:34" hidden="1" x14ac:dyDescent="0.4">
      <c r="D393" t="s">
        <v>61</v>
      </c>
      <c r="E393" t="s">
        <v>37</v>
      </c>
      <c r="F393" s="9">
        <v>45944.625</v>
      </c>
      <c r="G393">
        <v>0.6754</v>
      </c>
      <c r="H393" s="9">
        <v>45946.625</v>
      </c>
      <c r="I393">
        <v>0.6734</v>
      </c>
      <c r="J393" s="12">
        <v>12749.9</v>
      </c>
      <c r="K393" s="12">
        <v>8611.2999999999993</v>
      </c>
      <c r="L393">
        <v>12.9</v>
      </c>
      <c r="M393">
        <v>-38.4</v>
      </c>
      <c r="N393" s="13">
        <v>-4.4999999999999997E-3</v>
      </c>
      <c r="O393" t="s">
        <v>38</v>
      </c>
      <c r="Q393">
        <f t="shared" si="94"/>
        <v>-25.499800000000022</v>
      </c>
      <c r="R393">
        <f t="shared" si="95"/>
        <v>-38.39980000000002</v>
      </c>
      <c r="S393">
        <f t="shared" si="96"/>
        <v>8585.7826599999989</v>
      </c>
      <c r="U393">
        <f t="shared" si="83"/>
        <v>2442.9967430000002</v>
      </c>
      <c r="V393">
        <f t="shared" si="97"/>
        <v>1650.0000002222</v>
      </c>
      <c r="W393">
        <f t="shared" si="84"/>
        <v>-4.8859934860000047</v>
      </c>
      <c r="X393">
        <f t="shared" si="85"/>
        <v>3.2951140069584004</v>
      </c>
      <c r="Y393">
        <f t="shared" si="86"/>
        <v>-8.1811074929584056</v>
      </c>
      <c r="Z393">
        <f t="shared" si="87"/>
        <v>39593.848380364769</v>
      </c>
      <c r="AB393">
        <f t="shared" si="88"/>
        <v>9666.5600930000001</v>
      </c>
      <c r="AC393">
        <f t="shared" si="89"/>
        <v>6528.7946868121999</v>
      </c>
      <c r="AD393">
        <f t="shared" si="90"/>
        <v>-19.333120186000016</v>
      </c>
      <c r="AE393">
        <f t="shared" si="91"/>
        <v>13.0382562534384</v>
      </c>
      <c r="AF393">
        <f t="shared" si="92"/>
        <v>-32.371376439438414</v>
      </c>
      <c r="AG393">
        <f t="shared" si="98"/>
        <v>65255.575494578334</v>
      </c>
      <c r="AH393" t="b">
        <f t="shared" si="93"/>
        <v>1</v>
      </c>
    </row>
    <row r="394" spans="4:34" hidden="1" x14ac:dyDescent="0.4">
      <c r="D394" t="s">
        <v>50</v>
      </c>
      <c r="E394" t="s">
        <v>37</v>
      </c>
      <c r="F394" s="9">
        <v>45944.625</v>
      </c>
      <c r="G394">
        <v>430.1</v>
      </c>
      <c r="H394" s="9">
        <v>45946.625</v>
      </c>
      <c r="I394">
        <v>402.5</v>
      </c>
      <c r="J394">
        <v>31.683199999999999</v>
      </c>
      <c r="K394" s="12">
        <v>13626.95</v>
      </c>
      <c r="L394">
        <v>19.78</v>
      </c>
      <c r="M394">
        <v>-894.24</v>
      </c>
      <c r="N394" s="13">
        <v>-6.5600000000000006E-2</v>
      </c>
      <c r="O394" t="s">
        <v>38</v>
      </c>
      <c r="Q394">
        <f t="shared" si="94"/>
        <v>-874.45632000000069</v>
      </c>
      <c r="R394">
        <f t="shared" si="95"/>
        <v>-894.23632000000066</v>
      </c>
      <c r="S394">
        <f t="shared" si="96"/>
        <v>12752.487999999999</v>
      </c>
      <c r="U394">
        <f t="shared" si="83"/>
        <v>3.8363170000000002</v>
      </c>
      <c r="V394">
        <f t="shared" si="97"/>
        <v>1649.9999417000001</v>
      </c>
      <c r="W394">
        <f t="shared" si="84"/>
        <v>-105.88234920000009</v>
      </c>
      <c r="X394">
        <f t="shared" si="85"/>
        <v>3.1941175342000001</v>
      </c>
      <c r="Y394">
        <f t="shared" si="86"/>
        <v>-109.0764667342001</v>
      </c>
      <c r="Z394">
        <f t="shared" si="87"/>
        <v>39602.029487857726</v>
      </c>
      <c r="AB394">
        <f t="shared" si="88"/>
        <v>15.28073</v>
      </c>
      <c r="AC394">
        <f t="shared" si="89"/>
        <v>6572.2419730000001</v>
      </c>
      <c r="AD394">
        <f t="shared" si="90"/>
        <v>-421.74814800000036</v>
      </c>
      <c r="AE394">
        <f t="shared" si="91"/>
        <v>12.722735798</v>
      </c>
      <c r="AF394">
        <f t="shared" si="92"/>
        <v>-434.47088379800033</v>
      </c>
      <c r="AG394">
        <f t="shared" si="98"/>
        <v>65287.946871017775</v>
      </c>
      <c r="AH394" t="b">
        <f t="shared" si="93"/>
        <v>1</v>
      </c>
    </row>
    <row r="395" spans="4:34" hidden="1" x14ac:dyDescent="0.4">
      <c r="D395" t="s">
        <v>56</v>
      </c>
      <c r="E395" t="s">
        <v>37</v>
      </c>
      <c r="F395" s="9">
        <v>45946.333333333336</v>
      </c>
      <c r="G395" s="12">
        <v>4043.77</v>
      </c>
      <c r="H395" s="9">
        <v>45946.458333333336</v>
      </c>
      <c r="I395" s="12">
        <v>3949.51</v>
      </c>
      <c r="J395">
        <v>1.4496</v>
      </c>
      <c r="K395" s="12">
        <v>5861.95</v>
      </c>
      <c r="L395">
        <v>8.69</v>
      </c>
      <c r="M395">
        <v>-145.34</v>
      </c>
      <c r="N395" s="13">
        <v>-2.4799999999999999E-2</v>
      </c>
      <c r="O395" t="s">
        <v>49</v>
      </c>
      <c r="Q395">
        <f t="shared" si="94"/>
        <v>-136.63929599999966</v>
      </c>
      <c r="R395">
        <f t="shared" si="95"/>
        <v>-145.32929599999966</v>
      </c>
      <c r="S395">
        <f t="shared" si="96"/>
        <v>5725.2096959999999</v>
      </c>
      <c r="U395">
        <f t="shared" si="83"/>
        <v>0.40803499999999998</v>
      </c>
      <c r="V395">
        <f t="shared" si="97"/>
        <v>1649.9996919499999</v>
      </c>
      <c r="W395">
        <f t="shared" si="84"/>
        <v>-38.461379099999903</v>
      </c>
      <c r="X395">
        <f t="shared" si="85"/>
        <v>3.2615380048000002</v>
      </c>
      <c r="Y395">
        <f t="shared" si="86"/>
        <v>-41.722917104799905</v>
      </c>
      <c r="Z395">
        <f t="shared" si="87"/>
        <v>39711.105954591927</v>
      </c>
      <c r="AB395">
        <f t="shared" si="88"/>
        <v>1.6293960000000001</v>
      </c>
      <c r="AC395">
        <f t="shared" si="89"/>
        <v>6588.9026629200007</v>
      </c>
      <c r="AD395">
        <f t="shared" si="90"/>
        <v>-153.58686695999961</v>
      </c>
      <c r="AE395">
        <f t="shared" si="91"/>
        <v>13.024218458880002</v>
      </c>
      <c r="AF395">
        <f t="shared" si="92"/>
        <v>-166.61108541887961</v>
      </c>
      <c r="AG395">
        <f t="shared" si="98"/>
        <v>65722.417754815775</v>
      </c>
      <c r="AH395" t="b">
        <f t="shared" si="93"/>
        <v>1</v>
      </c>
    </row>
    <row r="396" spans="4:34" hidden="1" x14ac:dyDescent="0.4">
      <c r="D396" t="s">
        <v>56</v>
      </c>
      <c r="E396" t="s">
        <v>37</v>
      </c>
      <c r="F396" s="9">
        <v>45945.166666666664</v>
      </c>
      <c r="G396" s="12">
        <v>4121.2700000000004</v>
      </c>
      <c r="H396" s="9">
        <v>45945.666666666664</v>
      </c>
      <c r="I396" s="12">
        <v>4004.8</v>
      </c>
      <c r="J396" s="12">
        <v>1.4266000000000001</v>
      </c>
      <c r="K396" s="12">
        <v>5879.44</v>
      </c>
      <c r="L396">
        <v>8.69</v>
      </c>
      <c r="M396">
        <v>-174.84</v>
      </c>
      <c r="N396" s="13">
        <v>-2.9700000000000001E-2</v>
      </c>
      <c r="O396" t="s">
        <v>49</v>
      </c>
      <c r="Q396">
        <f t="shared" si="94"/>
        <v>-166.15610200000037</v>
      </c>
      <c r="R396">
        <f t="shared" si="95"/>
        <v>-174.84610200000037</v>
      </c>
      <c r="S396">
        <f t="shared" si="96"/>
        <v>5713.2476800000004</v>
      </c>
      <c r="U396">
        <f t="shared" si="83"/>
        <v>0.400362</v>
      </c>
      <c r="V396">
        <f t="shared" si="97"/>
        <v>1649.99989974</v>
      </c>
      <c r="W396">
        <f t="shared" si="84"/>
        <v>-46.630162140000103</v>
      </c>
      <c r="X396">
        <f t="shared" si="85"/>
        <v>3.2533696373400001</v>
      </c>
      <c r="Y396">
        <f t="shared" si="86"/>
        <v>-49.883531777340103</v>
      </c>
      <c r="Z396">
        <f t="shared" si="87"/>
        <v>39752.828871696729</v>
      </c>
      <c r="AB396">
        <f t="shared" si="88"/>
        <v>1.603604</v>
      </c>
      <c r="AC396">
        <f t="shared" si="89"/>
        <v>6608.8850570800005</v>
      </c>
      <c r="AD396">
        <f t="shared" si="90"/>
        <v>-186.77175788000042</v>
      </c>
      <c r="AE396">
        <f t="shared" si="91"/>
        <v>13.030998356280001</v>
      </c>
      <c r="AF396">
        <f t="shared" si="92"/>
        <v>-199.80275623628043</v>
      </c>
      <c r="AG396">
        <f t="shared" si="98"/>
        <v>65889.028840234649</v>
      </c>
      <c r="AH396" t="b">
        <f t="shared" si="93"/>
        <v>1</v>
      </c>
    </row>
    <row r="397" spans="4:34" hidden="1" x14ac:dyDescent="0.4">
      <c r="D397" t="s">
        <v>60</v>
      </c>
      <c r="E397" t="s">
        <v>37</v>
      </c>
      <c r="F397" s="9">
        <v>45942.666666666664</v>
      </c>
      <c r="G397">
        <v>2.4422999999999999</v>
      </c>
      <c r="H397" s="9">
        <v>45945.166666666664</v>
      </c>
      <c r="I397">
        <v>2.5125999999999999</v>
      </c>
      <c r="J397">
        <v>935.4</v>
      </c>
      <c r="K397" s="12">
        <v>2284.64</v>
      </c>
      <c r="L397">
        <v>3.48</v>
      </c>
      <c r="M397">
        <v>62.28</v>
      </c>
      <c r="N397" s="13">
        <v>2.7300000000000001E-2</v>
      </c>
      <c r="O397" t="s">
        <v>57</v>
      </c>
      <c r="Q397">
        <f t="shared" si="94"/>
        <v>65.758620000000022</v>
      </c>
      <c r="R397">
        <f t="shared" si="95"/>
        <v>62.278620000000025</v>
      </c>
      <c r="S397">
        <f t="shared" si="96"/>
        <v>2350.28604</v>
      </c>
      <c r="U397">
        <f t="shared" ref="U397:U460" si="99">ROUND(($Q$2)/G397,6)</f>
        <v>675.59267899999998</v>
      </c>
      <c r="V397">
        <f t="shared" si="97"/>
        <v>1649.9999999216998</v>
      </c>
      <c r="W397">
        <f t="shared" ref="W397:W460" si="100">U397*(I397-G397)</f>
        <v>47.494165333700018</v>
      </c>
      <c r="X397">
        <f t="shared" ref="X397:X460" si="101">(G397+I397)*$R$2*U397</f>
        <v>3.3474941651771006</v>
      </c>
      <c r="Y397">
        <f t="shared" ref="Y397:Y460" si="102">W397-X397</f>
        <v>44.146671168522914</v>
      </c>
      <c r="Z397">
        <f t="shared" ref="Z397:Z460" si="103">Z398+Y397</f>
        <v>39802.71240347407</v>
      </c>
      <c r="AB397">
        <f t="shared" ref="AB397:AB460" si="104">ROUND(((AH397*AG398 +(1-AH397)*AI397)/$P$2)/G397,6)</f>
        <v>2698.7871709999999</v>
      </c>
      <c r="AC397">
        <f t="shared" ref="AC397:AC460" si="105">AB397*G397</f>
        <v>6591.2479077333001</v>
      </c>
      <c r="AD397">
        <f t="shared" ref="AD397:AD460" si="106">AB397*(I397-G397)</f>
        <v>189.72473812130008</v>
      </c>
      <c r="AE397">
        <f t="shared" ref="AE397:AE460" si="107">(G397+I397)*$R$2*AB397</f>
        <v>13.372220553587901</v>
      </c>
      <c r="AF397">
        <f t="shared" ref="AF397:AF460" si="108">AD397-AE397</f>
        <v>176.35251756771217</v>
      </c>
      <c r="AG397">
        <f t="shared" si="98"/>
        <v>66088.831596470933</v>
      </c>
      <c r="AH397" t="b">
        <f t="shared" ref="AH397:AH460" si="109">ISBLANK(AI397)</f>
        <v>1</v>
      </c>
    </row>
    <row r="398" spans="4:34" hidden="1" x14ac:dyDescent="0.4">
      <c r="D398" t="s">
        <v>59</v>
      </c>
      <c r="E398" t="s">
        <v>37</v>
      </c>
      <c r="F398" s="9">
        <v>45942.666666666664</v>
      </c>
      <c r="G398" s="12">
        <v>112387.23</v>
      </c>
      <c r="H398" s="9">
        <v>45945.166666666664</v>
      </c>
      <c r="I398" s="12">
        <v>112877</v>
      </c>
      <c r="J398">
        <v>9.4399999999999998E-2</v>
      </c>
      <c r="K398" s="12">
        <v>10609.68</v>
      </c>
      <c r="L398">
        <v>15.95</v>
      </c>
      <c r="M398">
        <v>30.29</v>
      </c>
      <c r="N398" s="13">
        <v>2.8999999999999998E-3</v>
      </c>
      <c r="O398" t="s">
        <v>57</v>
      </c>
      <c r="Q398">
        <f t="shared" ref="Q398:Q461" si="110">(I398-G398)*J398</f>
        <v>46.234288000000383</v>
      </c>
      <c r="R398">
        <f t="shared" ref="R398:R461" si="111">Q398-L398</f>
        <v>30.284288000000384</v>
      </c>
      <c r="S398">
        <f t="shared" ref="S398:S461" si="112">I398*J398</f>
        <v>10655.5888</v>
      </c>
      <c r="U398">
        <f t="shared" si="99"/>
        <v>1.4681E-2</v>
      </c>
      <c r="V398">
        <f t="shared" ref="V398:V461" si="113">U398*G398</f>
        <v>1649.9569236299999</v>
      </c>
      <c r="W398">
        <f t="shared" si="100"/>
        <v>7.1903133700000597</v>
      </c>
      <c r="X398">
        <f t="shared" si="101"/>
        <v>3.3071041606299998</v>
      </c>
      <c r="Y398">
        <f t="shared" si="102"/>
        <v>3.8832092093700599</v>
      </c>
      <c r="Z398">
        <f t="shared" si="103"/>
        <v>39758.565732305549</v>
      </c>
      <c r="AB398">
        <f t="shared" si="104"/>
        <v>5.8633999999999999E-2</v>
      </c>
      <c r="AC398">
        <f t="shared" si="105"/>
        <v>6589.7128438199998</v>
      </c>
      <c r="AD398">
        <f t="shared" si="106"/>
        <v>28.717174180000239</v>
      </c>
      <c r="AE398">
        <f t="shared" si="107"/>
        <v>13.208142861819999</v>
      </c>
      <c r="AF398">
        <f t="shared" si="108"/>
        <v>15.50903131818024</v>
      </c>
      <c r="AG398">
        <f t="shared" si="98"/>
        <v>65912.479078903227</v>
      </c>
      <c r="AH398" t="b">
        <f t="shared" si="109"/>
        <v>1</v>
      </c>
    </row>
    <row r="399" spans="4:34" hidden="1" x14ac:dyDescent="0.4">
      <c r="D399" t="s">
        <v>56</v>
      </c>
      <c r="E399" t="s">
        <v>37</v>
      </c>
      <c r="F399" s="9">
        <v>45942.583333333336</v>
      </c>
      <c r="G399" s="12">
        <v>3833.64</v>
      </c>
      <c r="H399" s="9">
        <v>45945.083333333336</v>
      </c>
      <c r="I399" s="12">
        <v>4121.76</v>
      </c>
      <c r="J399">
        <v>1.5224</v>
      </c>
      <c r="K399" s="12">
        <v>5836.48</v>
      </c>
      <c r="L399">
        <v>9.08</v>
      </c>
      <c r="M399">
        <v>429.55</v>
      </c>
      <c r="N399" s="13">
        <v>7.3599999999999999E-2</v>
      </c>
      <c r="O399" t="s">
        <v>57</v>
      </c>
      <c r="Q399">
        <f t="shared" si="110"/>
        <v>438.63388800000052</v>
      </c>
      <c r="R399">
        <f t="shared" si="111"/>
        <v>429.55388800000054</v>
      </c>
      <c r="S399">
        <f t="shared" si="112"/>
        <v>6274.9674240000004</v>
      </c>
      <c r="U399">
        <f t="shared" si="99"/>
        <v>0.4304</v>
      </c>
      <c r="V399">
        <f t="shared" si="113"/>
        <v>1649.998656</v>
      </c>
      <c r="W399">
        <f t="shared" si="100"/>
        <v>124.00684800000015</v>
      </c>
      <c r="X399">
        <f t="shared" si="101"/>
        <v>3.42400416</v>
      </c>
      <c r="Y399">
        <f t="shared" si="102"/>
        <v>120.58284384000015</v>
      </c>
      <c r="Z399">
        <f t="shared" si="103"/>
        <v>39754.682523096177</v>
      </c>
      <c r="AB399">
        <f t="shared" si="104"/>
        <v>1.7064429999999999</v>
      </c>
      <c r="AC399">
        <f t="shared" si="105"/>
        <v>6541.8881425199997</v>
      </c>
      <c r="AD399">
        <f t="shared" si="106"/>
        <v>491.66035716000056</v>
      </c>
      <c r="AE399">
        <f t="shared" si="107"/>
        <v>13.5754366422</v>
      </c>
      <c r="AF399">
        <f t="shared" si="108"/>
        <v>478.08492051780058</v>
      </c>
      <c r="AG399">
        <f t="shared" si="98"/>
        <v>65896.97004758504</v>
      </c>
      <c r="AH399" t="b">
        <f t="shared" si="109"/>
        <v>1</v>
      </c>
    </row>
    <row r="400" spans="4:34" hidden="1" x14ac:dyDescent="0.4">
      <c r="D400" t="s">
        <v>43</v>
      </c>
      <c r="E400" t="s">
        <v>37</v>
      </c>
      <c r="F400" s="9">
        <v>45942.666666666664</v>
      </c>
      <c r="G400">
        <v>2.6034999999999999</v>
      </c>
      <c r="H400" s="9">
        <v>45944.666666666664</v>
      </c>
      <c r="I400">
        <v>2.7389000000000001</v>
      </c>
      <c r="J400">
        <v>749.7</v>
      </c>
      <c r="K400" s="12">
        <v>1951.99</v>
      </c>
      <c r="L400">
        <v>3</v>
      </c>
      <c r="M400">
        <v>98.51</v>
      </c>
      <c r="N400" s="13">
        <v>5.0500000000000003E-2</v>
      </c>
      <c r="O400" t="s">
        <v>38</v>
      </c>
      <c r="Q400">
        <f t="shared" si="110"/>
        <v>101.50938000000015</v>
      </c>
      <c r="R400">
        <f t="shared" si="111"/>
        <v>98.509380000000149</v>
      </c>
      <c r="S400">
        <f t="shared" si="112"/>
        <v>2053.3533300000004</v>
      </c>
      <c r="U400">
        <f t="shared" si="99"/>
        <v>633.76224300000001</v>
      </c>
      <c r="V400">
        <f t="shared" si="113"/>
        <v>1649.9999996505001</v>
      </c>
      <c r="W400">
        <f t="shared" si="100"/>
        <v>85.811407702200114</v>
      </c>
      <c r="X400">
        <f t="shared" si="101"/>
        <v>3.3858114070031999</v>
      </c>
      <c r="Y400">
        <f t="shared" si="102"/>
        <v>82.425596295196911</v>
      </c>
      <c r="Z400">
        <f t="shared" si="103"/>
        <v>39634.099679256178</v>
      </c>
      <c r="AB400">
        <f t="shared" si="104"/>
        <v>2500.2385290000002</v>
      </c>
      <c r="AC400">
        <f t="shared" si="105"/>
        <v>6509.3710102515006</v>
      </c>
      <c r="AD400">
        <f t="shared" si="106"/>
        <v>338.53229682660049</v>
      </c>
      <c r="AE400">
        <f t="shared" si="107"/>
        <v>13.357274317329601</v>
      </c>
      <c r="AF400">
        <f t="shared" si="108"/>
        <v>325.17502250927089</v>
      </c>
      <c r="AG400">
        <f t="shared" si="98"/>
        <v>65418.885127067246</v>
      </c>
      <c r="AH400" t="b">
        <f t="shared" si="109"/>
        <v>1</v>
      </c>
    </row>
    <row r="401" spans="4:34" hidden="1" x14ac:dyDescent="0.4">
      <c r="D401" t="s">
        <v>48</v>
      </c>
      <c r="E401" t="s">
        <v>37</v>
      </c>
      <c r="F401" s="9">
        <v>45942.666666666664</v>
      </c>
      <c r="G401">
        <v>6.8699999999999997E-2</v>
      </c>
      <c r="H401" s="9">
        <v>45944.666666666664</v>
      </c>
      <c r="I401">
        <v>7.2900000000000006E-2</v>
      </c>
      <c r="J401" s="12">
        <v>43682.8</v>
      </c>
      <c r="K401" s="12">
        <v>3001.01</v>
      </c>
      <c r="L401">
        <v>4.6399999999999997</v>
      </c>
      <c r="M401">
        <v>178.83</v>
      </c>
      <c r="N401" s="13">
        <v>5.96E-2</v>
      </c>
      <c r="O401" t="s">
        <v>38</v>
      </c>
      <c r="Q401">
        <f t="shared" si="110"/>
        <v>183.46776000000042</v>
      </c>
      <c r="R401">
        <f t="shared" si="111"/>
        <v>178.82776000000044</v>
      </c>
      <c r="S401">
        <f t="shared" si="112"/>
        <v>3184.4761200000007</v>
      </c>
      <c r="U401">
        <f t="shared" si="99"/>
        <v>24017.467249000001</v>
      </c>
      <c r="V401">
        <f t="shared" si="113"/>
        <v>1650.0000000063001</v>
      </c>
      <c r="W401">
        <f t="shared" si="100"/>
        <v>100.87336244580023</v>
      </c>
      <c r="X401">
        <f t="shared" si="101"/>
        <v>3.4008733624584</v>
      </c>
      <c r="Y401">
        <f t="shared" si="102"/>
        <v>97.472489083341827</v>
      </c>
      <c r="Z401">
        <f t="shared" si="103"/>
        <v>39551.674082960984</v>
      </c>
      <c r="AB401">
        <f t="shared" si="104"/>
        <v>94194.224547000005</v>
      </c>
      <c r="AC401">
        <f t="shared" si="105"/>
        <v>6471.1432263789002</v>
      </c>
      <c r="AD401">
        <f t="shared" si="106"/>
        <v>395.61574309740092</v>
      </c>
      <c r="AE401">
        <f t="shared" si="107"/>
        <v>13.3379021958552</v>
      </c>
      <c r="AF401">
        <f t="shared" si="108"/>
        <v>382.27784090154574</v>
      </c>
      <c r="AG401">
        <f t="shared" si="98"/>
        <v>65093.710104557977</v>
      </c>
      <c r="AH401" t="b">
        <f t="shared" si="109"/>
        <v>1</v>
      </c>
    </row>
    <row r="402" spans="4:34" hidden="1" x14ac:dyDescent="0.4">
      <c r="D402" t="s">
        <v>55</v>
      </c>
      <c r="E402" t="s">
        <v>37</v>
      </c>
      <c r="F402" s="9">
        <v>45942.666666666664</v>
      </c>
      <c r="G402">
        <v>4.0170000000000003E-5</v>
      </c>
      <c r="H402" s="9">
        <v>45944.666666666664</v>
      </c>
      <c r="I402">
        <v>4.125E-5</v>
      </c>
      <c r="J402" s="12">
        <v>147377859.56</v>
      </c>
      <c r="K402" s="12">
        <v>5920.17</v>
      </c>
      <c r="L402">
        <v>9</v>
      </c>
      <c r="M402">
        <v>150.16999999999999</v>
      </c>
      <c r="N402" s="13">
        <v>2.5399999999999999E-2</v>
      </c>
      <c r="O402" t="s">
        <v>38</v>
      </c>
      <c r="Q402">
        <f t="shared" si="110"/>
        <v>159.16808832479947</v>
      </c>
      <c r="R402">
        <f t="shared" si="111"/>
        <v>150.16808832479947</v>
      </c>
      <c r="S402">
        <f t="shared" si="112"/>
        <v>6079.3367068500002</v>
      </c>
      <c r="U402">
        <f t="shared" si="99"/>
        <v>41075429.424943998</v>
      </c>
      <c r="V402">
        <f t="shared" si="113"/>
        <v>1650.0000000000005</v>
      </c>
      <c r="W402">
        <f t="shared" si="100"/>
        <v>44.361463778939374</v>
      </c>
      <c r="X402">
        <f t="shared" si="101"/>
        <v>3.3443614637789407</v>
      </c>
      <c r="Y402">
        <f t="shared" si="102"/>
        <v>41.017102315160436</v>
      </c>
      <c r="Z402">
        <f t="shared" si="103"/>
        <v>39454.201593877646</v>
      </c>
      <c r="AB402">
        <f t="shared" si="104"/>
        <v>160694463.49588901</v>
      </c>
      <c r="AC402">
        <f t="shared" si="105"/>
        <v>6455.0965986298615</v>
      </c>
      <c r="AD402">
        <f t="shared" si="106"/>
        <v>173.55002057555956</v>
      </c>
      <c r="AE402">
        <f t="shared" si="107"/>
        <v>13.083743217835284</v>
      </c>
      <c r="AF402">
        <f t="shared" si="108"/>
        <v>160.46627735772427</v>
      </c>
      <c r="AG402">
        <f t="shared" si="98"/>
        <v>64711.432263656432</v>
      </c>
      <c r="AH402" t="b">
        <f t="shared" si="109"/>
        <v>1</v>
      </c>
    </row>
    <row r="403" spans="4:34" hidden="1" x14ac:dyDescent="0.4">
      <c r="D403" t="s">
        <v>58</v>
      </c>
      <c r="E403" t="s">
        <v>37</v>
      </c>
      <c r="F403" s="9">
        <v>45942.666666666664</v>
      </c>
      <c r="G403">
        <v>17.96</v>
      </c>
      <c r="H403" s="9">
        <v>45944.666666666664</v>
      </c>
      <c r="I403">
        <v>18.57</v>
      </c>
      <c r="J403">
        <v>420.56</v>
      </c>
      <c r="K403" s="12">
        <v>7553.39</v>
      </c>
      <c r="L403">
        <v>11.52</v>
      </c>
      <c r="M403">
        <v>245.02</v>
      </c>
      <c r="N403" s="13">
        <v>3.2399999999999998E-2</v>
      </c>
      <c r="O403" t="s">
        <v>38</v>
      </c>
      <c r="Q403">
        <f t="shared" si="110"/>
        <v>256.54159999999979</v>
      </c>
      <c r="R403">
        <f t="shared" si="111"/>
        <v>245.02159999999978</v>
      </c>
      <c r="S403">
        <f t="shared" si="112"/>
        <v>7809.7992000000004</v>
      </c>
      <c r="U403">
        <f t="shared" si="99"/>
        <v>91.870823999999999</v>
      </c>
      <c r="V403">
        <f t="shared" si="113"/>
        <v>1649.9999990400001</v>
      </c>
      <c r="W403">
        <f t="shared" si="100"/>
        <v>56.041202639999945</v>
      </c>
      <c r="X403">
        <f t="shared" si="101"/>
        <v>3.35604120072</v>
      </c>
      <c r="Y403">
        <f t="shared" si="102"/>
        <v>52.685161439279945</v>
      </c>
      <c r="Z403">
        <f t="shared" si="103"/>
        <v>39413.184491562482</v>
      </c>
      <c r="AB403">
        <f t="shared" si="104"/>
        <v>358.27120400000001</v>
      </c>
      <c r="AC403">
        <f t="shared" si="105"/>
        <v>6434.5508238400007</v>
      </c>
      <c r="AD403">
        <f t="shared" si="106"/>
        <v>218.54543443999981</v>
      </c>
      <c r="AE403">
        <f t="shared" si="107"/>
        <v>13.08764708212</v>
      </c>
      <c r="AF403">
        <f t="shared" si="108"/>
        <v>205.45778735787979</v>
      </c>
      <c r="AG403">
        <f t="shared" si="98"/>
        <v>64550.96598629871</v>
      </c>
      <c r="AH403" t="b">
        <f t="shared" si="109"/>
        <v>1</v>
      </c>
    </row>
    <row r="404" spans="4:34" hidden="1" x14ac:dyDescent="0.4">
      <c r="D404" t="s">
        <v>52</v>
      </c>
      <c r="E404" t="s">
        <v>37</v>
      </c>
      <c r="F404" s="9">
        <v>45942.583333333336</v>
      </c>
      <c r="G404">
        <v>3.2490000000000001</v>
      </c>
      <c r="H404" s="9">
        <v>45944.583333333336</v>
      </c>
      <c r="I404">
        <v>3.4129999999999998</v>
      </c>
      <c r="J404">
        <v>728.14</v>
      </c>
      <c r="K404" s="12">
        <v>2365.75</v>
      </c>
      <c r="L404">
        <v>3.64</v>
      </c>
      <c r="M404">
        <v>115.78</v>
      </c>
      <c r="N404" s="13">
        <v>4.8899999999999999E-2</v>
      </c>
      <c r="O404" t="s">
        <v>38</v>
      </c>
      <c r="Q404">
        <f t="shared" si="110"/>
        <v>119.41495999999978</v>
      </c>
      <c r="R404">
        <f t="shared" si="111"/>
        <v>115.77495999999978</v>
      </c>
      <c r="S404">
        <f t="shared" si="112"/>
        <v>2485.1418199999998</v>
      </c>
      <c r="U404">
        <f t="shared" si="99"/>
        <v>507.848569</v>
      </c>
      <c r="V404">
        <f t="shared" si="113"/>
        <v>1650.0000006810001</v>
      </c>
      <c r="W404">
        <f t="shared" si="100"/>
        <v>83.287165315999843</v>
      </c>
      <c r="X404">
        <f t="shared" si="101"/>
        <v>3.383287166678</v>
      </c>
      <c r="Y404">
        <f t="shared" si="102"/>
        <v>79.903878149321841</v>
      </c>
      <c r="Z404">
        <f t="shared" si="103"/>
        <v>39360.499330123203</v>
      </c>
      <c r="AB404">
        <f t="shared" si="104"/>
        <v>1970.9266399999999</v>
      </c>
      <c r="AC404">
        <f t="shared" si="105"/>
        <v>6403.5406533599999</v>
      </c>
      <c r="AD404">
        <f t="shared" si="106"/>
        <v>323.23196895999939</v>
      </c>
      <c r="AE404">
        <f t="shared" si="107"/>
        <v>13.130313275680001</v>
      </c>
      <c r="AF404">
        <f t="shared" si="108"/>
        <v>310.10165568431938</v>
      </c>
      <c r="AG404">
        <f t="shared" si="98"/>
        <v>64345.508198940828</v>
      </c>
      <c r="AH404" t="b">
        <f t="shared" si="109"/>
        <v>1</v>
      </c>
    </row>
    <row r="405" spans="4:34" hidden="1" x14ac:dyDescent="0.4">
      <c r="D405" t="s">
        <v>54</v>
      </c>
      <c r="E405" t="s">
        <v>37</v>
      </c>
      <c r="F405" s="9">
        <v>45942.583333333336</v>
      </c>
      <c r="G405" s="12">
        <v>181.77</v>
      </c>
      <c r="H405" s="9">
        <v>45944.583333333336</v>
      </c>
      <c r="I405" s="12">
        <v>193.5</v>
      </c>
      <c r="J405">
        <v>28.036999999999999</v>
      </c>
      <c r="K405" s="12">
        <v>5096.3900000000003</v>
      </c>
      <c r="L405">
        <v>7.89</v>
      </c>
      <c r="M405">
        <v>320.98</v>
      </c>
      <c r="N405" s="13">
        <v>6.3E-2</v>
      </c>
      <c r="O405" t="s">
        <v>38</v>
      </c>
      <c r="Q405">
        <f t="shared" si="110"/>
        <v>328.87400999999971</v>
      </c>
      <c r="R405">
        <f t="shared" si="111"/>
        <v>320.98400999999973</v>
      </c>
      <c r="S405">
        <f t="shared" si="112"/>
        <v>5425.1594999999998</v>
      </c>
      <c r="U405">
        <f t="shared" si="99"/>
        <v>9.0774059999999999</v>
      </c>
      <c r="V405">
        <f t="shared" si="113"/>
        <v>1650.00008862</v>
      </c>
      <c r="W405">
        <f t="shared" si="100"/>
        <v>106.47797237999991</v>
      </c>
      <c r="X405">
        <f t="shared" si="101"/>
        <v>3.4064781496199998</v>
      </c>
      <c r="Y405">
        <f t="shared" si="102"/>
        <v>103.07149423037991</v>
      </c>
      <c r="Z405">
        <f t="shared" si="103"/>
        <v>39280.595451973881</v>
      </c>
      <c r="AB405">
        <f t="shared" si="104"/>
        <v>35.010109999999997</v>
      </c>
      <c r="AC405">
        <f t="shared" si="105"/>
        <v>6363.7876946999995</v>
      </c>
      <c r="AD405">
        <f t="shared" si="106"/>
        <v>410.66859029999961</v>
      </c>
      <c r="AE405">
        <f t="shared" si="107"/>
        <v>13.138243979699999</v>
      </c>
      <c r="AF405">
        <f t="shared" si="108"/>
        <v>397.5303463202996</v>
      </c>
      <c r="AG405">
        <f t="shared" si="98"/>
        <v>64035.406543256511</v>
      </c>
      <c r="AH405" t="b">
        <f t="shared" si="109"/>
        <v>1</v>
      </c>
    </row>
    <row r="406" spans="4:34" hidden="1" x14ac:dyDescent="0.4">
      <c r="D406" t="s">
        <v>61</v>
      </c>
      <c r="E406" t="s">
        <v>37</v>
      </c>
      <c r="F406" s="9">
        <v>45942.583333333336</v>
      </c>
      <c r="G406">
        <v>0.64849999999999997</v>
      </c>
      <c r="H406" s="9">
        <v>45944.583333333336</v>
      </c>
      <c r="I406">
        <v>0.66920000000000002</v>
      </c>
      <c r="J406" s="12">
        <v>13238.5</v>
      </c>
      <c r="K406" s="12">
        <v>8585.2000000000007</v>
      </c>
      <c r="L406">
        <v>13.08</v>
      </c>
      <c r="M406">
        <v>260.95</v>
      </c>
      <c r="N406" s="13">
        <v>3.04E-2</v>
      </c>
      <c r="O406" t="s">
        <v>38</v>
      </c>
      <c r="Q406">
        <f t="shared" si="110"/>
        <v>274.03695000000067</v>
      </c>
      <c r="R406">
        <f t="shared" si="111"/>
        <v>260.95695000000069</v>
      </c>
      <c r="S406">
        <f t="shared" si="112"/>
        <v>8859.2042000000001</v>
      </c>
      <c r="U406">
        <f t="shared" si="99"/>
        <v>2544.3330759999999</v>
      </c>
      <c r="V406">
        <f t="shared" si="113"/>
        <v>1649.9999997859998</v>
      </c>
      <c r="W406">
        <f t="shared" si="100"/>
        <v>52.667694673200131</v>
      </c>
      <c r="X406">
        <f t="shared" si="101"/>
        <v>3.3526676942451998</v>
      </c>
      <c r="Y406">
        <f t="shared" si="102"/>
        <v>49.315026978954933</v>
      </c>
      <c r="Z406">
        <f t="shared" si="103"/>
        <v>39177.523957743499</v>
      </c>
      <c r="AB406">
        <f t="shared" si="104"/>
        <v>9783.8462230000005</v>
      </c>
      <c r="AC406">
        <f t="shared" si="105"/>
        <v>6344.8242756154996</v>
      </c>
      <c r="AD406">
        <f t="shared" si="106"/>
        <v>202.52561681610052</v>
      </c>
      <c r="AE406">
        <f t="shared" si="107"/>
        <v>12.8921741680471</v>
      </c>
      <c r="AF406">
        <f t="shared" si="108"/>
        <v>189.63344264805343</v>
      </c>
      <c r="AG406">
        <f t="shared" si="98"/>
        <v>63637.876196936209</v>
      </c>
      <c r="AH406" t="b">
        <f t="shared" si="109"/>
        <v>1</v>
      </c>
    </row>
    <row r="407" spans="4:34" hidden="1" x14ac:dyDescent="0.4">
      <c r="D407" t="s">
        <v>50</v>
      </c>
      <c r="E407" t="s">
        <v>37</v>
      </c>
      <c r="F407" s="9">
        <v>45942.583333333336</v>
      </c>
      <c r="G407">
        <v>315.10000000000002</v>
      </c>
      <c r="H407" s="9">
        <v>45944.583333333336</v>
      </c>
      <c r="I407">
        <v>420</v>
      </c>
      <c r="J407">
        <v>41.860100000000003</v>
      </c>
      <c r="K407" s="12">
        <v>13190.15</v>
      </c>
      <c r="L407">
        <v>23.08</v>
      </c>
      <c r="M407" s="12">
        <v>4368.05</v>
      </c>
      <c r="N407" s="13">
        <v>0.33119999999999999</v>
      </c>
      <c r="O407" t="s">
        <v>38</v>
      </c>
      <c r="Q407">
        <f t="shared" si="110"/>
        <v>4391.1244899999992</v>
      </c>
      <c r="R407">
        <f t="shared" si="111"/>
        <v>4368.0444899999993</v>
      </c>
      <c r="S407">
        <f t="shared" si="112"/>
        <v>17581.242000000002</v>
      </c>
      <c r="U407">
        <f t="shared" si="99"/>
        <v>5.2364329999999999</v>
      </c>
      <c r="V407">
        <f t="shared" si="113"/>
        <v>1650.0000383000001</v>
      </c>
      <c r="W407">
        <f t="shared" si="100"/>
        <v>549.30182169999989</v>
      </c>
      <c r="X407">
        <f t="shared" si="101"/>
        <v>3.8493018983000002</v>
      </c>
      <c r="Y407">
        <f t="shared" si="102"/>
        <v>545.45251980169985</v>
      </c>
      <c r="Z407">
        <f t="shared" si="103"/>
        <v>39128.208930764544</v>
      </c>
      <c r="AB407">
        <f t="shared" si="104"/>
        <v>19.49156</v>
      </c>
      <c r="AC407">
        <f t="shared" si="105"/>
        <v>6141.7905559999999</v>
      </c>
      <c r="AD407">
        <f t="shared" si="106"/>
        <v>2044.6646439999995</v>
      </c>
      <c r="AE407">
        <f t="shared" si="107"/>
        <v>14.328245756000001</v>
      </c>
      <c r="AF407">
        <f t="shared" si="108"/>
        <v>2030.3363982439996</v>
      </c>
      <c r="AG407">
        <f t="shared" si="98"/>
        <v>63448.242754288156</v>
      </c>
      <c r="AH407" t="b">
        <f t="shared" si="109"/>
        <v>1</v>
      </c>
    </row>
    <row r="408" spans="4:34" hidden="1" x14ac:dyDescent="0.4">
      <c r="D408" t="s">
        <v>53</v>
      </c>
      <c r="E408" t="s">
        <v>37</v>
      </c>
      <c r="F408" s="9">
        <v>45942.208333333336</v>
      </c>
      <c r="G408" s="12">
        <v>1122.46</v>
      </c>
      <c r="H408" s="9">
        <v>45944.208333333336</v>
      </c>
      <c r="I408" s="12">
        <v>1279.3</v>
      </c>
      <c r="J408">
        <v>8.84</v>
      </c>
      <c r="K408" s="12">
        <v>9923.19</v>
      </c>
      <c r="L408">
        <v>15.92</v>
      </c>
      <c r="M408" s="12">
        <v>1370.54</v>
      </c>
      <c r="N408" s="13">
        <v>0.1381</v>
      </c>
      <c r="O408" t="s">
        <v>38</v>
      </c>
      <c r="Q408">
        <f t="shared" si="110"/>
        <v>1386.4655999999993</v>
      </c>
      <c r="R408">
        <f t="shared" si="111"/>
        <v>1370.5455999999992</v>
      </c>
      <c r="S408">
        <f t="shared" si="112"/>
        <v>11309.011999999999</v>
      </c>
      <c r="U408">
        <f t="shared" si="99"/>
        <v>1.469986</v>
      </c>
      <c r="V408">
        <f t="shared" si="113"/>
        <v>1650.00048556</v>
      </c>
      <c r="W408">
        <f t="shared" si="100"/>
        <v>230.55260423999988</v>
      </c>
      <c r="X408">
        <f t="shared" si="101"/>
        <v>3.5305535753600004</v>
      </c>
      <c r="Y408">
        <f t="shared" si="102"/>
        <v>227.02205066463989</v>
      </c>
      <c r="Z408">
        <f t="shared" si="103"/>
        <v>38582.756410962844</v>
      </c>
      <c r="AB408">
        <f t="shared" si="104"/>
        <v>5.3974599999999997</v>
      </c>
      <c r="AC408">
        <f t="shared" si="105"/>
        <v>6058.4329515999998</v>
      </c>
      <c r="AD408">
        <f t="shared" si="106"/>
        <v>846.53762639999957</v>
      </c>
      <c r="AE408">
        <f t="shared" si="107"/>
        <v>12.963403529600001</v>
      </c>
      <c r="AF408">
        <f t="shared" si="108"/>
        <v>833.57422287039958</v>
      </c>
      <c r="AG408">
        <f t="shared" si="98"/>
        <v>61417.906356044157</v>
      </c>
      <c r="AH408" t="b">
        <f t="shared" si="109"/>
        <v>1</v>
      </c>
    </row>
    <row r="409" spans="4:34" hidden="1" x14ac:dyDescent="0.4">
      <c r="D409" t="s">
        <v>48</v>
      </c>
      <c r="E409" t="s">
        <v>37</v>
      </c>
      <c r="F409" s="9">
        <v>45940.5</v>
      </c>
      <c r="G409">
        <v>9.9699999999999997E-2</v>
      </c>
      <c r="H409" s="9">
        <v>45942.5</v>
      </c>
      <c r="I409">
        <v>6.6699999999999995E-2</v>
      </c>
      <c r="J409" s="12">
        <v>31134.799999999999</v>
      </c>
      <c r="K409" s="12">
        <v>3104.14</v>
      </c>
      <c r="L409">
        <v>3.89</v>
      </c>
      <c r="M409" s="12">
        <v>-1031.33</v>
      </c>
      <c r="N409" s="13">
        <v>-0.3322</v>
      </c>
      <c r="O409" t="s">
        <v>38</v>
      </c>
      <c r="Q409">
        <f t="shared" si="110"/>
        <v>-1027.4484</v>
      </c>
      <c r="R409">
        <f t="shared" si="111"/>
        <v>-1031.3384000000001</v>
      </c>
      <c r="S409">
        <f t="shared" si="112"/>
        <v>2076.6911599999999</v>
      </c>
      <c r="U409">
        <f t="shared" si="99"/>
        <v>16549.648947000001</v>
      </c>
      <c r="V409">
        <f t="shared" si="113"/>
        <v>1650.0000000159</v>
      </c>
      <c r="W409">
        <f t="shared" si="100"/>
        <v>-546.13841525100008</v>
      </c>
      <c r="X409">
        <f t="shared" si="101"/>
        <v>2.7538615847808003</v>
      </c>
      <c r="Y409">
        <f t="shared" si="102"/>
        <v>-548.89227683578088</v>
      </c>
      <c r="Z409">
        <f t="shared" si="103"/>
        <v>38355.734360298207</v>
      </c>
      <c r="AB409">
        <f t="shared" si="104"/>
        <v>62857.667686000001</v>
      </c>
      <c r="AC409">
        <f t="shared" si="105"/>
        <v>6266.9094682941995</v>
      </c>
      <c r="AD409">
        <f t="shared" si="106"/>
        <v>-2074.3030336380002</v>
      </c>
      <c r="AE409">
        <f t="shared" si="107"/>
        <v>10.4595159029504</v>
      </c>
      <c r="AF409">
        <f t="shared" si="108"/>
        <v>-2084.7625495409507</v>
      </c>
      <c r="AG409">
        <f t="shared" si="98"/>
        <v>60584.332133173761</v>
      </c>
      <c r="AH409" t="b">
        <f t="shared" si="109"/>
        <v>1</v>
      </c>
    </row>
    <row r="410" spans="4:34" hidden="1" x14ac:dyDescent="0.4">
      <c r="D410" t="s">
        <v>50</v>
      </c>
      <c r="E410" t="s">
        <v>37</v>
      </c>
      <c r="F410" s="9">
        <v>45939.791666666664</v>
      </c>
      <c r="G410">
        <v>333.2</v>
      </c>
      <c r="H410" s="9">
        <v>45941.791666666664</v>
      </c>
      <c r="I410">
        <v>307.8</v>
      </c>
      <c r="J410" s="12">
        <v>39.896099999999997</v>
      </c>
      <c r="K410" s="12">
        <v>13293.4</v>
      </c>
      <c r="L410">
        <v>19.18</v>
      </c>
      <c r="M410" s="12">
        <v>-1032.54</v>
      </c>
      <c r="N410" s="13">
        <v>-7.7700000000000005E-2</v>
      </c>
      <c r="O410" t="s">
        <v>38</v>
      </c>
      <c r="Q410">
        <f t="shared" si="110"/>
        <v>-1013.360939999999</v>
      </c>
      <c r="R410">
        <f t="shared" si="111"/>
        <v>-1032.540939999999</v>
      </c>
      <c r="S410">
        <f t="shared" si="112"/>
        <v>12280.01958</v>
      </c>
      <c r="U410">
        <f t="shared" si="99"/>
        <v>4.951981</v>
      </c>
      <c r="V410">
        <f t="shared" si="113"/>
        <v>1650.0000691999999</v>
      </c>
      <c r="W410">
        <f t="shared" si="100"/>
        <v>-125.78031739999989</v>
      </c>
      <c r="X410">
        <f t="shared" si="101"/>
        <v>3.1742198209999999</v>
      </c>
      <c r="Y410">
        <f t="shared" si="102"/>
        <v>-128.9545372209999</v>
      </c>
      <c r="Z410">
        <f t="shared" si="103"/>
        <v>38904.626637133988</v>
      </c>
      <c r="AB410">
        <f t="shared" si="104"/>
        <v>18.956403999999999</v>
      </c>
      <c r="AC410">
        <f t="shared" si="105"/>
        <v>6316.2738127999992</v>
      </c>
      <c r="AD410">
        <f t="shared" si="106"/>
        <v>-481.49266159999956</v>
      </c>
      <c r="AE410">
        <f t="shared" si="107"/>
        <v>12.151054964</v>
      </c>
      <c r="AF410">
        <f t="shared" si="108"/>
        <v>-493.64371656399959</v>
      </c>
      <c r="AG410">
        <f t="shared" si="98"/>
        <v>62669.094682714713</v>
      </c>
      <c r="AH410" t="b">
        <f t="shared" si="109"/>
        <v>1</v>
      </c>
    </row>
    <row r="411" spans="4:34" hidden="1" x14ac:dyDescent="0.4">
      <c r="D411" t="s">
        <v>55</v>
      </c>
      <c r="E411" t="s">
        <v>37</v>
      </c>
      <c r="F411" s="9">
        <v>45938.625</v>
      </c>
      <c r="G411">
        <v>5.3900000000000002E-5</v>
      </c>
      <c r="H411" s="9">
        <v>45940.625</v>
      </c>
      <c r="I411">
        <v>5.3090000000000002E-5</v>
      </c>
      <c r="J411" s="12">
        <v>110017864.13</v>
      </c>
      <c r="K411" s="12">
        <v>5929.96</v>
      </c>
      <c r="L411">
        <v>8.83</v>
      </c>
      <c r="M411">
        <v>-97.94</v>
      </c>
      <c r="N411" s="13">
        <v>-1.6500000000000001E-2</v>
      </c>
      <c r="O411" t="s">
        <v>38</v>
      </c>
      <c r="Q411">
        <f t="shared" si="110"/>
        <v>-89.114469945300073</v>
      </c>
      <c r="R411">
        <f t="shared" si="111"/>
        <v>-97.944469945300071</v>
      </c>
      <c r="S411">
        <f t="shared" si="112"/>
        <v>5840.8484066617002</v>
      </c>
      <c r="U411">
        <f t="shared" si="99"/>
        <v>30612244.897959001</v>
      </c>
      <c r="V411">
        <f t="shared" si="113"/>
        <v>1649.9999999999902</v>
      </c>
      <c r="W411">
        <f t="shared" si="100"/>
        <v>-24.795918367346815</v>
      </c>
      <c r="X411">
        <f t="shared" si="101"/>
        <v>3.275204081632634</v>
      </c>
      <c r="Y411">
        <f t="shared" si="102"/>
        <v>-28.071122448979448</v>
      </c>
      <c r="Z411">
        <f t="shared" si="103"/>
        <v>39033.581174354986</v>
      </c>
      <c r="AB411">
        <f t="shared" si="104"/>
        <v>117384747.753472</v>
      </c>
      <c r="AC411">
        <f t="shared" si="105"/>
        <v>6327.0379039121408</v>
      </c>
      <c r="AD411">
        <f t="shared" si="106"/>
        <v>-95.081645680312405</v>
      </c>
      <c r="AE411">
        <f t="shared" si="107"/>
        <v>12.55899416214397</v>
      </c>
      <c r="AF411">
        <f t="shared" si="108"/>
        <v>-107.64063984245638</v>
      </c>
      <c r="AG411">
        <f t="shared" si="98"/>
        <v>63162.738399278714</v>
      </c>
      <c r="AH411" t="b">
        <f t="shared" si="109"/>
        <v>1</v>
      </c>
    </row>
    <row r="412" spans="4:34" hidden="1" x14ac:dyDescent="0.4">
      <c r="D412" t="s">
        <v>53</v>
      </c>
      <c r="E412" t="s">
        <v>37</v>
      </c>
      <c r="F412" s="9">
        <v>45938.625</v>
      </c>
      <c r="G412" s="12">
        <v>1312.97</v>
      </c>
      <c r="H412" s="9">
        <v>45940.625</v>
      </c>
      <c r="I412" s="12">
        <v>1252.5</v>
      </c>
      <c r="J412">
        <v>7.593</v>
      </c>
      <c r="K412" s="12">
        <v>9970.56</v>
      </c>
      <c r="L412">
        <v>14.61</v>
      </c>
      <c r="M412" s="12">
        <v>-473.76</v>
      </c>
      <c r="N412" s="13">
        <v>-4.7500000000000001E-2</v>
      </c>
      <c r="O412" t="s">
        <v>38</v>
      </c>
      <c r="Q412">
        <f t="shared" si="110"/>
        <v>-459.14871000000022</v>
      </c>
      <c r="R412">
        <f t="shared" si="111"/>
        <v>-473.75871000000024</v>
      </c>
      <c r="S412">
        <f t="shared" si="112"/>
        <v>9510.2325000000001</v>
      </c>
      <c r="U412">
        <f t="shared" si="99"/>
        <v>1.2566930000000001</v>
      </c>
      <c r="V412">
        <f t="shared" si="113"/>
        <v>1650.0002082100002</v>
      </c>
      <c r="W412">
        <f t="shared" si="100"/>
        <v>-75.992225710000042</v>
      </c>
      <c r="X412">
        <f t="shared" si="101"/>
        <v>3.2240081907100007</v>
      </c>
      <c r="Y412">
        <f t="shared" si="102"/>
        <v>-79.216233900710037</v>
      </c>
      <c r="Z412">
        <f t="shared" si="103"/>
        <v>39061.652296803964</v>
      </c>
      <c r="AB412">
        <f t="shared" si="104"/>
        <v>4.8421219999999998</v>
      </c>
      <c r="AC412">
        <f t="shared" si="105"/>
        <v>6357.5609223399997</v>
      </c>
      <c r="AD412">
        <f t="shared" si="106"/>
        <v>-292.80311734000014</v>
      </c>
      <c r="AE412">
        <f t="shared" si="107"/>
        <v>12.42231872734</v>
      </c>
      <c r="AF412">
        <f t="shared" si="108"/>
        <v>-305.22543606734013</v>
      </c>
      <c r="AG412">
        <f t="shared" si="98"/>
        <v>63270.379039121173</v>
      </c>
      <c r="AH412" t="b">
        <f t="shared" si="109"/>
        <v>1</v>
      </c>
    </row>
    <row r="413" spans="4:34" hidden="1" x14ac:dyDescent="0.4">
      <c r="D413" t="s">
        <v>54</v>
      </c>
      <c r="E413" t="s">
        <v>37</v>
      </c>
      <c r="F413" s="9">
        <v>45938.583333333336</v>
      </c>
      <c r="G413">
        <v>222.4</v>
      </c>
      <c r="H413" s="9">
        <v>45940.583333333336</v>
      </c>
      <c r="I413">
        <v>221.86</v>
      </c>
      <c r="J413">
        <v>22.923999999999999</v>
      </c>
      <c r="K413" s="12">
        <v>5098.3999999999996</v>
      </c>
      <c r="L413">
        <v>7.64</v>
      </c>
      <c r="M413">
        <v>-20.02</v>
      </c>
      <c r="N413" s="13">
        <v>-3.8999999999999998E-3</v>
      </c>
      <c r="O413" t="s">
        <v>38</v>
      </c>
      <c r="Q413">
        <f t="shared" si="110"/>
        <v>-12.378959999999818</v>
      </c>
      <c r="R413">
        <f t="shared" si="111"/>
        <v>-20.018959999999819</v>
      </c>
      <c r="S413">
        <f t="shared" si="112"/>
        <v>5085.9186399999999</v>
      </c>
      <c r="U413">
        <f t="shared" si="99"/>
        <v>7.4190649999999998</v>
      </c>
      <c r="V413">
        <f t="shared" si="113"/>
        <v>1650.0000560000001</v>
      </c>
      <c r="W413">
        <f t="shared" si="100"/>
        <v>-4.0062950999999405</v>
      </c>
      <c r="X413">
        <f t="shared" si="101"/>
        <v>3.2959938168999998</v>
      </c>
      <c r="Y413">
        <f t="shared" si="102"/>
        <v>-7.3022889168999399</v>
      </c>
      <c r="Z413">
        <f t="shared" si="103"/>
        <v>39140.868530704676</v>
      </c>
      <c r="AB413">
        <f t="shared" si="104"/>
        <v>28.59881</v>
      </c>
      <c r="AC413">
        <f t="shared" si="105"/>
        <v>6360.375344</v>
      </c>
      <c r="AD413">
        <f t="shared" si="106"/>
        <v>-15.443357399999773</v>
      </c>
      <c r="AE413">
        <f t="shared" si="107"/>
        <v>12.7053073306</v>
      </c>
      <c r="AF413">
        <f t="shared" si="108"/>
        <v>-28.148664730599773</v>
      </c>
      <c r="AG413">
        <f t="shared" si="98"/>
        <v>63575.604475188513</v>
      </c>
      <c r="AH413" t="b">
        <f t="shared" si="109"/>
        <v>1</v>
      </c>
    </row>
    <row r="414" spans="4:34" hidden="1" x14ac:dyDescent="0.4">
      <c r="D414" t="s">
        <v>52</v>
      </c>
      <c r="E414" t="s">
        <v>37</v>
      </c>
      <c r="F414" s="9">
        <v>45937.25</v>
      </c>
      <c r="G414">
        <v>4.6189999999999998</v>
      </c>
      <c r="H414" s="9">
        <v>45939.25</v>
      </c>
      <c r="I414">
        <v>4.4690000000000003</v>
      </c>
      <c r="J414">
        <v>513.91999999999996</v>
      </c>
      <c r="K414" s="12">
        <v>2373.81</v>
      </c>
      <c r="L414">
        <v>3.5</v>
      </c>
      <c r="M414">
        <v>-80.59</v>
      </c>
      <c r="N414" s="13">
        <v>-3.4000000000000002E-2</v>
      </c>
      <c r="O414" t="s">
        <v>38</v>
      </c>
      <c r="Q414">
        <f t="shared" si="110"/>
        <v>-77.087999999999724</v>
      </c>
      <c r="R414">
        <f t="shared" si="111"/>
        <v>-80.587999999999724</v>
      </c>
      <c r="S414">
        <f t="shared" si="112"/>
        <v>2296.7084799999998</v>
      </c>
      <c r="U414">
        <f t="shared" si="99"/>
        <v>357.22017799999998</v>
      </c>
      <c r="V414">
        <f t="shared" si="113"/>
        <v>1650.0000021819999</v>
      </c>
      <c r="W414">
        <f t="shared" si="100"/>
        <v>-53.583026699999806</v>
      </c>
      <c r="X414">
        <f t="shared" si="101"/>
        <v>3.2464169776639999</v>
      </c>
      <c r="Y414">
        <f t="shared" si="102"/>
        <v>-56.829443677663804</v>
      </c>
      <c r="Z414">
        <f t="shared" si="103"/>
        <v>39148.170819621577</v>
      </c>
      <c r="AB414">
        <f t="shared" si="104"/>
        <v>1381.7617419999999</v>
      </c>
      <c r="AC414">
        <f t="shared" si="105"/>
        <v>6382.3574862979995</v>
      </c>
      <c r="AD414">
        <f t="shared" si="106"/>
        <v>-207.26426129999925</v>
      </c>
      <c r="AE414">
        <f t="shared" si="107"/>
        <v>12.557450711295999</v>
      </c>
      <c r="AF414">
        <f t="shared" si="108"/>
        <v>-219.82171201129523</v>
      </c>
      <c r="AG414">
        <f t="shared" si="98"/>
        <v>63603.753139919114</v>
      </c>
      <c r="AH414" t="b">
        <f t="shared" si="109"/>
        <v>1</v>
      </c>
    </row>
    <row r="415" spans="4:34" hidden="1" x14ac:dyDescent="0.4">
      <c r="D415" t="s">
        <v>58</v>
      </c>
      <c r="E415" t="s">
        <v>37</v>
      </c>
      <c r="F415" s="9">
        <v>45937.25</v>
      </c>
      <c r="G415" s="12">
        <v>23.52</v>
      </c>
      <c r="H415" s="9">
        <v>45939.25</v>
      </c>
      <c r="I415" s="12">
        <v>22.41</v>
      </c>
      <c r="J415">
        <v>322.70999999999998</v>
      </c>
      <c r="K415" s="12">
        <v>7590.32</v>
      </c>
      <c r="L415">
        <v>11.12</v>
      </c>
      <c r="M415">
        <v>-369.32</v>
      </c>
      <c r="N415" s="13">
        <v>-4.87E-2</v>
      </c>
      <c r="O415" t="s">
        <v>38</v>
      </c>
      <c r="Q415">
        <f t="shared" si="110"/>
        <v>-358.20809999999977</v>
      </c>
      <c r="R415">
        <f t="shared" si="111"/>
        <v>-369.32809999999978</v>
      </c>
      <c r="S415">
        <f t="shared" si="112"/>
        <v>7231.9310999999998</v>
      </c>
      <c r="U415">
        <f t="shared" si="99"/>
        <v>70.153060999999994</v>
      </c>
      <c r="V415">
        <f t="shared" si="113"/>
        <v>1649.9999947199999</v>
      </c>
      <c r="W415">
        <f t="shared" si="100"/>
        <v>-77.869897709999947</v>
      </c>
      <c r="X415">
        <f t="shared" si="101"/>
        <v>3.2221300917299995</v>
      </c>
      <c r="Y415">
        <f t="shared" si="102"/>
        <v>-81.092027801729941</v>
      </c>
      <c r="Z415">
        <f t="shared" si="103"/>
        <v>39205.00026329924</v>
      </c>
      <c r="AB415">
        <f t="shared" si="104"/>
        <v>272.69896199999999</v>
      </c>
      <c r="AC415">
        <f t="shared" si="105"/>
        <v>6413.8795862400002</v>
      </c>
      <c r="AD415">
        <f t="shared" si="106"/>
        <v>-302.69584781999981</v>
      </c>
      <c r="AE415">
        <f t="shared" si="107"/>
        <v>12.52506332466</v>
      </c>
      <c r="AF415">
        <f t="shared" si="108"/>
        <v>-315.22091114465979</v>
      </c>
      <c r="AG415">
        <f t="shared" si="98"/>
        <v>63823.574851930411</v>
      </c>
      <c r="AH415" t="b">
        <f t="shared" si="109"/>
        <v>1</v>
      </c>
    </row>
    <row r="416" spans="4:34" hidden="1" x14ac:dyDescent="0.4">
      <c r="D416" t="s">
        <v>61</v>
      </c>
      <c r="E416" t="s">
        <v>37</v>
      </c>
      <c r="F416" s="9">
        <v>45937.25</v>
      </c>
      <c r="G416">
        <v>0.87209999999999999</v>
      </c>
      <c r="H416" s="9">
        <v>45939.25</v>
      </c>
      <c r="I416">
        <v>0.82540000000000002</v>
      </c>
      <c r="J416" s="12">
        <v>9898.7000000000007</v>
      </c>
      <c r="K416" s="12">
        <v>8632.69</v>
      </c>
      <c r="L416">
        <v>12.6</v>
      </c>
      <c r="M416">
        <v>-474.87</v>
      </c>
      <c r="N416" s="13">
        <v>-5.5E-2</v>
      </c>
      <c r="O416" t="s">
        <v>38</v>
      </c>
      <c r="Q416">
        <f t="shared" si="110"/>
        <v>-462.26928999999967</v>
      </c>
      <c r="R416">
        <f t="shared" si="111"/>
        <v>-474.86928999999969</v>
      </c>
      <c r="S416">
        <f t="shared" si="112"/>
        <v>8170.3869800000011</v>
      </c>
      <c r="U416">
        <f t="shared" si="99"/>
        <v>1891.984864</v>
      </c>
      <c r="V416">
        <f t="shared" si="113"/>
        <v>1649.9999998943999</v>
      </c>
      <c r="W416">
        <f t="shared" si="100"/>
        <v>-88.355693148799929</v>
      </c>
      <c r="X416">
        <f t="shared" si="101"/>
        <v>3.2116443066400002</v>
      </c>
      <c r="Y416">
        <f t="shared" si="102"/>
        <v>-91.567337455439926</v>
      </c>
      <c r="Z416">
        <f t="shared" si="103"/>
        <v>39286.092291100969</v>
      </c>
      <c r="AB416">
        <f t="shared" si="104"/>
        <v>7395.5650290000003</v>
      </c>
      <c r="AC416">
        <f t="shared" si="105"/>
        <v>6449.6722617908999</v>
      </c>
      <c r="AD416">
        <f t="shared" si="106"/>
        <v>-345.37288685429974</v>
      </c>
      <c r="AE416">
        <f t="shared" si="107"/>
        <v>12.5539716367275</v>
      </c>
      <c r="AF416">
        <f t="shared" si="108"/>
        <v>-357.92685849102725</v>
      </c>
      <c r="AG416">
        <f t="shared" si="98"/>
        <v>64138.795763075068</v>
      </c>
      <c r="AH416" t="b">
        <f t="shared" si="109"/>
        <v>1</v>
      </c>
    </row>
    <row r="417" spans="4:34" hidden="1" x14ac:dyDescent="0.4">
      <c r="D417" t="s">
        <v>59</v>
      </c>
      <c r="E417" t="s">
        <v>37</v>
      </c>
      <c r="F417" s="9">
        <v>45936.708333333336</v>
      </c>
      <c r="G417" s="12">
        <v>125072.98</v>
      </c>
      <c r="H417" s="9">
        <v>45939.208333333336</v>
      </c>
      <c r="I417" s="12">
        <v>122091.18</v>
      </c>
      <c r="J417">
        <v>8.5040000000000004E-2</v>
      </c>
      <c r="K417" s="12">
        <v>10636.61</v>
      </c>
      <c r="L417">
        <v>15.76</v>
      </c>
      <c r="M417">
        <v>-269.33999999999997</v>
      </c>
      <c r="N417" s="13">
        <v>-2.53E-2</v>
      </c>
      <c r="O417" t="s">
        <v>57</v>
      </c>
      <c r="Q417">
        <f t="shared" si="110"/>
        <v>-253.57227200000025</v>
      </c>
      <c r="R417">
        <f t="shared" si="111"/>
        <v>-269.33227200000027</v>
      </c>
      <c r="S417">
        <f t="shared" si="112"/>
        <v>10382.6339472</v>
      </c>
      <c r="U417">
        <f t="shared" si="99"/>
        <v>1.3192000000000001E-2</v>
      </c>
      <c r="V417">
        <f t="shared" si="113"/>
        <v>1649.96275216</v>
      </c>
      <c r="W417">
        <f t="shared" si="100"/>
        <v>-39.335905600000039</v>
      </c>
      <c r="X417">
        <f t="shared" si="101"/>
        <v>3.2605895987199998</v>
      </c>
      <c r="Y417">
        <f t="shared" si="102"/>
        <v>-42.596495198720042</v>
      </c>
      <c r="Z417">
        <f t="shared" si="103"/>
        <v>39377.659628556408</v>
      </c>
      <c r="AB417">
        <f t="shared" si="104"/>
        <v>5.1700999999999997E-2</v>
      </c>
      <c r="AC417">
        <f t="shared" si="105"/>
        <v>6466.3981389799992</v>
      </c>
      <c r="AD417">
        <f t="shared" si="106"/>
        <v>-154.16204180000014</v>
      </c>
      <c r="AE417">
        <f t="shared" si="107"/>
        <v>12.778634236159998</v>
      </c>
      <c r="AF417">
        <f t="shared" si="108"/>
        <v>-166.94067603616014</v>
      </c>
      <c r="AG417">
        <f t="shared" si="98"/>
        <v>64496.722621566092</v>
      </c>
      <c r="AH417" t="b">
        <f t="shared" si="109"/>
        <v>1</v>
      </c>
    </row>
    <row r="418" spans="4:34" hidden="1" x14ac:dyDescent="0.4">
      <c r="D418" t="s">
        <v>50</v>
      </c>
      <c r="E418" t="s">
        <v>37</v>
      </c>
      <c r="F418" s="9">
        <v>45937.208333333336</v>
      </c>
      <c r="G418" s="12">
        <v>345.5</v>
      </c>
      <c r="H418" s="9">
        <v>45939.208333333336</v>
      </c>
      <c r="I418" s="12">
        <v>333.8</v>
      </c>
      <c r="J418">
        <v>38.612200000000001</v>
      </c>
      <c r="K418" s="12">
        <v>13340.54</v>
      </c>
      <c r="L418">
        <v>19.670000000000002</v>
      </c>
      <c r="M418">
        <v>-471.43</v>
      </c>
      <c r="N418" s="13">
        <v>-3.5299999999999998E-2</v>
      </c>
      <c r="O418" t="s">
        <v>38</v>
      </c>
      <c r="Q418">
        <f t="shared" si="110"/>
        <v>-451.76273999999955</v>
      </c>
      <c r="R418">
        <f t="shared" si="111"/>
        <v>-471.43273999999957</v>
      </c>
      <c r="S418">
        <f t="shared" si="112"/>
        <v>12888.75236</v>
      </c>
      <c r="U418">
        <f t="shared" si="99"/>
        <v>4.7756869999999996</v>
      </c>
      <c r="V418">
        <f t="shared" si="113"/>
        <v>1649.9998584999998</v>
      </c>
      <c r="W418">
        <f t="shared" si="100"/>
        <v>-55.875537899999941</v>
      </c>
      <c r="X418">
        <f t="shared" si="101"/>
        <v>3.2441241790999999</v>
      </c>
      <c r="Y418">
        <f t="shared" si="102"/>
        <v>-59.119662079099939</v>
      </c>
      <c r="Z418">
        <f t="shared" si="103"/>
        <v>39420.256123755127</v>
      </c>
      <c r="AB418">
        <f t="shared" si="104"/>
        <v>18.783266999999999</v>
      </c>
      <c r="AC418">
        <f t="shared" si="105"/>
        <v>6489.6187484999991</v>
      </c>
      <c r="AD418">
        <f t="shared" si="106"/>
        <v>-219.76422389999976</v>
      </c>
      <c r="AE418">
        <f t="shared" si="107"/>
        <v>12.759473273099999</v>
      </c>
      <c r="AF418">
        <f t="shared" si="108"/>
        <v>-232.52369717309978</v>
      </c>
      <c r="AG418">
        <f t="shared" si="98"/>
        <v>64663.663297602252</v>
      </c>
      <c r="AH418" t="b">
        <f t="shared" si="109"/>
        <v>1</v>
      </c>
    </row>
    <row r="419" spans="4:34" hidden="1" x14ac:dyDescent="0.4">
      <c r="D419" t="s">
        <v>53</v>
      </c>
      <c r="E419" t="s">
        <v>37</v>
      </c>
      <c r="F419" s="9">
        <v>45936.416666666664</v>
      </c>
      <c r="G419" s="12">
        <v>1209.4100000000001</v>
      </c>
      <c r="H419" s="9">
        <v>45938.416666666664</v>
      </c>
      <c r="I419" s="12">
        <v>1322.39</v>
      </c>
      <c r="J419">
        <v>8.1690000000000005</v>
      </c>
      <c r="K419" s="12">
        <v>9879.82</v>
      </c>
      <c r="L419">
        <v>15.51</v>
      </c>
      <c r="M419">
        <v>907.42</v>
      </c>
      <c r="N419" s="13">
        <v>9.1800000000000007E-2</v>
      </c>
      <c r="O419" t="s">
        <v>38</v>
      </c>
      <c r="Q419">
        <f t="shared" si="110"/>
        <v>922.93362000000025</v>
      </c>
      <c r="R419">
        <f t="shared" si="111"/>
        <v>907.42362000000026</v>
      </c>
      <c r="S419">
        <f t="shared" si="112"/>
        <v>10802.603910000002</v>
      </c>
      <c r="U419">
        <f t="shared" si="99"/>
        <v>1.3643019999999999</v>
      </c>
      <c r="V419">
        <f t="shared" si="113"/>
        <v>1650.00048182</v>
      </c>
      <c r="W419">
        <f t="shared" si="100"/>
        <v>154.13883996000001</v>
      </c>
      <c r="X419">
        <f t="shared" si="101"/>
        <v>3.4541398035999999</v>
      </c>
      <c r="Y419">
        <f t="shared" si="102"/>
        <v>150.68470015640003</v>
      </c>
      <c r="Z419">
        <f t="shared" si="103"/>
        <v>39479.375785834229</v>
      </c>
      <c r="AB419">
        <f t="shared" si="104"/>
        <v>5.3173769999999996</v>
      </c>
      <c r="AC419">
        <f t="shared" si="105"/>
        <v>6430.8889175699996</v>
      </c>
      <c r="AD419">
        <f t="shared" si="106"/>
        <v>600.75725346000002</v>
      </c>
      <c r="AE419">
        <f t="shared" si="107"/>
        <v>13.462535088599999</v>
      </c>
      <c r="AF419">
        <f t="shared" si="108"/>
        <v>587.29471837139999</v>
      </c>
      <c r="AG419">
        <f t="shared" si="98"/>
        <v>64896.186994775351</v>
      </c>
      <c r="AH419" t="b">
        <f t="shared" si="109"/>
        <v>1</v>
      </c>
    </row>
    <row r="420" spans="4:34" hidden="1" x14ac:dyDescent="0.4">
      <c r="D420" t="s">
        <v>48</v>
      </c>
      <c r="E420" t="s">
        <v>37</v>
      </c>
      <c r="F420" s="9">
        <v>45936.125</v>
      </c>
      <c r="G420">
        <v>0.1007</v>
      </c>
      <c r="H420" s="9">
        <v>45938.125</v>
      </c>
      <c r="I420">
        <v>9.8100000000000007E-2</v>
      </c>
      <c r="J420" s="12">
        <v>30910</v>
      </c>
      <c r="K420" s="12">
        <v>3112.64</v>
      </c>
      <c r="L420">
        <v>4.6100000000000003</v>
      </c>
      <c r="M420">
        <v>-84.97</v>
      </c>
      <c r="N420" s="13">
        <v>-2.7300000000000001E-2</v>
      </c>
      <c r="O420" t="s">
        <v>38</v>
      </c>
      <c r="Q420">
        <f t="shared" si="110"/>
        <v>-80.36599999999973</v>
      </c>
      <c r="R420">
        <f t="shared" si="111"/>
        <v>-84.975999999999729</v>
      </c>
      <c r="S420">
        <f t="shared" si="112"/>
        <v>3032.2710000000002</v>
      </c>
      <c r="U420">
        <f t="shared" si="99"/>
        <v>16385.302879999999</v>
      </c>
      <c r="V420">
        <f t="shared" si="113"/>
        <v>1650.0000000159998</v>
      </c>
      <c r="W420">
        <f t="shared" si="100"/>
        <v>-42.601787487999857</v>
      </c>
      <c r="X420">
        <f t="shared" si="101"/>
        <v>3.257398212544</v>
      </c>
      <c r="Y420">
        <f t="shared" si="102"/>
        <v>-45.859185700543854</v>
      </c>
      <c r="Z420">
        <f t="shared" si="103"/>
        <v>39328.691085677827</v>
      </c>
      <c r="AB420">
        <f t="shared" si="104"/>
        <v>64039.848066999999</v>
      </c>
      <c r="AC420">
        <f t="shared" si="105"/>
        <v>6448.8127003468999</v>
      </c>
      <c r="AD420">
        <f t="shared" si="106"/>
        <v>-166.50360497419945</v>
      </c>
      <c r="AE420">
        <f t="shared" si="107"/>
        <v>12.7311217957196</v>
      </c>
      <c r="AF420">
        <f t="shared" si="108"/>
        <v>-179.23472676991904</v>
      </c>
      <c r="AG420">
        <f t="shared" si="98"/>
        <v>64308.892276403953</v>
      </c>
      <c r="AH420" t="b">
        <f t="shared" si="109"/>
        <v>1</v>
      </c>
    </row>
    <row r="421" spans="4:34" hidden="1" x14ac:dyDescent="0.4">
      <c r="D421" t="s">
        <v>56</v>
      </c>
      <c r="E421" t="s">
        <v>37</v>
      </c>
      <c r="F421" s="9">
        <v>45937.5</v>
      </c>
      <c r="G421" s="12">
        <v>4696.22</v>
      </c>
      <c r="H421" s="9">
        <v>45937.666666666664</v>
      </c>
      <c r="I421" s="12">
        <v>4633.21</v>
      </c>
      <c r="J421">
        <v>1.2445999999999999</v>
      </c>
      <c r="K421" s="12">
        <v>5845.19</v>
      </c>
      <c r="L421">
        <v>8.7100000000000009</v>
      </c>
      <c r="M421">
        <v>-87.13</v>
      </c>
      <c r="N421" s="13">
        <v>-1.49E-2</v>
      </c>
      <c r="O421" t="s">
        <v>49</v>
      </c>
      <c r="Q421">
        <f t="shared" si="110"/>
        <v>-78.422246000000271</v>
      </c>
      <c r="R421">
        <f t="shared" si="111"/>
        <v>-87.132246000000265</v>
      </c>
      <c r="S421">
        <f t="shared" si="112"/>
        <v>5766.4931659999993</v>
      </c>
      <c r="U421">
        <f t="shared" si="99"/>
        <v>0.35134599999999999</v>
      </c>
      <c r="V421">
        <f t="shared" si="113"/>
        <v>1649.9981121200001</v>
      </c>
      <c r="W421">
        <f t="shared" si="100"/>
        <v>-22.138311460000075</v>
      </c>
      <c r="X421">
        <f t="shared" si="101"/>
        <v>3.27785791278</v>
      </c>
      <c r="Y421">
        <f t="shared" si="102"/>
        <v>-25.416169372780075</v>
      </c>
      <c r="Z421">
        <f t="shared" si="103"/>
        <v>39374.550271378372</v>
      </c>
      <c r="AB421">
        <f t="shared" si="104"/>
        <v>1.375311</v>
      </c>
      <c r="AC421">
        <f t="shared" si="105"/>
        <v>6458.76302442</v>
      </c>
      <c r="AD421">
        <f t="shared" si="106"/>
        <v>-86.658346110000295</v>
      </c>
      <c r="AE421">
        <f t="shared" si="107"/>
        <v>12.83086770273</v>
      </c>
      <c r="AF421">
        <f t="shared" si="108"/>
        <v>-99.489213812730299</v>
      </c>
      <c r="AG421">
        <f t="shared" si="98"/>
        <v>64488.127003173875</v>
      </c>
      <c r="AH421" t="b">
        <f t="shared" si="109"/>
        <v>1</v>
      </c>
    </row>
    <row r="422" spans="4:34" hidden="1" x14ac:dyDescent="0.4">
      <c r="D422" t="s">
        <v>56</v>
      </c>
      <c r="E422" t="s">
        <v>37</v>
      </c>
      <c r="F422" s="9">
        <v>45934.875</v>
      </c>
      <c r="G422" s="12">
        <v>4470.6000000000004</v>
      </c>
      <c r="H422" s="9">
        <v>45937.375</v>
      </c>
      <c r="I422" s="12">
        <v>4681.66</v>
      </c>
      <c r="J422" s="12">
        <v>1.3015000000000001</v>
      </c>
      <c r="K422" s="12">
        <v>5818.62</v>
      </c>
      <c r="L422">
        <v>8.93</v>
      </c>
      <c r="M422">
        <v>265.76</v>
      </c>
      <c r="N422" s="13">
        <v>4.5699999999999998E-2</v>
      </c>
      <c r="O422" t="s">
        <v>57</v>
      </c>
      <c r="Q422">
        <f t="shared" si="110"/>
        <v>274.69458999999938</v>
      </c>
      <c r="R422">
        <f t="shared" si="111"/>
        <v>265.76458999999937</v>
      </c>
      <c r="S422">
        <f t="shared" si="112"/>
        <v>6093.1804900000006</v>
      </c>
      <c r="U422">
        <f t="shared" si="99"/>
        <v>0.36907800000000002</v>
      </c>
      <c r="V422">
        <f t="shared" si="113"/>
        <v>1650.0001068000001</v>
      </c>
      <c r="W422">
        <f t="shared" si="100"/>
        <v>77.897602679999821</v>
      </c>
      <c r="X422">
        <f t="shared" si="101"/>
        <v>3.37789781628</v>
      </c>
      <c r="Y422">
        <f t="shared" si="102"/>
        <v>74.519704863719824</v>
      </c>
      <c r="Z422">
        <f t="shared" si="103"/>
        <v>39399.966440751152</v>
      </c>
      <c r="AB422">
        <f t="shared" si="104"/>
        <v>1.4382239999999999</v>
      </c>
      <c r="AC422">
        <f t="shared" si="105"/>
        <v>6429.7242144000002</v>
      </c>
      <c r="AD422">
        <f t="shared" si="106"/>
        <v>303.55155743999927</v>
      </c>
      <c r="AE422">
        <f t="shared" si="107"/>
        <v>13.162999986239999</v>
      </c>
      <c r="AF422">
        <f t="shared" si="108"/>
        <v>290.38855745375929</v>
      </c>
      <c r="AG422">
        <f t="shared" si="98"/>
        <v>64587.616216986607</v>
      </c>
      <c r="AH422" t="b">
        <f t="shared" si="109"/>
        <v>1</v>
      </c>
    </row>
    <row r="423" spans="4:34" hidden="1" x14ac:dyDescent="0.4">
      <c r="D423" t="s">
        <v>52</v>
      </c>
      <c r="E423" t="s">
        <v>37</v>
      </c>
      <c r="F423" s="9">
        <v>45935.125</v>
      </c>
      <c r="G423">
        <v>4.5019999999999998</v>
      </c>
      <c r="H423" s="9">
        <v>45937.125</v>
      </c>
      <c r="I423">
        <v>4.6059999999999999</v>
      </c>
      <c r="J423">
        <v>526.14</v>
      </c>
      <c r="K423" s="12">
        <v>2368.6999999999998</v>
      </c>
      <c r="L423">
        <v>3.59</v>
      </c>
      <c r="M423">
        <v>51.12</v>
      </c>
      <c r="N423" s="13">
        <v>2.1600000000000001E-2</v>
      </c>
      <c r="O423" t="s">
        <v>38</v>
      </c>
      <c r="Q423">
        <f t="shared" si="110"/>
        <v>54.718560000000046</v>
      </c>
      <c r="R423">
        <f t="shared" si="111"/>
        <v>51.12856000000005</v>
      </c>
      <c r="S423">
        <f t="shared" si="112"/>
        <v>2423.4008399999998</v>
      </c>
      <c r="U423">
        <f t="shared" si="99"/>
        <v>366.50377600000002</v>
      </c>
      <c r="V423">
        <f t="shared" si="113"/>
        <v>1649.999999552</v>
      </c>
      <c r="W423">
        <f t="shared" si="100"/>
        <v>38.116392704000035</v>
      </c>
      <c r="X423">
        <f t="shared" si="101"/>
        <v>3.3381163918080006</v>
      </c>
      <c r="Y423">
        <f t="shared" si="102"/>
        <v>34.778276312192034</v>
      </c>
      <c r="Z423">
        <f t="shared" si="103"/>
        <v>39325.446735887432</v>
      </c>
      <c r="AB423">
        <f t="shared" si="104"/>
        <v>1425.188553</v>
      </c>
      <c r="AC423">
        <f t="shared" si="105"/>
        <v>6416.1988656059993</v>
      </c>
      <c r="AD423">
        <f t="shared" si="106"/>
        <v>148.21960951200012</v>
      </c>
      <c r="AE423">
        <f t="shared" si="107"/>
        <v>12.980617340724002</v>
      </c>
      <c r="AF423">
        <f t="shared" si="108"/>
        <v>135.23899217127612</v>
      </c>
      <c r="AG423">
        <f t="shared" si="98"/>
        <v>64297.227659532851</v>
      </c>
      <c r="AH423" t="b">
        <f t="shared" si="109"/>
        <v>1</v>
      </c>
    </row>
    <row r="424" spans="4:34" hidden="1" x14ac:dyDescent="0.4">
      <c r="D424" t="s">
        <v>54</v>
      </c>
      <c r="E424" t="s">
        <v>37</v>
      </c>
      <c r="F424" s="9">
        <v>45935.125</v>
      </c>
      <c r="G424">
        <v>227.93</v>
      </c>
      <c r="H424" s="9">
        <v>45937.125</v>
      </c>
      <c r="I424">
        <v>232.86</v>
      </c>
      <c r="J424">
        <v>22.323</v>
      </c>
      <c r="K424" s="12">
        <v>5088.16</v>
      </c>
      <c r="L424">
        <v>7.71</v>
      </c>
      <c r="M424">
        <v>102.34</v>
      </c>
      <c r="N424" s="13">
        <v>2.01E-2</v>
      </c>
      <c r="O424" t="s">
        <v>38</v>
      </c>
      <c r="Q424">
        <f t="shared" si="110"/>
        <v>110.05239000000016</v>
      </c>
      <c r="R424">
        <f t="shared" si="111"/>
        <v>102.34239000000017</v>
      </c>
      <c r="S424">
        <f t="shared" si="112"/>
        <v>5198.1337800000001</v>
      </c>
      <c r="U424">
        <f t="shared" si="99"/>
        <v>7.2390650000000001</v>
      </c>
      <c r="V424">
        <f t="shared" si="113"/>
        <v>1650.0000854500001</v>
      </c>
      <c r="W424">
        <f t="shared" si="100"/>
        <v>35.688590450000049</v>
      </c>
      <c r="X424">
        <f t="shared" si="101"/>
        <v>3.3356887613500001</v>
      </c>
      <c r="Y424">
        <f t="shared" si="102"/>
        <v>32.35290168865005</v>
      </c>
      <c r="Z424">
        <f t="shared" si="103"/>
        <v>39290.668459575238</v>
      </c>
      <c r="AB424">
        <f t="shared" si="104"/>
        <v>28.094778000000002</v>
      </c>
      <c r="AC424">
        <f t="shared" si="105"/>
        <v>6403.6427495400003</v>
      </c>
      <c r="AD424">
        <f t="shared" si="106"/>
        <v>138.50725554000019</v>
      </c>
      <c r="AE424">
        <f t="shared" si="107"/>
        <v>12.945792754620001</v>
      </c>
      <c r="AF424">
        <f t="shared" si="108"/>
        <v>125.56146278538019</v>
      </c>
      <c r="AG424">
        <f t="shared" si="98"/>
        <v>64161.988667361577</v>
      </c>
      <c r="AH424" t="b">
        <f t="shared" si="109"/>
        <v>1</v>
      </c>
    </row>
    <row r="425" spans="4:34" hidden="1" x14ac:dyDescent="0.4">
      <c r="D425" t="s">
        <v>58</v>
      </c>
      <c r="E425" t="s">
        <v>37</v>
      </c>
      <c r="F425" s="9">
        <v>45935.125</v>
      </c>
      <c r="G425">
        <v>22.13</v>
      </c>
      <c r="H425" s="9">
        <v>45937.125</v>
      </c>
      <c r="I425">
        <v>23.54</v>
      </c>
      <c r="J425" s="12">
        <v>340.86</v>
      </c>
      <c r="K425" s="12">
        <v>7543.42</v>
      </c>
      <c r="L425">
        <v>11.68</v>
      </c>
      <c r="M425">
        <v>468.94</v>
      </c>
      <c r="N425" s="13">
        <v>6.2199999999999998E-2</v>
      </c>
      <c r="O425" t="s">
        <v>38</v>
      </c>
      <c r="Q425">
        <f t="shared" si="110"/>
        <v>480.61260000000004</v>
      </c>
      <c r="R425">
        <f t="shared" si="111"/>
        <v>468.93260000000004</v>
      </c>
      <c r="S425">
        <f t="shared" si="112"/>
        <v>8023.8444</v>
      </c>
      <c r="U425">
        <f t="shared" si="99"/>
        <v>74.559421999999998</v>
      </c>
      <c r="V425">
        <f t="shared" si="113"/>
        <v>1650.00000886</v>
      </c>
      <c r="W425">
        <f t="shared" si="100"/>
        <v>105.12878502000001</v>
      </c>
      <c r="X425">
        <f t="shared" si="101"/>
        <v>3.4051288027400002</v>
      </c>
      <c r="Y425">
        <f t="shared" si="102"/>
        <v>101.72365621726001</v>
      </c>
      <c r="Z425">
        <f t="shared" si="103"/>
        <v>39258.315557886584</v>
      </c>
      <c r="AB425">
        <f t="shared" si="104"/>
        <v>287.59176300000001</v>
      </c>
      <c r="AC425">
        <f t="shared" si="105"/>
        <v>6364.4057151899997</v>
      </c>
      <c r="AD425">
        <f t="shared" si="106"/>
        <v>405.50438583000005</v>
      </c>
      <c r="AE425">
        <f t="shared" si="107"/>
        <v>13.134315816210002</v>
      </c>
      <c r="AF425">
        <f t="shared" si="108"/>
        <v>392.37007001379004</v>
      </c>
      <c r="AG425">
        <f t="shared" si="98"/>
        <v>64036.427204576197</v>
      </c>
      <c r="AH425" t="b">
        <f t="shared" si="109"/>
        <v>1</v>
      </c>
    </row>
    <row r="426" spans="4:34" hidden="1" x14ac:dyDescent="0.4">
      <c r="D426" t="s">
        <v>61</v>
      </c>
      <c r="E426" t="s">
        <v>37</v>
      </c>
      <c r="F426" s="9">
        <v>45935.125</v>
      </c>
      <c r="G426">
        <v>0.84109999999999996</v>
      </c>
      <c r="H426" s="9">
        <v>45937.125</v>
      </c>
      <c r="I426">
        <v>0.87290000000000001</v>
      </c>
      <c r="J426" s="12">
        <v>10226.4</v>
      </c>
      <c r="K426" s="12">
        <v>8601.48</v>
      </c>
      <c r="L426">
        <v>13.15</v>
      </c>
      <c r="M426">
        <v>312.05</v>
      </c>
      <c r="N426" s="13">
        <v>3.6299999999999999E-2</v>
      </c>
      <c r="O426" t="s">
        <v>38</v>
      </c>
      <c r="Q426">
        <f t="shared" si="110"/>
        <v>325.19952000000052</v>
      </c>
      <c r="R426">
        <f t="shared" si="111"/>
        <v>312.04952000000054</v>
      </c>
      <c r="S426">
        <f t="shared" si="112"/>
        <v>8926.6245600000002</v>
      </c>
      <c r="U426">
        <f t="shared" si="99"/>
        <v>1961.716799</v>
      </c>
      <c r="V426">
        <f t="shared" si="113"/>
        <v>1649.9999996388999</v>
      </c>
      <c r="W426">
        <f t="shared" si="100"/>
        <v>62.382594208200103</v>
      </c>
      <c r="X426">
        <f t="shared" si="101"/>
        <v>3.3623825934860001</v>
      </c>
      <c r="Y426">
        <f t="shared" si="102"/>
        <v>59.0202116147141</v>
      </c>
      <c r="Z426">
        <f t="shared" si="103"/>
        <v>39156.591901669322</v>
      </c>
      <c r="AB426">
        <f t="shared" si="104"/>
        <v>7539.794895</v>
      </c>
      <c r="AC426">
        <f t="shared" si="105"/>
        <v>6341.7214861844996</v>
      </c>
      <c r="AD426">
        <f t="shared" si="106"/>
        <v>239.76547766100038</v>
      </c>
      <c r="AE426">
        <f t="shared" si="107"/>
        <v>12.92320845003</v>
      </c>
      <c r="AF426">
        <f t="shared" si="108"/>
        <v>226.84226921097039</v>
      </c>
      <c r="AG426">
        <f t="shared" ref="AG426:AG489" si="114">AG427*AH426 + (1-AH426)*AI426+AF426</f>
        <v>63644.057134562405</v>
      </c>
      <c r="AH426" t="b">
        <f t="shared" si="109"/>
        <v>1</v>
      </c>
    </row>
    <row r="427" spans="4:34" hidden="1" x14ac:dyDescent="0.4">
      <c r="D427" t="s">
        <v>43</v>
      </c>
      <c r="E427" t="s">
        <v>37</v>
      </c>
      <c r="F427" s="9">
        <v>45934.75</v>
      </c>
      <c r="G427" s="12">
        <v>3.5417000000000001</v>
      </c>
      <c r="H427" s="9">
        <v>45936.75</v>
      </c>
      <c r="I427" s="12">
        <v>3.6636000000000002</v>
      </c>
      <c r="J427">
        <v>549.29999999999995</v>
      </c>
      <c r="K427" s="12">
        <v>1945.59</v>
      </c>
      <c r="L427">
        <v>2.97</v>
      </c>
      <c r="M427">
        <v>63.99</v>
      </c>
      <c r="N427" s="13">
        <v>3.2899999999999999E-2</v>
      </c>
      <c r="O427" t="s">
        <v>38</v>
      </c>
      <c r="Q427">
        <f t="shared" si="110"/>
        <v>66.95967000000006</v>
      </c>
      <c r="R427">
        <f t="shared" si="111"/>
        <v>63.989670000000061</v>
      </c>
      <c r="S427">
        <f t="shared" si="112"/>
        <v>2012.4154799999999</v>
      </c>
      <c r="U427">
        <f t="shared" si="99"/>
        <v>465.87796800000001</v>
      </c>
      <c r="V427">
        <f t="shared" si="113"/>
        <v>1649.9999992656001</v>
      </c>
      <c r="W427">
        <f t="shared" si="100"/>
        <v>56.790524299200058</v>
      </c>
      <c r="X427">
        <f t="shared" si="101"/>
        <v>3.3567905228304005</v>
      </c>
      <c r="Y427">
        <f t="shared" si="102"/>
        <v>53.433733776369657</v>
      </c>
      <c r="Z427">
        <f t="shared" si="103"/>
        <v>39097.57169005461</v>
      </c>
      <c r="AB427">
        <f t="shared" si="104"/>
        <v>1784.806928</v>
      </c>
      <c r="AC427">
        <f t="shared" si="105"/>
        <v>6321.2506968976004</v>
      </c>
      <c r="AD427">
        <f t="shared" si="106"/>
        <v>217.5679645232002</v>
      </c>
      <c r="AE427">
        <f t="shared" si="107"/>
        <v>12.8600693583184</v>
      </c>
      <c r="AF427">
        <f t="shared" si="108"/>
        <v>204.70789516488179</v>
      </c>
      <c r="AG427">
        <f t="shared" si="114"/>
        <v>63417.214865351438</v>
      </c>
      <c r="AH427" t="b">
        <f t="shared" si="109"/>
        <v>1</v>
      </c>
    </row>
    <row r="428" spans="4:34" hidden="1" x14ac:dyDescent="0.4">
      <c r="D428" t="s">
        <v>50</v>
      </c>
      <c r="E428" t="s">
        <v>37</v>
      </c>
      <c r="F428" s="9">
        <v>45934.75</v>
      </c>
      <c r="G428" s="12">
        <v>316.7</v>
      </c>
      <c r="H428" s="9">
        <v>45936.75</v>
      </c>
      <c r="I428" s="12">
        <v>344.3</v>
      </c>
      <c r="J428">
        <v>41.766100000000002</v>
      </c>
      <c r="K428" s="12">
        <v>13227.34</v>
      </c>
      <c r="L428">
        <v>20.71</v>
      </c>
      <c r="M428" s="12">
        <v>1132.04</v>
      </c>
      <c r="N428" s="13">
        <v>8.5599999999999996E-2</v>
      </c>
      <c r="O428" t="s">
        <v>38</v>
      </c>
      <c r="Q428">
        <f t="shared" si="110"/>
        <v>1152.7443600000011</v>
      </c>
      <c r="R428">
        <f t="shared" si="111"/>
        <v>1132.034360000001</v>
      </c>
      <c r="S428">
        <f t="shared" si="112"/>
        <v>14380.068230000001</v>
      </c>
      <c r="U428">
        <f t="shared" si="99"/>
        <v>5.2099780000000004</v>
      </c>
      <c r="V428">
        <f t="shared" si="113"/>
        <v>1650.0000326000002</v>
      </c>
      <c r="W428">
        <f t="shared" si="100"/>
        <v>143.79539280000014</v>
      </c>
      <c r="X428">
        <f t="shared" si="101"/>
        <v>3.4437954580000003</v>
      </c>
      <c r="Y428">
        <f t="shared" si="102"/>
        <v>140.35159734200013</v>
      </c>
      <c r="Z428">
        <f t="shared" si="103"/>
        <v>39044.137956278239</v>
      </c>
      <c r="AB428">
        <f t="shared" si="104"/>
        <v>19.791395000000001</v>
      </c>
      <c r="AC428">
        <f t="shared" si="105"/>
        <v>6267.9347965000006</v>
      </c>
      <c r="AD428">
        <f t="shared" si="106"/>
        <v>546.24250200000051</v>
      </c>
      <c r="AE428">
        <f t="shared" si="107"/>
        <v>13.082112095000001</v>
      </c>
      <c r="AF428">
        <f t="shared" si="108"/>
        <v>533.16038990500056</v>
      </c>
      <c r="AG428">
        <f t="shared" si="114"/>
        <v>63212.506970186558</v>
      </c>
      <c r="AH428" t="b">
        <f t="shared" si="109"/>
        <v>1</v>
      </c>
    </row>
    <row r="429" spans="4:34" hidden="1" x14ac:dyDescent="0.4">
      <c r="D429" t="s">
        <v>59</v>
      </c>
      <c r="E429" t="s">
        <v>37</v>
      </c>
      <c r="F429" s="9">
        <v>45934</v>
      </c>
      <c r="G429" s="12">
        <v>122587.26</v>
      </c>
      <c r="H429" s="9">
        <v>45936.5</v>
      </c>
      <c r="I429" s="12">
        <v>124034.99</v>
      </c>
      <c r="J429" s="12">
        <v>8.6669999999999997E-2</v>
      </c>
      <c r="K429" s="12">
        <v>10625.67</v>
      </c>
      <c r="L429">
        <v>16.03</v>
      </c>
      <c r="M429">
        <v>109.44</v>
      </c>
      <c r="N429" s="13">
        <v>1.03E-2</v>
      </c>
      <c r="O429" t="s">
        <v>57</v>
      </c>
      <c r="Q429">
        <f t="shared" si="110"/>
        <v>125.47475910000091</v>
      </c>
      <c r="R429">
        <f t="shared" si="111"/>
        <v>109.44475910000091</v>
      </c>
      <c r="S429">
        <f t="shared" si="112"/>
        <v>10750.112583300001</v>
      </c>
      <c r="U429">
        <f t="shared" si="99"/>
        <v>1.346E-2</v>
      </c>
      <c r="V429">
        <f t="shared" si="113"/>
        <v>1650.0245195999998</v>
      </c>
      <c r="W429">
        <f t="shared" si="100"/>
        <v>19.486445800000141</v>
      </c>
      <c r="X429">
        <f t="shared" si="101"/>
        <v>3.3195354849999998</v>
      </c>
      <c r="Y429">
        <f t="shared" si="102"/>
        <v>16.166910315000141</v>
      </c>
      <c r="Z429">
        <f t="shared" si="103"/>
        <v>38903.786358936239</v>
      </c>
      <c r="AB429">
        <f t="shared" si="104"/>
        <v>5.108E-2</v>
      </c>
      <c r="AC429">
        <f t="shared" si="105"/>
        <v>6261.7572407999996</v>
      </c>
      <c r="AD429">
        <f t="shared" si="106"/>
        <v>73.95004840000054</v>
      </c>
      <c r="AE429">
        <f t="shared" si="107"/>
        <v>12.59746453</v>
      </c>
      <c r="AF429">
        <f t="shared" si="108"/>
        <v>61.352583870000544</v>
      </c>
      <c r="AG429">
        <f t="shared" si="114"/>
        <v>62679.346580281555</v>
      </c>
      <c r="AH429" t="b">
        <f t="shared" si="109"/>
        <v>1</v>
      </c>
    </row>
    <row r="430" spans="4:34" hidden="1" x14ac:dyDescent="0.4">
      <c r="D430" t="s">
        <v>53</v>
      </c>
      <c r="E430" t="s">
        <v>37</v>
      </c>
      <c r="F430" s="9">
        <v>45934</v>
      </c>
      <c r="G430" s="12">
        <v>1183.6400000000001</v>
      </c>
      <c r="H430" s="9">
        <v>45936</v>
      </c>
      <c r="I430" s="12">
        <v>1162.23</v>
      </c>
      <c r="J430">
        <v>8.3629999999999995</v>
      </c>
      <c r="K430" s="12">
        <v>9899.2000000000007</v>
      </c>
      <c r="L430">
        <v>14.71</v>
      </c>
      <c r="M430">
        <v>-193.77</v>
      </c>
      <c r="N430" s="13">
        <v>-1.9599999999999999E-2</v>
      </c>
      <c r="O430" t="s">
        <v>38</v>
      </c>
      <c r="Q430">
        <f t="shared" si="110"/>
        <v>-179.05183000000068</v>
      </c>
      <c r="R430">
        <f t="shared" si="111"/>
        <v>-193.76183000000069</v>
      </c>
      <c r="S430">
        <f t="shared" si="112"/>
        <v>9719.7294899999997</v>
      </c>
      <c r="U430">
        <f t="shared" si="99"/>
        <v>1.3940049999999999</v>
      </c>
      <c r="V430">
        <f t="shared" si="113"/>
        <v>1650.0000782</v>
      </c>
      <c r="W430">
        <f t="shared" si="100"/>
        <v>-29.845647050000114</v>
      </c>
      <c r="X430">
        <f t="shared" si="101"/>
        <v>3.2701545093500002</v>
      </c>
      <c r="Y430">
        <f t="shared" si="102"/>
        <v>-33.115801559350118</v>
      </c>
      <c r="Z430">
        <f t="shared" si="103"/>
        <v>38887.619448621241</v>
      </c>
      <c r="AB430">
        <f t="shared" si="104"/>
        <v>5.3009300000000001</v>
      </c>
      <c r="AC430">
        <f t="shared" si="105"/>
        <v>6274.3927852000006</v>
      </c>
      <c r="AD430">
        <f t="shared" si="106"/>
        <v>-113.49291130000044</v>
      </c>
      <c r="AE430">
        <f t="shared" si="107"/>
        <v>12.435292659100002</v>
      </c>
      <c r="AF430">
        <f t="shared" si="108"/>
        <v>-125.92820395910044</v>
      </c>
      <c r="AG430">
        <f t="shared" si="114"/>
        <v>62617.993996411555</v>
      </c>
      <c r="AH430" t="b">
        <f t="shared" si="109"/>
        <v>1</v>
      </c>
    </row>
    <row r="431" spans="4:34" hidden="1" x14ac:dyDescent="0.4">
      <c r="D431" t="s">
        <v>60</v>
      </c>
      <c r="E431" t="s">
        <v>37</v>
      </c>
      <c r="F431" s="9">
        <v>45933.25</v>
      </c>
      <c r="G431">
        <v>3.0320999999999998</v>
      </c>
      <c r="H431" s="9">
        <v>45935.75</v>
      </c>
      <c r="I431">
        <v>3.0034000000000001</v>
      </c>
      <c r="J431">
        <v>754.3</v>
      </c>
      <c r="K431" s="12">
        <v>2287.15</v>
      </c>
      <c r="L431">
        <v>3.41</v>
      </c>
      <c r="M431">
        <v>-25.06</v>
      </c>
      <c r="N431" s="13">
        <v>-1.0999999999999999E-2</v>
      </c>
      <c r="O431" t="s">
        <v>57</v>
      </c>
      <c r="Q431">
        <f t="shared" si="110"/>
        <v>-21.648409999999792</v>
      </c>
      <c r="R431">
        <f t="shared" si="111"/>
        <v>-25.058409999999792</v>
      </c>
      <c r="S431">
        <f t="shared" si="112"/>
        <v>2265.4646199999997</v>
      </c>
      <c r="U431">
        <f t="shared" si="99"/>
        <v>544.17730300000005</v>
      </c>
      <c r="V431">
        <f t="shared" si="113"/>
        <v>1650.0000004262999</v>
      </c>
      <c r="W431">
        <f t="shared" si="100"/>
        <v>-15.617888596099853</v>
      </c>
      <c r="X431">
        <f t="shared" si="101"/>
        <v>3.2843821122565005</v>
      </c>
      <c r="Y431">
        <f t="shared" si="102"/>
        <v>-18.902270708356355</v>
      </c>
      <c r="Z431">
        <f t="shared" si="103"/>
        <v>38920.735250180594</v>
      </c>
      <c r="AB431">
        <f t="shared" si="104"/>
        <v>2071.695643</v>
      </c>
      <c r="AC431">
        <f t="shared" si="105"/>
        <v>6281.5883591402999</v>
      </c>
      <c r="AD431">
        <f t="shared" si="106"/>
        <v>-59.457664954099435</v>
      </c>
      <c r="AE431">
        <f t="shared" si="107"/>
        <v>12.503719053326501</v>
      </c>
      <c r="AF431">
        <f t="shared" si="108"/>
        <v>-71.961384007425934</v>
      </c>
      <c r="AG431">
        <f t="shared" si="114"/>
        <v>62743.922200370653</v>
      </c>
      <c r="AH431" t="b">
        <f t="shared" si="109"/>
        <v>1</v>
      </c>
    </row>
    <row r="432" spans="4:34" hidden="1" x14ac:dyDescent="0.4">
      <c r="D432" t="s">
        <v>55</v>
      </c>
      <c r="E432" t="s">
        <v>37</v>
      </c>
      <c r="F432" s="9">
        <v>45933.416666666664</v>
      </c>
      <c r="G432" s="12">
        <v>5.6310000000000001E-5</v>
      </c>
      <c r="H432" s="9">
        <v>45935.416666666664</v>
      </c>
      <c r="I432" s="12">
        <v>5.7070000000000001E-5</v>
      </c>
      <c r="J432" s="12">
        <v>105183153.64</v>
      </c>
      <c r="K432" s="12">
        <v>5922.86</v>
      </c>
      <c r="L432">
        <v>8.94</v>
      </c>
      <c r="M432">
        <v>70.989999999999995</v>
      </c>
      <c r="N432" s="13">
        <v>1.2E-2</v>
      </c>
      <c r="O432" t="s">
        <v>38</v>
      </c>
      <c r="Q432">
        <f t="shared" si="110"/>
        <v>79.939196766399945</v>
      </c>
      <c r="R432">
        <f t="shared" si="111"/>
        <v>70.999196766399947</v>
      </c>
      <c r="S432">
        <f t="shared" si="112"/>
        <v>6002.8025782348004</v>
      </c>
      <c r="U432">
        <f t="shared" si="99"/>
        <v>29302077.783697002</v>
      </c>
      <c r="V432">
        <f t="shared" si="113"/>
        <v>1649.9999999999782</v>
      </c>
      <c r="W432">
        <f t="shared" si="100"/>
        <v>22.269579115609705</v>
      </c>
      <c r="X432">
        <f t="shared" si="101"/>
        <v>3.3222695791155661</v>
      </c>
      <c r="Y432">
        <f t="shared" si="102"/>
        <v>18.947309536494139</v>
      </c>
      <c r="Z432">
        <f t="shared" si="103"/>
        <v>38939.637520888951</v>
      </c>
      <c r="AB432">
        <f t="shared" si="104"/>
        <v>111425738.719956</v>
      </c>
      <c r="AC432">
        <f t="shared" si="105"/>
        <v>6274.3833473207224</v>
      </c>
      <c r="AD432">
        <f t="shared" si="106"/>
        <v>84.683561427166495</v>
      </c>
      <c r="AE432">
        <f t="shared" si="107"/>
        <v>12.633450256068611</v>
      </c>
      <c r="AF432">
        <f t="shared" si="108"/>
        <v>72.050111171097882</v>
      </c>
      <c r="AG432">
        <f t="shared" si="114"/>
        <v>62815.883584378076</v>
      </c>
      <c r="AH432" t="b">
        <f t="shared" si="109"/>
        <v>1</v>
      </c>
    </row>
    <row r="433" spans="4:34" hidden="1" x14ac:dyDescent="0.4">
      <c r="D433" t="s">
        <v>48</v>
      </c>
      <c r="E433" t="s">
        <v>37</v>
      </c>
      <c r="F433" s="9">
        <v>45933.25</v>
      </c>
      <c r="G433">
        <v>0.104</v>
      </c>
      <c r="H433" s="9">
        <v>45935.25</v>
      </c>
      <c r="I433">
        <v>0.1036</v>
      </c>
      <c r="J433" s="12">
        <v>29945.200000000001</v>
      </c>
      <c r="K433" s="12">
        <v>3114.3</v>
      </c>
      <c r="L433">
        <v>4.66</v>
      </c>
      <c r="M433">
        <v>-16.64</v>
      </c>
      <c r="N433" s="13">
        <v>-5.3E-3</v>
      </c>
      <c r="O433" t="s">
        <v>38</v>
      </c>
      <c r="Q433">
        <f t="shared" si="110"/>
        <v>-11.978079999999927</v>
      </c>
      <c r="R433">
        <f t="shared" si="111"/>
        <v>-16.638079999999928</v>
      </c>
      <c r="S433">
        <f t="shared" si="112"/>
        <v>3102.3227200000001</v>
      </c>
      <c r="U433">
        <f t="shared" si="99"/>
        <v>15865.384615000001</v>
      </c>
      <c r="V433">
        <f t="shared" si="113"/>
        <v>1649.99999996</v>
      </c>
      <c r="W433">
        <f t="shared" si="100"/>
        <v>-6.3461538459999618</v>
      </c>
      <c r="X433">
        <f t="shared" si="101"/>
        <v>3.2936538460740001</v>
      </c>
      <c r="Y433">
        <f t="shared" si="102"/>
        <v>-9.6398076920739619</v>
      </c>
      <c r="Z433">
        <f t="shared" si="103"/>
        <v>38920.690211352456</v>
      </c>
      <c r="AB433">
        <f t="shared" si="104"/>
        <v>60365.876710999997</v>
      </c>
      <c r="AC433">
        <f t="shared" si="105"/>
        <v>6278.0511779439994</v>
      </c>
      <c r="AD433">
        <f t="shared" si="106"/>
        <v>-24.146350684399852</v>
      </c>
      <c r="AE433">
        <f t="shared" si="107"/>
        <v>12.5319560052036</v>
      </c>
      <c r="AF433">
        <f t="shared" si="108"/>
        <v>-36.678306689603453</v>
      </c>
      <c r="AG433">
        <f t="shared" si="114"/>
        <v>62743.833473206978</v>
      </c>
      <c r="AH433" t="b">
        <f t="shared" si="109"/>
        <v>1</v>
      </c>
    </row>
    <row r="434" spans="4:34" hidden="1" x14ac:dyDescent="0.4">
      <c r="D434" t="s">
        <v>58</v>
      </c>
      <c r="E434" t="s">
        <v>37</v>
      </c>
      <c r="F434" s="9">
        <v>45933.041666666664</v>
      </c>
      <c r="G434">
        <v>22.8</v>
      </c>
      <c r="H434" s="9">
        <v>45935.041666666664</v>
      </c>
      <c r="I434">
        <v>22.04</v>
      </c>
      <c r="J434" s="12">
        <v>332</v>
      </c>
      <c r="K434" s="12">
        <v>7569.77</v>
      </c>
      <c r="L434">
        <v>11.17</v>
      </c>
      <c r="M434">
        <v>-263.49</v>
      </c>
      <c r="N434" s="13">
        <v>-3.4799999999999998E-2</v>
      </c>
      <c r="O434" t="s">
        <v>38</v>
      </c>
      <c r="Q434">
        <f t="shared" si="110"/>
        <v>-252.3200000000005</v>
      </c>
      <c r="R434">
        <f t="shared" si="111"/>
        <v>-263.49000000000052</v>
      </c>
      <c r="S434">
        <f t="shared" si="112"/>
        <v>7317.28</v>
      </c>
      <c r="U434">
        <f t="shared" si="99"/>
        <v>72.368420999999998</v>
      </c>
      <c r="V434">
        <f t="shared" si="113"/>
        <v>1649.9999988</v>
      </c>
      <c r="W434">
        <f t="shared" si="100"/>
        <v>-54.99999996000011</v>
      </c>
      <c r="X434">
        <f t="shared" si="101"/>
        <v>3.2449999976400004</v>
      </c>
      <c r="Y434">
        <f t="shared" si="102"/>
        <v>-58.244999957640111</v>
      </c>
      <c r="Z434">
        <f t="shared" si="103"/>
        <v>38930.33001904453</v>
      </c>
      <c r="AB434">
        <f t="shared" si="104"/>
        <v>276.32856199999998</v>
      </c>
      <c r="AC434">
        <f t="shared" si="105"/>
        <v>6300.2912135999995</v>
      </c>
      <c r="AD434">
        <f t="shared" si="106"/>
        <v>-210.00970712000043</v>
      </c>
      <c r="AE434">
        <f t="shared" si="107"/>
        <v>12.39057272008</v>
      </c>
      <c r="AF434">
        <f t="shared" si="108"/>
        <v>-222.40027984008043</v>
      </c>
      <c r="AG434">
        <f t="shared" si="114"/>
        <v>62780.51177989658</v>
      </c>
      <c r="AH434" t="b">
        <f t="shared" si="109"/>
        <v>1</v>
      </c>
    </row>
    <row r="435" spans="4:34" hidden="1" x14ac:dyDescent="0.4">
      <c r="D435" t="s">
        <v>43</v>
      </c>
      <c r="E435" t="s">
        <v>37</v>
      </c>
      <c r="F435" s="9">
        <v>45932.708333333336</v>
      </c>
      <c r="G435">
        <v>3.5550000000000002</v>
      </c>
      <c r="H435" s="9">
        <v>45934.708333333336</v>
      </c>
      <c r="I435">
        <v>3.5137</v>
      </c>
      <c r="J435">
        <v>548</v>
      </c>
      <c r="K435" s="12">
        <v>1948.14</v>
      </c>
      <c r="L435">
        <v>2.91</v>
      </c>
      <c r="M435">
        <v>-25.54</v>
      </c>
      <c r="N435" s="13">
        <v>-1.3100000000000001E-2</v>
      </c>
      <c r="O435" t="s">
        <v>38</v>
      </c>
      <c r="Q435">
        <f t="shared" si="110"/>
        <v>-22.632400000000061</v>
      </c>
      <c r="R435">
        <f t="shared" si="111"/>
        <v>-25.542400000000061</v>
      </c>
      <c r="S435">
        <f t="shared" si="112"/>
        <v>1925.5075999999999</v>
      </c>
      <c r="U435">
        <f t="shared" si="99"/>
        <v>464.13502099999999</v>
      </c>
      <c r="V435">
        <f t="shared" si="113"/>
        <v>1649.999999655</v>
      </c>
      <c r="W435">
        <f t="shared" si="100"/>
        <v>-19.168776367300055</v>
      </c>
      <c r="X435">
        <f t="shared" si="101"/>
        <v>3.2808312229426999</v>
      </c>
      <c r="Y435">
        <f t="shared" si="102"/>
        <v>-22.449607590242756</v>
      </c>
      <c r="Z435">
        <f t="shared" si="103"/>
        <v>38988.575019002172</v>
      </c>
      <c r="AB435">
        <f t="shared" si="104"/>
        <v>1774.6483679999999</v>
      </c>
      <c r="AC435">
        <f t="shared" si="105"/>
        <v>6308.8749482399999</v>
      </c>
      <c r="AD435">
        <f t="shared" si="106"/>
        <v>-73.292977598400199</v>
      </c>
      <c r="AE435">
        <f t="shared" si="107"/>
        <v>12.544456918881599</v>
      </c>
      <c r="AF435">
        <f t="shared" si="108"/>
        <v>-85.837434517281793</v>
      </c>
      <c r="AG435">
        <f t="shared" si="114"/>
        <v>63002.912059736664</v>
      </c>
      <c r="AH435" t="b">
        <f t="shared" si="109"/>
        <v>1</v>
      </c>
    </row>
    <row r="436" spans="4:34" hidden="1" x14ac:dyDescent="0.4">
      <c r="D436" t="s">
        <v>52</v>
      </c>
      <c r="E436" t="s">
        <v>37</v>
      </c>
      <c r="F436" s="9">
        <v>45932.708333333336</v>
      </c>
      <c r="G436">
        <v>4.5149999999999997</v>
      </c>
      <c r="H436" s="9">
        <v>45934.708333333336</v>
      </c>
      <c r="I436">
        <v>4.4379999999999997</v>
      </c>
      <c r="J436" s="12">
        <v>525.6</v>
      </c>
      <c r="K436" s="12">
        <v>2373.1</v>
      </c>
      <c r="L436">
        <v>3.53</v>
      </c>
      <c r="M436">
        <v>-44</v>
      </c>
      <c r="N436" s="13">
        <v>-1.8499999999999999E-2</v>
      </c>
      <c r="O436" t="s">
        <v>38</v>
      </c>
      <c r="Q436">
        <f t="shared" si="110"/>
        <v>-40.471199999999982</v>
      </c>
      <c r="R436">
        <f t="shared" si="111"/>
        <v>-44.001199999999983</v>
      </c>
      <c r="S436">
        <f t="shared" si="112"/>
        <v>2332.6127999999999</v>
      </c>
      <c r="U436">
        <f t="shared" si="99"/>
        <v>365.44850500000001</v>
      </c>
      <c r="V436">
        <f t="shared" si="113"/>
        <v>1650.0000000749999</v>
      </c>
      <c r="W436">
        <f t="shared" si="100"/>
        <v>-28.139534884999986</v>
      </c>
      <c r="X436">
        <f t="shared" si="101"/>
        <v>3.2718604652649996</v>
      </c>
      <c r="Y436">
        <f t="shared" si="102"/>
        <v>-31.411395350264986</v>
      </c>
      <c r="Z436">
        <f t="shared" si="103"/>
        <v>39011.024626592414</v>
      </c>
      <c r="AB436">
        <f t="shared" si="104"/>
        <v>1399.9796670000001</v>
      </c>
      <c r="AC436">
        <f t="shared" si="105"/>
        <v>6320.908196505</v>
      </c>
      <c r="AD436">
        <f t="shared" si="106"/>
        <v>-107.79843435899994</v>
      </c>
      <c r="AE436">
        <f t="shared" si="107"/>
        <v>12.534017958650999</v>
      </c>
      <c r="AF436">
        <f t="shared" si="108"/>
        <v>-120.33245231765093</v>
      </c>
      <c r="AG436">
        <f t="shared" si="114"/>
        <v>63088.749494253949</v>
      </c>
      <c r="AH436" t="b">
        <f t="shared" si="109"/>
        <v>1</v>
      </c>
    </row>
    <row r="437" spans="4:34" hidden="1" x14ac:dyDescent="0.4">
      <c r="D437" t="s">
        <v>54</v>
      </c>
      <c r="E437" t="s">
        <v>37</v>
      </c>
      <c r="F437" s="9">
        <v>45932.708333333336</v>
      </c>
      <c r="G437">
        <v>227.33</v>
      </c>
      <c r="H437" s="9">
        <v>45934.708333333336</v>
      </c>
      <c r="I437">
        <v>225.03</v>
      </c>
      <c r="J437">
        <v>22.408000000000001</v>
      </c>
      <c r="K437" s="12">
        <v>5094.08</v>
      </c>
      <c r="L437">
        <v>7.6</v>
      </c>
      <c r="M437">
        <v>-59.14</v>
      </c>
      <c r="N437" s="13">
        <v>-1.1599999999999999E-2</v>
      </c>
      <c r="O437" t="s">
        <v>38</v>
      </c>
      <c r="Q437">
        <f t="shared" si="110"/>
        <v>-51.538400000000259</v>
      </c>
      <c r="R437">
        <f t="shared" si="111"/>
        <v>-59.13840000000026</v>
      </c>
      <c r="S437">
        <f t="shared" si="112"/>
        <v>5042.4722400000001</v>
      </c>
      <c r="U437">
        <f t="shared" si="99"/>
        <v>7.2581709999999999</v>
      </c>
      <c r="V437">
        <f t="shared" si="113"/>
        <v>1650.0000134300001</v>
      </c>
      <c r="W437">
        <f t="shared" si="100"/>
        <v>-16.693793300000081</v>
      </c>
      <c r="X437">
        <f t="shared" si="101"/>
        <v>3.2833062335600003</v>
      </c>
      <c r="Y437">
        <f t="shared" si="102"/>
        <v>-19.977099533560082</v>
      </c>
      <c r="Z437">
        <f t="shared" si="103"/>
        <v>39042.436021942682</v>
      </c>
      <c r="AB437">
        <f t="shared" si="104"/>
        <v>27.838694</v>
      </c>
      <c r="AC437">
        <f t="shared" si="105"/>
        <v>6328.5703070200007</v>
      </c>
      <c r="AD437">
        <f t="shared" si="106"/>
        <v>-64.028996200000321</v>
      </c>
      <c r="AE437">
        <f t="shared" si="107"/>
        <v>12.593111617840002</v>
      </c>
      <c r="AF437">
        <f t="shared" si="108"/>
        <v>-76.622107817840316</v>
      </c>
      <c r="AG437">
        <f t="shared" si="114"/>
        <v>63209.081946571598</v>
      </c>
      <c r="AH437" t="b">
        <f t="shared" si="109"/>
        <v>1</v>
      </c>
    </row>
    <row r="438" spans="4:34" hidden="1" x14ac:dyDescent="0.4">
      <c r="D438" t="s">
        <v>56</v>
      </c>
      <c r="E438" t="s">
        <v>37</v>
      </c>
      <c r="F438" s="9">
        <v>45934.625</v>
      </c>
      <c r="G438" s="12">
        <v>4503.2700000000004</v>
      </c>
      <c r="H438" s="9">
        <v>45934.708333333336</v>
      </c>
      <c r="I438" s="12">
        <v>4448.5600000000004</v>
      </c>
      <c r="J438">
        <v>1.2938000000000001</v>
      </c>
      <c r="K438" s="12">
        <v>5826.56</v>
      </c>
      <c r="L438">
        <v>8.69</v>
      </c>
      <c r="M438">
        <v>-79.47</v>
      </c>
      <c r="N438" s="13">
        <v>-1.3599999999999999E-2</v>
      </c>
      <c r="O438" t="s">
        <v>49</v>
      </c>
      <c r="Q438">
        <f t="shared" si="110"/>
        <v>-70.783798000000047</v>
      </c>
      <c r="R438">
        <f t="shared" si="111"/>
        <v>-79.473798000000045</v>
      </c>
      <c r="S438">
        <f t="shared" si="112"/>
        <v>5755.5469280000007</v>
      </c>
      <c r="U438">
        <f t="shared" si="99"/>
        <v>0.3664</v>
      </c>
      <c r="V438">
        <f t="shared" si="113"/>
        <v>1649.9981280000002</v>
      </c>
      <c r="W438">
        <f t="shared" si="100"/>
        <v>-20.045744000000013</v>
      </c>
      <c r="X438">
        <f t="shared" si="101"/>
        <v>3.2799505120000005</v>
      </c>
      <c r="Y438">
        <f t="shared" si="102"/>
        <v>-23.325694512000013</v>
      </c>
      <c r="Z438">
        <f t="shared" si="103"/>
        <v>39062.413121476238</v>
      </c>
      <c r="AB438">
        <f t="shared" si="104"/>
        <v>1.4073169999999999</v>
      </c>
      <c r="AC438">
        <f t="shared" si="105"/>
        <v>6337.52842659</v>
      </c>
      <c r="AD438">
        <f t="shared" si="106"/>
        <v>-76.994313070000047</v>
      </c>
      <c r="AE438">
        <f t="shared" si="107"/>
        <v>12.598062540110002</v>
      </c>
      <c r="AF438">
        <f t="shared" si="108"/>
        <v>-89.592375610110054</v>
      </c>
      <c r="AG438">
        <f t="shared" si="114"/>
        <v>63285.70405438944</v>
      </c>
      <c r="AH438" t="b">
        <f t="shared" si="109"/>
        <v>1</v>
      </c>
    </row>
    <row r="439" spans="4:34" hidden="1" x14ac:dyDescent="0.4">
      <c r="D439" t="s">
        <v>61</v>
      </c>
      <c r="E439" t="s">
        <v>37</v>
      </c>
      <c r="F439" s="9">
        <v>45932.708333333336</v>
      </c>
      <c r="G439">
        <v>0.85450000000000004</v>
      </c>
      <c r="H439" s="9">
        <v>45934.708333333336</v>
      </c>
      <c r="I439">
        <v>0.83609999999999995</v>
      </c>
      <c r="J439" s="12">
        <v>10089.299999999999</v>
      </c>
      <c r="K439" s="12">
        <v>8621.33</v>
      </c>
      <c r="L439">
        <v>12.79</v>
      </c>
      <c r="M439">
        <v>-198.44</v>
      </c>
      <c r="N439" s="13">
        <v>-2.3E-2</v>
      </c>
      <c r="O439" t="s">
        <v>38</v>
      </c>
      <c r="Q439">
        <f t="shared" si="110"/>
        <v>-185.64312000000083</v>
      </c>
      <c r="R439">
        <f t="shared" si="111"/>
        <v>-198.43312000000083</v>
      </c>
      <c r="S439">
        <f t="shared" si="112"/>
        <v>8435.6637299999984</v>
      </c>
      <c r="U439">
        <f t="shared" si="99"/>
        <v>1930.9537740000001</v>
      </c>
      <c r="V439">
        <f t="shared" si="113"/>
        <v>1649.9999998830001</v>
      </c>
      <c r="W439">
        <f t="shared" si="100"/>
        <v>-35.52954944160016</v>
      </c>
      <c r="X439">
        <f t="shared" si="101"/>
        <v>3.2644704503244002</v>
      </c>
      <c r="Y439">
        <f t="shared" si="102"/>
        <v>-38.794019891924563</v>
      </c>
      <c r="Z439">
        <f t="shared" si="103"/>
        <v>39085.738815988239</v>
      </c>
      <c r="AB439">
        <f t="shared" si="104"/>
        <v>7434.1313739999996</v>
      </c>
      <c r="AC439">
        <f t="shared" si="105"/>
        <v>6352.4652590830001</v>
      </c>
      <c r="AD439">
        <f t="shared" si="106"/>
        <v>-136.78801728160062</v>
      </c>
      <c r="AE439">
        <f t="shared" si="107"/>
        <v>12.568142500884399</v>
      </c>
      <c r="AF439">
        <f t="shared" si="108"/>
        <v>-149.35615978248501</v>
      </c>
      <c r="AG439">
        <f t="shared" si="114"/>
        <v>63375.296429999551</v>
      </c>
      <c r="AH439" t="b">
        <f t="shared" si="109"/>
        <v>1</v>
      </c>
    </row>
    <row r="440" spans="4:34" hidden="1" x14ac:dyDescent="0.4">
      <c r="D440" t="s">
        <v>50</v>
      </c>
      <c r="E440" t="s">
        <v>37</v>
      </c>
      <c r="F440" s="9">
        <v>45932.708333333336</v>
      </c>
      <c r="G440" s="12">
        <v>319</v>
      </c>
      <c r="H440" s="9">
        <v>45934.708333333336</v>
      </c>
      <c r="I440" s="12">
        <v>315.8</v>
      </c>
      <c r="J440">
        <v>41.512799999999999</v>
      </c>
      <c r="K440" s="12">
        <v>13242.6</v>
      </c>
      <c r="L440">
        <v>19.760000000000002</v>
      </c>
      <c r="M440">
        <v>-152.61000000000001</v>
      </c>
      <c r="N440" s="13">
        <v>-1.15E-2</v>
      </c>
      <c r="O440" t="s">
        <v>38</v>
      </c>
      <c r="Q440">
        <f t="shared" si="110"/>
        <v>-132.84095999999951</v>
      </c>
      <c r="R440">
        <f t="shared" si="111"/>
        <v>-152.6009599999995</v>
      </c>
      <c r="S440">
        <f t="shared" si="112"/>
        <v>13109.74224</v>
      </c>
      <c r="U440">
        <f t="shared" si="99"/>
        <v>5.1724139999999998</v>
      </c>
      <c r="V440">
        <f t="shared" si="113"/>
        <v>1650.0000660000001</v>
      </c>
      <c r="W440">
        <f t="shared" si="100"/>
        <v>-16.551724799999942</v>
      </c>
      <c r="X440">
        <f t="shared" si="101"/>
        <v>3.2834484071999994</v>
      </c>
      <c r="Y440">
        <f t="shared" si="102"/>
        <v>-19.83517320719994</v>
      </c>
      <c r="Z440">
        <f t="shared" si="103"/>
        <v>39124.532835880163</v>
      </c>
      <c r="AB440">
        <f t="shared" si="104"/>
        <v>19.937652</v>
      </c>
      <c r="AC440">
        <f t="shared" si="105"/>
        <v>6360.1109880000004</v>
      </c>
      <c r="AD440">
        <f t="shared" si="106"/>
        <v>-63.80048639999977</v>
      </c>
      <c r="AE440">
        <f t="shared" si="107"/>
        <v>12.656421489599998</v>
      </c>
      <c r="AF440">
        <f t="shared" si="108"/>
        <v>-76.456907889599762</v>
      </c>
      <c r="AG440">
        <f t="shared" si="114"/>
        <v>63524.652589782039</v>
      </c>
      <c r="AH440" t="b">
        <f t="shared" si="109"/>
        <v>1</v>
      </c>
    </row>
    <row r="441" spans="4:34" hidden="1" x14ac:dyDescent="0.4">
      <c r="D441" t="s">
        <v>56</v>
      </c>
      <c r="E441" t="s">
        <v>37</v>
      </c>
      <c r="F441" s="9">
        <v>45931.875</v>
      </c>
      <c r="G441" s="12">
        <v>4337.2700000000004</v>
      </c>
      <c r="H441" s="9">
        <v>45934.375</v>
      </c>
      <c r="I441" s="12">
        <v>4501.8999999999996</v>
      </c>
      <c r="J441">
        <v>1.3384</v>
      </c>
      <c r="K441" s="12">
        <v>5805.42</v>
      </c>
      <c r="L441">
        <v>8.8699999999999992</v>
      </c>
      <c r="M441">
        <v>211.47</v>
      </c>
      <c r="N441" s="13">
        <v>3.6400000000000002E-2</v>
      </c>
      <c r="O441" t="s">
        <v>57</v>
      </c>
      <c r="Q441">
        <f t="shared" si="110"/>
        <v>220.34079199999894</v>
      </c>
      <c r="R441">
        <f t="shared" si="111"/>
        <v>211.47079199999894</v>
      </c>
      <c r="S441">
        <f t="shared" si="112"/>
        <v>6025.3429599999999</v>
      </c>
      <c r="U441">
        <f t="shared" si="99"/>
        <v>0.38042399999999998</v>
      </c>
      <c r="V441">
        <f t="shared" si="113"/>
        <v>1650.0016024800002</v>
      </c>
      <c r="W441">
        <f t="shared" si="100"/>
        <v>62.629203119999694</v>
      </c>
      <c r="X441">
        <f t="shared" si="101"/>
        <v>3.3626324080800001</v>
      </c>
      <c r="Y441">
        <f t="shared" si="102"/>
        <v>59.266570711919691</v>
      </c>
      <c r="Z441">
        <f t="shared" si="103"/>
        <v>39144.36800908736</v>
      </c>
      <c r="AB441">
        <f t="shared" si="104"/>
        <v>1.4611369999999999</v>
      </c>
      <c r="AC441">
        <f t="shared" si="105"/>
        <v>6337.34567599</v>
      </c>
      <c r="AD441">
        <f t="shared" si="106"/>
        <v>240.54698430999881</v>
      </c>
      <c r="AE441">
        <f t="shared" si="107"/>
        <v>12.915238336290001</v>
      </c>
      <c r="AF441">
        <f t="shared" si="108"/>
        <v>227.6317459737088</v>
      </c>
      <c r="AG441">
        <f t="shared" si="114"/>
        <v>63601.109497671641</v>
      </c>
      <c r="AH441" t="b">
        <f t="shared" si="109"/>
        <v>1</v>
      </c>
    </row>
    <row r="442" spans="4:34" hidden="1" x14ac:dyDescent="0.4">
      <c r="D442" t="s">
        <v>53</v>
      </c>
      <c r="E442" t="s">
        <v>37</v>
      </c>
      <c r="F442" s="9">
        <v>45931.916666666664</v>
      </c>
      <c r="G442" s="12">
        <v>1022.72</v>
      </c>
      <c r="H442" s="9">
        <v>45933.916666666664</v>
      </c>
      <c r="I442" s="12">
        <v>1182.3</v>
      </c>
      <c r="J442">
        <v>9.532</v>
      </c>
      <c r="K442" s="12">
        <v>9748.66</v>
      </c>
      <c r="L442">
        <v>15.76</v>
      </c>
      <c r="M442" s="12">
        <v>1505.35</v>
      </c>
      <c r="N442" s="13">
        <v>0.15440000000000001</v>
      </c>
      <c r="O442" t="s">
        <v>38</v>
      </c>
      <c r="Q442">
        <f t="shared" si="110"/>
        <v>1521.1165599999993</v>
      </c>
      <c r="R442">
        <f t="shared" si="111"/>
        <v>1505.3565599999993</v>
      </c>
      <c r="S442">
        <f t="shared" si="112"/>
        <v>11269.6836</v>
      </c>
      <c r="U442">
        <f t="shared" si="99"/>
        <v>1.613345</v>
      </c>
      <c r="V442">
        <f t="shared" si="113"/>
        <v>1650.0001984</v>
      </c>
      <c r="W442">
        <f t="shared" si="100"/>
        <v>257.45759509999988</v>
      </c>
      <c r="X442">
        <f t="shared" si="101"/>
        <v>3.5574579919000002</v>
      </c>
      <c r="Y442">
        <f t="shared" si="102"/>
        <v>253.90013710809987</v>
      </c>
      <c r="Z442">
        <f t="shared" si="103"/>
        <v>39085.101438375437</v>
      </c>
      <c r="AB442">
        <f t="shared" si="104"/>
        <v>6.1026550000000004</v>
      </c>
      <c r="AC442">
        <f t="shared" si="105"/>
        <v>6241.3073216000003</v>
      </c>
      <c r="AD442">
        <f t="shared" si="106"/>
        <v>973.86168489999966</v>
      </c>
      <c r="AE442">
        <f t="shared" si="107"/>
        <v>13.456476328100003</v>
      </c>
      <c r="AF442">
        <f t="shared" si="108"/>
        <v>960.40520857189961</v>
      </c>
      <c r="AG442">
        <f t="shared" si="114"/>
        <v>63373.47775169793</v>
      </c>
      <c r="AH442" t="b">
        <f t="shared" si="109"/>
        <v>1</v>
      </c>
    </row>
    <row r="443" spans="4:34" hidden="1" x14ac:dyDescent="0.4">
      <c r="D443" t="s">
        <v>59</v>
      </c>
      <c r="E443" t="s">
        <v>37</v>
      </c>
      <c r="F443" s="9">
        <v>45931.25</v>
      </c>
      <c r="G443" s="12">
        <v>114341.73</v>
      </c>
      <c r="H443" s="9">
        <v>45933.75</v>
      </c>
      <c r="I443" s="12">
        <v>122658.15</v>
      </c>
      <c r="J443" s="12">
        <v>9.2270000000000005E-2</v>
      </c>
      <c r="K443" s="12">
        <v>10550.57</v>
      </c>
      <c r="L443">
        <v>16.399999999999999</v>
      </c>
      <c r="M443">
        <v>750.96</v>
      </c>
      <c r="N443" s="13">
        <v>7.1199999999999999E-2</v>
      </c>
      <c r="O443" t="s">
        <v>57</v>
      </c>
      <c r="Q443">
        <f t="shared" si="110"/>
        <v>767.3560733999999</v>
      </c>
      <c r="R443">
        <f t="shared" si="111"/>
        <v>750.95607339999992</v>
      </c>
      <c r="S443">
        <f t="shared" si="112"/>
        <v>11317.6675005</v>
      </c>
      <c r="U443">
        <f t="shared" si="99"/>
        <v>1.443E-2</v>
      </c>
      <c r="V443">
        <f t="shared" si="113"/>
        <v>1649.9511639</v>
      </c>
      <c r="W443">
        <f t="shared" si="100"/>
        <v>120.00594059999997</v>
      </c>
      <c r="X443">
        <f t="shared" si="101"/>
        <v>3.4199082684000004</v>
      </c>
      <c r="Y443">
        <f t="shared" si="102"/>
        <v>116.58603233159997</v>
      </c>
      <c r="Z443">
        <f t="shared" si="103"/>
        <v>38831.201301267334</v>
      </c>
      <c r="AB443">
        <f t="shared" si="104"/>
        <v>5.4202E-2</v>
      </c>
      <c r="AC443">
        <f t="shared" si="105"/>
        <v>6197.55044946</v>
      </c>
      <c r="AD443">
        <f t="shared" si="106"/>
        <v>450.76659683999992</v>
      </c>
      <c r="AE443">
        <f t="shared" si="107"/>
        <v>12.84586749576</v>
      </c>
      <c r="AF443">
        <f t="shared" si="108"/>
        <v>437.92072934423993</v>
      </c>
      <c r="AG443">
        <f t="shared" si="114"/>
        <v>62413.072543126029</v>
      </c>
      <c r="AH443" t="b">
        <f t="shared" si="109"/>
        <v>1</v>
      </c>
    </row>
    <row r="444" spans="4:34" hidden="1" x14ac:dyDescent="0.4">
      <c r="D444" t="s">
        <v>55</v>
      </c>
      <c r="E444" t="s">
        <v>37</v>
      </c>
      <c r="F444" s="9">
        <v>45931.291666666664</v>
      </c>
      <c r="G444">
        <v>5.3959999999999998E-5</v>
      </c>
      <c r="H444" s="9">
        <v>45933.291666666664</v>
      </c>
      <c r="I444">
        <v>5.6780000000000002E-5</v>
      </c>
      <c r="J444" s="12">
        <v>109210029.59999999</v>
      </c>
      <c r="K444" s="12">
        <v>5892.97</v>
      </c>
      <c r="L444">
        <v>9.07</v>
      </c>
      <c r="M444">
        <v>298.89999999999998</v>
      </c>
      <c r="N444" s="13">
        <v>5.0700000000000002E-2</v>
      </c>
      <c r="O444" t="s">
        <v>38</v>
      </c>
      <c r="Q444">
        <f t="shared" si="110"/>
        <v>307.97228347200036</v>
      </c>
      <c r="R444">
        <f t="shared" si="111"/>
        <v>298.90228347200036</v>
      </c>
      <c r="S444">
        <f t="shared" si="112"/>
        <v>6200.9454806880003</v>
      </c>
      <c r="U444">
        <f t="shared" si="99"/>
        <v>30578206.078577001</v>
      </c>
      <c r="V444">
        <f t="shared" si="113"/>
        <v>1650.000000000015</v>
      </c>
      <c r="W444">
        <f t="shared" si="100"/>
        <v>86.230541141587253</v>
      </c>
      <c r="X444">
        <f t="shared" si="101"/>
        <v>3.3862305411416171</v>
      </c>
      <c r="Y444">
        <f t="shared" si="102"/>
        <v>82.844310600445638</v>
      </c>
      <c r="Z444">
        <f t="shared" si="103"/>
        <v>38714.615268935733</v>
      </c>
      <c r="AB444">
        <f t="shared" si="104"/>
        <v>114280091.42566</v>
      </c>
      <c r="AC444">
        <f t="shared" si="105"/>
        <v>6166.5537333286138</v>
      </c>
      <c r="AD444">
        <f t="shared" si="106"/>
        <v>322.26985782036161</v>
      </c>
      <c r="AE444">
        <f t="shared" si="107"/>
        <v>12.655377324477588</v>
      </c>
      <c r="AF444">
        <f t="shared" si="108"/>
        <v>309.61448049588404</v>
      </c>
      <c r="AG444">
        <f t="shared" si="114"/>
        <v>61975.151813781791</v>
      </c>
      <c r="AH444" t="b">
        <f t="shared" si="109"/>
        <v>1</v>
      </c>
    </row>
    <row r="445" spans="4:34" hidden="1" x14ac:dyDescent="0.4">
      <c r="D445" t="s">
        <v>48</v>
      </c>
      <c r="E445" t="s">
        <v>37</v>
      </c>
      <c r="F445" s="9">
        <v>45931.166666666664</v>
      </c>
      <c r="G445">
        <v>9.5799999999999996E-2</v>
      </c>
      <c r="H445" s="9">
        <v>45933.166666666664</v>
      </c>
      <c r="I445">
        <v>0.1028</v>
      </c>
      <c r="J445" s="12">
        <v>32277.5</v>
      </c>
      <c r="K445" s="12">
        <v>3092.19</v>
      </c>
      <c r="L445">
        <v>4.8099999999999996</v>
      </c>
      <c r="M445">
        <v>221.13</v>
      </c>
      <c r="N445" s="13">
        <v>7.1499999999999994E-2</v>
      </c>
      <c r="O445" t="s">
        <v>38</v>
      </c>
      <c r="Q445">
        <f t="shared" si="110"/>
        <v>225.94250000000019</v>
      </c>
      <c r="R445">
        <f t="shared" si="111"/>
        <v>221.13250000000019</v>
      </c>
      <c r="S445">
        <f t="shared" si="112"/>
        <v>3318.127</v>
      </c>
      <c r="U445">
        <f t="shared" si="99"/>
        <v>17223.382045999999</v>
      </c>
      <c r="V445">
        <f t="shared" si="113"/>
        <v>1650.0000000067998</v>
      </c>
      <c r="W445">
        <f t="shared" si="100"/>
        <v>120.5636743220001</v>
      </c>
      <c r="X445">
        <f t="shared" si="101"/>
        <v>3.4205636743355998</v>
      </c>
      <c r="Y445">
        <f t="shared" si="102"/>
        <v>117.1431106476645</v>
      </c>
      <c r="Z445">
        <f t="shared" si="103"/>
        <v>38631.770958335284</v>
      </c>
      <c r="AB445">
        <f t="shared" si="104"/>
        <v>63915.265185999997</v>
      </c>
      <c r="AC445">
        <f t="shared" si="105"/>
        <v>6123.0824048187997</v>
      </c>
      <c r="AD445">
        <f t="shared" si="106"/>
        <v>447.40685630200039</v>
      </c>
      <c r="AE445">
        <f t="shared" si="107"/>
        <v>12.693571665939599</v>
      </c>
      <c r="AF445">
        <f t="shared" si="108"/>
        <v>434.71328463606079</v>
      </c>
      <c r="AG445">
        <f t="shared" si="114"/>
        <v>61665.537333285909</v>
      </c>
      <c r="AH445" t="b">
        <f t="shared" si="109"/>
        <v>1</v>
      </c>
    </row>
    <row r="446" spans="4:34" hidden="1" x14ac:dyDescent="0.4">
      <c r="D446" t="s">
        <v>58</v>
      </c>
      <c r="E446" t="s">
        <v>37</v>
      </c>
      <c r="F446" s="9">
        <v>45930.875</v>
      </c>
      <c r="G446" s="12">
        <v>21.54</v>
      </c>
      <c r="H446" s="9">
        <v>45932.875</v>
      </c>
      <c r="I446" s="12">
        <v>22.95</v>
      </c>
      <c r="J446">
        <v>349.19</v>
      </c>
      <c r="K446" s="12">
        <v>7521.7</v>
      </c>
      <c r="L446">
        <v>11.65</v>
      </c>
      <c r="M446">
        <v>480.71</v>
      </c>
      <c r="N446" s="13">
        <v>6.3899999999999998E-2</v>
      </c>
      <c r="O446" t="s">
        <v>38</v>
      </c>
      <c r="Q446">
        <f t="shared" si="110"/>
        <v>492.35790000000003</v>
      </c>
      <c r="R446">
        <f t="shared" si="111"/>
        <v>480.70790000000005</v>
      </c>
      <c r="S446">
        <f t="shared" si="112"/>
        <v>8013.9105</v>
      </c>
      <c r="U446">
        <f t="shared" si="99"/>
        <v>76.601670999999996</v>
      </c>
      <c r="V446">
        <f t="shared" si="113"/>
        <v>1649.9999933399999</v>
      </c>
      <c r="W446">
        <f t="shared" si="100"/>
        <v>108.00835611000001</v>
      </c>
      <c r="X446">
        <f t="shared" si="101"/>
        <v>3.4080083427899996</v>
      </c>
      <c r="Y446">
        <f t="shared" si="102"/>
        <v>104.60034776721001</v>
      </c>
      <c r="Z446">
        <f t="shared" si="103"/>
        <v>38514.627847687618</v>
      </c>
      <c r="AB446">
        <f t="shared" si="104"/>
        <v>282.47493800000001</v>
      </c>
      <c r="AC446">
        <f t="shared" si="105"/>
        <v>6084.5101645200002</v>
      </c>
      <c r="AD446">
        <f t="shared" si="106"/>
        <v>398.28966258000003</v>
      </c>
      <c r="AE446">
        <f t="shared" si="107"/>
        <v>12.567309991619998</v>
      </c>
      <c r="AF446">
        <f t="shared" si="108"/>
        <v>385.72235258838003</v>
      </c>
      <c r="AG446">
        <f t="shared" si="114"/>
        <v>61230.824048649847</v>
      </c>
      <c r="AH446" t="b">
        <f t="shared" si="109"/>
        <v>1</v>
      </c>
    </row>
    <row r="447" spans="4:34" hidden="1" x14ac:dyDescent="0.4">
      <c r="D447" t="s">
        <v>60</v>
      </c>
      <c r="E447" t="s">
        <v>37</v>
      </c>
      <c r="F447" s="9">
        <v>45930.291666666664</v>
      </c>
      <c r="G447">
        <v>2.8950999999999998</v>
      </c>
      <c r="H447" s="9">
        <v>45932.791666666664</v>
      </c>
      <c r="I447">
        <v>3.0369000000000002</v>
      </c>
      <c r="J447">
        <v>786.2</v>
      </c>
      <c r="K447" s="12">
        <v>2276.35</v>
      </c>
      <c r="L447">
        <v>3.5</v>
      </c>
      <c r="M447">
        <v>107.99</v>
      </c>
      <c r="N447" s="13">
        <v>4.7399999999999998E-2</v>
      </c>
      <c r="O447" t="s">
        <v>57</v>
      </c>
      <c r="Q447">
        <f t="shared" si="110"/>
        <v>111.4831600000003</v>
      </c>
      <c r="R447">
        <f t="shared" si="111"/>
        <v>107.9831600000003</v>
      </c>
      <c r="S447">
        <f t="shared" si="112"/>
        <v>2387.6107800000004</v>
      </c>
      <c r="U447">
        <f t="shared" si="99"/>
        <v>569.92849999999999</v>
      </c>
      <c r="V447">
        <f t="shared" si="113"/>
        <v>1650.0000003499999</v>
      </c>
      <c r="W447">
        <f t="shared" si="100"/>
        <v>80.815861300000208</v>
      </c>
      <c r="X447">
        <f t="shared" si="101"/>
        <v>3.3808158620000004</v>
      </c>
      <c r="Y447">
        <f t="shared" si="102"/>
        <v>77.435045438000202</v>
      </c>
      <c r="Z447">
        <f t="shared" si="103"/>
        <v>38410.027499920405</v>
      </c>
      <c r="AB447">
        <f t="shared" si="104"/>
        <v>2091.8409539999998</v>
      </c>
      <c r="AC447">
        <f t="shared" si="105"/>
        <v>6056.0887459253991</v>
      </c>
      <c r="AD447">
        <f t="shared" si="106"/>
        <v>296.62304727720073</v>
      </c>
      <c r="AE447">
        <f t="shared" si="107"/>
        <v>12.408800539128</v>
      </c>
      <c r="AF447">
        <f t="shared" si="108"/>
        <v>284.21424673807275</v>
      </c>
      <c r="AG447">
        <f t="shared" si="114"/>
        <v>60845.101696061465</v>
      </c>
      <c r="AH447" t="b">
        <f t="shared" si="109"/>
        <v>1</v>
      </c>
    </row>
    <row r="448" spans="4:34" hidden="1" x14ac:dyDescent="0.4">
      <c r="D448" t="s">
        <v>43</v>
      </c>
      <c r="E448" t="s">
        <v>37</v>
      </c>
      <c r="F448" s="9">
        <v>45930.666666666664</v>
      </c>
      <c r="G448">
        <v>3.2225999999999999</v>
      </c>
      <c r="H448" s="9">
        <v>45932.666666666664</v>
      </c>
      <c r="I448">
        <v>3.5074000000000001</v>
      </c>
      <c r="J448">
        <v>599.29999999999995</v>
      </c>
      <c r="K448" s="12">
        <v>1931.38</v>
      </c>
      <c r="L448">
        <v>3.02</v>
      </c>
      <c r="M448">
        <v>167.66</v>
      </c>
      <c r="N448" s="13">
        <v>8.6800000000000002E-2</v>
      </c>
      <c r="O448" t="s">
        <v>38</v>
      </c>
      <c r="Q448">
        <f t="shared" si="110"/>
        <v>170.6806400000001</v>
      </c>
      <c r="R448">
        <f t="shared" si="111"/>
        <v>167.66064000000009</v>
      </c>
      <c r="S448">
        <f t="shared" si="112"/>
        <v>2101.9848199999997</v>
      </c>
      <c r="U448">
        <f t="shared" si="99"/>
        <v>512.00893699999995</v>
      </c>
      <c r="V448">
        <f t="shared" si="113"/>
        <v>1650.0000003761998</v>
      </c>
      <c r="W448">
        <f t="shared" si="100"/>
        <v>145.82014525760007</v>
      </c>
      <c r="X448">
        <f t="shared" si="101"/>
        <v>3.44582014601</v>
      </c>
      <c r="Y448">
        <f t="shared" si="102"/>
        <v>142.37432511159008</v>
      </c>
      <c r="Z448">
        <f t="shared" si="103"/>
        <v>38332.592454482401</v>
      </c>
      <c r="AB448">
        <f t="shared" si="104"/>
        <v>1863.178594</v>
      </c>
      <c r="AC448">
        <f t="shared" si="105"/>
        <v>6004.2793370243999</v>
      </c>
      <c r="AD448">
        <f t="shared" si="106"/>
        <v>530.63326357120025</v>
      </c>
      <c r="AE448">
        <f t="shared" si="107"/>
        <v>12.539191937620002</v>
      </c>
      <c r="AF448">
        <f t="shared" si="108"/>
        <v>518.09407163358026</v>
      </c>
      <c r="AG448">
        <f t="shared" si="114"/>
        <v>60560.887449323389</v>
      </c>
      <c r="AH448" t="b">
        <f t="shared" si="109"/>
        <v>1</v>
      </c>
    </row>
    <row r="449" spans="4:34" hidden="1" x14ac:dyDescent="0.4">
      <c r="D449" t="s">
        <v>52</v>
      </c>
      <c r="E449" t="s">
        <v>37</v>
      </c>
      <c r="F449" s="9">
        <v>45930.666666666664</v>
      </c>
      <c r="G449">
        <v>4.1630000000000003</v>
      </c>
      <c r="H449" s="9">
        <v>45932.666666666664</v>
      </c>
      <c r="I449">
        <v>4.4470000000000001</v>
      </c>
      <c r="J449" s="12">
        <v>566.26</v>
      </c>
      <c r="K449" s="12">
        <v>2357.38</v>
      </c>
      <c r="L449">
        <v>3.66</v>
      </c>
      <c r="M449">
        <v>157.16</v>
      </c>
      <c r="N449" s="13">
        <v>6.6699999999999995E-2</v>
      </c>
      <c r="O449" t="s">
        <v>38</v>
      </c>
      <c r="Q449">
        <f t="shared" si="110"/>
        <v>160.81783999999988</v>
      </c>
      <c r="R449">
        <f t="shared" si="111"/>
        <v>157.15783999999988</v>
      </c>
      <c r="S449">
        <f t="shared" si="112"/>
        <v>2518.1582199999998</v>
      </c>
      <c r="U449">
        <f t="shared" si="99"/>
        <v>396.34878700000002</v>
      </c>
      <c r="V449">
        <f t="shared" si="113"/>
        <v>1650.0000002810002</v>
      </c>
      <c r="W449">
        <f t="shared" si="100"/>
        <v>112.56305550799993</v>
      </c>
      <c r="X449">
        <f t="shared" si="101"/>
        <v>3.4125630560699998</v>
      </c>
      <c r="Y449">
        <f t="shared" si="102"/>
        <v>109.15049245192994</v>
      </c>
      <c r="Z449">
        <f t="shared" si="103"/>
        <v>38190.218129370813</v>
      </c>
      <c r="AB449">
        <f t="shared" si="104"/>
        <v>1432.8179110000001</v>
      </c>
      <c r="AC449">
        <f t="shared" si="105"/>
        <v>5964.8209634930008</v>
      </c>
      <c r="AD449">
        <f t="shared" si="106"/>
        <v>406.92028672399977</v>
      </c>
      <c r="AE449">
        <f t="shared" si="107"/>
        <v>12.33656221371</v>
      </c>
      <c r="AF449">
        <f t="shared" si="108"/>
        <v>394.58372451028976</v>
      </c>
      <c r="AG449">
        <f t="shared" si="114"/>
        <v>60042.793377689806</v>
      </c>
      <c r="AH449" t="b">
        <f t="shared" si="109"/>
        <v>1</v>
      </c>
    </row>
    <row r="450" spans="4:34" hidden="1" x14ac:dyDescent="0.4">
      <c r="D450" t="s">
        <v>54</v>
      </c>
      <c r="E450" t="s">
        <v>37</v>
      </c>
      <c r="F450" s="9">
        <v>45930.625</v>
      </c>
      <c r="G450">
        <v>207.85</v>
      </c>
      <c r="H450" s="9">
        <v>45932.625</v>
      </c>
      <c r="I450">
        <v>226.68</v>
      </c>
      <c r="J450" s="12">
        <v>24.292000000000002</v>
      </c>
      <c r="K450" s="12">
        <v>5049.13</v>
      </c>
      <c r="L450">
        <v>7.92</v>
      </c>
      <c r="M450">
        <v>449.5</v>
      </c>
      <c r="N450" s="13">
        <v>8.8999999999999996E-2</v>
      </c>
      <c r="O450" t="s">
        <v>38</v>
      </c>
      <c r="Q450">
        <f t="shared" si="110"/>
        <v>457.41836000000035</v>
      </c>
      <c r="R450">
        <f t="shared" si="111"/>
        <v>449.49836000000033</v>
      </c>
      <c r="S450">
        <f t="shared" si="112"/>
        <v>5506.5105600000006</v>
      </c>
      <c r="U450">
        <f t="shared" si="99"/>
        <v>7.9384170000000003</v>
      </c>
      <c r="V450">
        <f t="shared" si="113"/>
        <v>1649.99997345</v>
      </c>
      <c r="W450">
        <f t="shared" si="100"/>
        <v>149.48039211000011</v>
      </c>
      <c r="X450">
        <f t="shared" si="101"/>
        <v>3.44948033901</v>
      </c>
      <c r="Y450">
        <f t="shared" si="102"/>
        <v>146.03091177099012</v>
      </c>
      <c r="Z450">
        <f t="shared" si="103"/>
        <v>38081.06763691888</v>
      </c>
      <c r="AB450">
        <f t="shared" si="104"/>
        <v>28.445962000000002</v>
      </c>
      <c r="AC450">
        <f t="shared" si="105"/>
        <v>5912.4932017000001</v>
      </c>
      <c r="AD450">
        <f t="shared" si="106"/>
        <v>535.63746446000039</v>
      </c>
      <c r="AE450">
        <f t="shared" si="107"/>
        <v>12.360623867859999</v>
      </c>
      <c r="AF450">
        <f t="shared" si="108"/>
        <v>523.27684059214039</v>
      </c>
      <c r="AG450">
        <f t="shared" si="114"/>
        <v>59648.209653179518</v>
      </c>
      <c r="AH450" t="b">
        <f t="shared" si="109"/>
        <v>1</v>
      </c>
    </row>
    <row r="451" spans="4:34" hidden="1" x14ac:dyDescent="0.4">
      <c r="D451" t="s">
        <v>61</v>
      </c>
      <c r="E451" t="s">
        <v>37</v>
      </c>
      <c r="F451" s="9">
        <v>45930.625</v>
      </c>
      <c r="G451">
        <v>0.79169999999999996</v>
      </c>
      <c r="H451" s="9">
        <v>45932.625</v>
      </c>
      <c r="I451">
        <v>0.85399999999999998</v>
      </c>
      <c r="J451" s="12">
        <v>10806.2</v>
      </c>
      <c r="K451" s="12">
        <v>8555.34</v>
      </c>
      <c r="L451">
        <v>13.34</v>
      </c>
      <c r="M451">
        <v>659.89</v>
      </c>
      <c r="N451" s="13">
        <v>7.7100000000000002E-2</v>
      </c>
      <c r="O451" t="s">
        <v>38</v>
      </c>
      <c r="Q451">
        <f t="shared" si="110"/>
        <v>673.22626000000025</v>
      </c>
      <c r="R451">
        <f t="shared" si="111"/>
        <v>659.88626000000022</v>
      </c>
      <c r="S451">
        <f t="shared" si="112"/>
        <v>9228.4948000000004</v>
      </c>
      <c r="U451">
        <f t="shared" si="99"/>
        <v>2084.1227739999999</v>
      </c>
      <c r="V451">
        <f t="shared" si="113"/>
        <v>1650.0000001757999</v>
      </c>
      <c r="W451">
        <f t="shared" si="100"/>
        <v>129.84084882020005</v>
      </c>
      <c r="X451">
        <f t="shared" si="101"/>
        <v>3.4298408491718</v>
      </c>
      <c r="Y451">
        <f t="shared" si="102"/>
        <v>126.41100797102825</v>
      </c>
      <c r="Z451">
        <f t="shared" si="103"/>
        <v>37935.036725147889</v>
      </c>
      <c r="AB451">
        <f t="shared" si="104"/>
        <v>7411.3179879999998</v>
      </c>
      <c r="AC451">
        <f t="shared" si="105"/>
        <v>5867.5404510995995</v>
      </c>
      <c r="AD451">
        <f t="shared" si="106"/>
        <v>461.72511065240013</v>
      </c>
      <c r="AE451">
        <f t="shared" si="107"/>
        <v>12.196806012851599</v>
      </c>
      <c r="AF451">
        <f t="shared" si="108"/>
        <v>449.52830463954854</v>
      </c>
      <c r="AG451">
        <f t="shared" si="114"/>
        <v>59124.93281258738</v>
      </c>
      <c r="AH451" t="b">
        <f t="shared" si="109"/>
        <v>1</v>
      </c>
    </row>
    <row r="452" spans="4:34" hidden="1" x14ac:dyDescent="0.4">
      <c r="D452" t="s">
        <v>50</v>
      </c>
      <c r="E452" t="s">
        <v>37</v>
      </c>
      <c r="F452" s="9">
        <v>45930.625</v>
      </c>
      <c r="G452" s="12">
        <v>304</v>
      </c>
      <c r="H452" s="9">
        <v>45932.625</v>
      </c>
      <c r="I452" s="12">
        <v>318.8</v>
      </c>
      <c r="J452">
        <v>43.356699999999996</v>
      </c>
      <c r="K452" s="12">
        <v>13180.46</v>
      </c>
      <c r="L452">
        <v>20.25</v>
      </c>
      <c r="M452">
        <v>621.42999999999995</v>
      </c>
      <c r="N452" s="13">
        <v>4.7100000000000003E-2</v>
      </c>
      <c r="O452" t="s">
        <v>38</v>
      </c>
      <c r="Q452">
        <f t="shared" si="110"/>
        <v>641.67916000000048</v>
      </c>
      <c r="R452">
        <f t="shared" si="111"/>
        <v>621.42916000000048</v>
      </c>
      <c r="S452">
        <f t="shared" si="112"/>
        <v>13822.115959999999</v>
      </c>
      <c r="U452">
        <f t="shared" si="99"/>
        <v>5.427632</v>
      </c>
      <c r="V452">
        <f t="shared" si="113"/>
        <v>1650.0001279999999</v>
      </c>
      <c r="W452">
        <f t="shared" si="100"/>
        <v>80.328953600000062</v>
      </c>
      <c r="X452">
        <f t="shared" si="101"/>
        <v>3.3803292096000002</v>
      </c>
      <c r="Y452">
        <f t="shared" si="102"/>
        <v>76.948624390400056</v>
      </c>
      <c r="Z452">
        <f t="shared" si="103"/>
        <v>37808.625717176859</v>
      </c>
      <c r="AB452">
        <f t="shared" si="104"/>
        <v>19.211525999999999</v>
      </c>
      <c r="AC452">
        <f t="shared" si="105"/>
        <v>5840.3039039999994</v>
      </c>
      <c r="AD452">
        <f t="shared" si="106"/>
        <v>284.33058480000022</v>
      </c>
      <c r="AE452">
        <f t="shared" si="107"/>
        <v>11.964938392800001</v>
      </c>
      <c r="AF452">
        <f t="shared" si="108"/>
        <v>272.36564640720024</v>
      </c>
      <c r="AG452">
        <f t="shared" si="114"/>
        <v>58675.404507947831</v>
      </c>
      <c r="AH452" t="b">
        <f t="shared" si="109"/>
        <v>1</v>
      </c>
    </row>
    <row r="453" spans="4:34" hidden="1" x14ac:dyDescent="0.4">
      <c r="D453" t="s">
        <v>56</v>
      </c>
      <c r="E453" t="s">
        <v>37</v>
      </c>
      <c r="F453" s="9">
        <v>45929.208333333336</v>
      </c>
      <c r="G453" s="12">
        <v>4123.9399999999996</v>
      </c>
      <c r="H453" s="9">
        <v>45931.708333333336</v>
      </c>
      <c r="I453" s="12">
        <v>4330.6499999999996</v>
      </c>
      <c r="J453">
        <v>1.4009</v>
      </c>
      <c r="K453" s="12">
        <v>5777.35</v>
      </c>
      <c r="L453">
        <v>8.8800000000000008</v>
      </c>
      <c r="M453">
        <v>280.7</v>
      </c>
      <c r="N453" s="13">
        <v>4.8599999999999997E-2</v>
      </c>
      <c r="O453" t="s">
        <v>57</v>
      </c>
      <c r="Q453">
        <f t="shared" si="110"/>
        <v>289.58003900000006</v>
      </c>
      <c r="R453">
        <f t="shared" si="111"/>
        <v>280.70003900000006</v>
      </c>
      <c r="S453">
        <f t="shared" si="112"/>
        <v>6066.8075849999996</v>
      </c>
      <c r="U453">
        <f t="shared" si="99"/>
        <v>0.40010299999999999</v>
      </c>
      <c r="V453">
        <f t="shared" si="113"/>
        <v>1650.0007658199997</v>
      </c>
      <c r="W453">
        <f t="shared" si="100"/>
        <v>82.705291130000006</v>
      </c>
      <c r="X453">
        <f t="shared" si="101"/>
        <v>3.3827068227699999</v>
      </c>
      <c r="Y453">
        <f t="shared" si="102"/>
        <v>79.322584307230002</v>
      </c>
      <c r="Z453">
        <f t="shared" si="103"/>
        <v>37731.677092786456</v>
      </c>
      <c r="AB453">
        <f t="shared" si="104"/>
        <v>1.409419</v>
      </c>
      <c r="AC453">
        <f t="shared" si="105"/>
        <v>5812.3593908599996</v>
      </c>
      <c r="AD453">
        <f t="shared" si="106"/>
        <v>291.34100149000005</v>
      </c>
      <c r="AE453">
        <f t="shared" si="107"/>
        <v>11.916059783209999</v>
      </c>
      <c r="AF453">
        <f t="shared" si="108"/>
        <v>279.42494170679004</v>
      </c>
      <c r="AG453">
        <f t="shared" si="114"/>
        <v>58403.038861540634</v>
      </c>
      <c r="AH453" t="b">
        <f t="shared" si="109"/>
        <v>1</v>
      </c>
    </row>
    <row r="454" spans="4:34" hidden="1" x14ac:dyDescent="0.4">
      <c r="D454" t="s">
        <v>53</v>
      </c>
      <c r="E454" t="s">
        <v>37</v>
      </c>
      <c r="F454" s="9">
        <v>45929.625</v>
      </c>
      <c r="G454" s="12">
        <v>1012.7</v>
      </c>
      <c r="H454" s="9">
        <v>45931.625</v>
      </c>
      <c r="I454" s="12">
        <v>1024.1199999999999</v>
      </c>
      <c r="J454" s="12">
        <v>9.6170000000000009</v>
      </c>
      <c r="K454" s="12">
        <v>9739.15</v>
      </c>
      <c r="L454">
        <v>14.69</v>
      </c>
      <c r="M454">
        <v>95.14</v>
      </c>
      <c r="N454" s="13">
        <v>9.7999999999999997E-3</v>
      </c>
      <c r="O454" t="s">
        <v>38</v>
      </c>
      <c r="Q454">
        <f t="shared" si="110"/>
        <v>109.82613999999852</v>
      </c>
      <c r="R454">
        <f t="shared" si="111"/>
        <v>95.13613999999852</v>
      </c>
      <c r="S454">
        <f t="shared" si="112"/>
        <v>9848.9620400000003</v>
      </c>
      <c r="U454">
        <f t="shared" si="99"/>
        <v>1.629308</v>
      </c>
      <c r="V454">
        <f t="shared" si="113"/>
        <v>1650.0002116000001</v>
      </c>
      <c r="W454">
        <f t="shared" si="100"/>
        <v>18.60669735999975</v>
      </c>
      <c r="X454">
        <f t="shared" si="101"/>
        <v>3.3186071205600003</v>
      </c>
      <c r="Y454">
        <f t="shared" si="102"/>
        <v>15.28809023943975</v>
      </c>
      <c r="Z454">
        <f t="shared" si="103"/>
        <v>37652.354508479228</v>
      </c>
      <c r="AB454">
        <f t="shared" si="104"/>
        <v>5.7341569999999997</v>
      </c>
      <c r="AC454">
        <f t="shared" si="105"/>
        <v>5806.9807939000002</v>
      </c>
      <c r="AD454">
        <f t="shared" si="106"/>
        <v>65.484072939999109</v>
      </c>
      <c r="AE454">
        <f t="shared" si="107"/>
        <v>11.679445660739999</v>
      </c>
      <c r="AF454">
        <f t="shared" si="108"/>
        <v>53.804627279259108</v>
      </c>
      <c r="AG454">
        <f t="shared" si="114"/>
        <v>58123.613919833842</v>
      </c>
      <c r="AH454" t="b">
        <f t="shared" si="109"/>
        <v>1</v>
      </c>
    </row>
    <row r="455" spans="4:34" hidden="1" x14ac:dyDescent="0.4">
      <c r="D455" t="s">
        <v>59</v>
      </c>
      <c r="E455" t="s">
        <v>37</v>
      </c>
      <c r="F455" s="9">
        <v>45928.625</v>
      </c>
      <c r="G455" s="12">
        <v>109690.02</v>
      </c>
      <c r="H455" s="9">
        <v>45931.125</v>
      </c>
      <c r="I455" s="12">
        <v>114597</v>
      </c>
      <c r="J455">
        <v>9.5769999999999994E-2</v>
      </c>
      <c r="K455" s="12">
        <v>10505.19</v>
      </c>
      <c r="L455">
        <v>16.11</v>
      </c>
      <c r="M455">
        <v>453.83</v>
      </c>
      <c r="N455" s="13">
        <v>4.3200000000000002E-2</v>
      </c>
      <c r="O455" t="s">
        <v>57</v>
      </c>
      <c r="Q455">
        <f t="shared" si="110"/>
        <v>469.94147459999959</v>
      </c>
      <c r="R455">
        <f t="shared" si="111"/>
        <v>453.83147459999958</v>
      </c>
      <c r="S455">
        <f t="shared" si="112"/>
        <v>10974.954689999999</v>
      </c>
      <c r="U455">
        <f t="shared" si="99"/>
        <v>1.5042E-2</v>
      </c>
      <c r="V455">
        <f t="shared" si="113"/>
        <v>1649.9572808400001</v>
      </c>
      <c r="W455">
        <f t="shared" si="100"/>
        <v>73.810793159999932</v>
      </c>
      <c r="X455">
        <f t="shared" si="101"/>
        <v>3.3737253548400004</v>
      </c>
      <c r="Y455">
        <f t="shared" si="102"/>
        <v>70.437067805159927</v>
      </c>
      <c r="Z455">
        <f t="shared" si="103"/>
        <v>37637.066418239789</v>
      </c>
      <c r="AB455">
        <f t="shared" si="104"/>
        <v>5.2714999999999998E-2</v>
      </c>
      <c r="AC455">
        <f t="shared" si="105"/>
        <v>5782.3094043000001</v>
      </c>
      <c r="AD455">
        <f t="shared" si="106"/>
        <v>258.67145069999975</v>
      </c>
      <c r="AE455">
        <f t="shared" si="107"/>
        <v>11.8232902593</v>
      </c>
      <c r="AF455">
        <f t="shared" si="108"/>
        <v>246.84816044069976</v>
      </c>
      <c r="AG455">
        <f t="shared" si="114"/>
        <v>58069.809292554586</v>
      </c>
      <c r="AH455" t="b">
        <f t="shared" si="109"/>
        <v>1</v>
      </c>
    </row>
    <row r="456" spans="4:34" hidden="1" x14ac:dyDescent="0.4">
      <c r="D456" t="s">
        <v>43</v>
      </c>
      <c r="E456" t="s">
        <v>37</v>
      </c>
      <c r="F456" s="9">
        <v>45928.625</v>
      </c>
      <c r="G456">
        <v>3.1572</v>
      </c>
      <c r="H456" s="9">
        <v>45930.625</v>
      </c>
      <c r="I456">
        <v>3.2149999999999999</v>
      </c>
      <c r="J456">
        <v>610.70000000000005</v>
      </c>
      <c r="K456" s="12">
        <v>1928.14</v>
      </c>
      <c r="L456">
        <v>2.92</v>
      </c>
      <c r="M456">
        <v>32.380000000000003</v>
      </c>
      <c r="N456" s="13">
        <v>1.6799999999999999E-2</v>
      </c>
      <c r="O456" t="s">
        <v>38</v>
      </c>
      <c r="Q456">
        <f t="shared" si="110"/>
        <v>35.298459999999913</v>
      </c>
      <c r="R456">
        <f t="shared" si="111"/>
        <v>32.378459999999912</v>
      </c>
      <c r="S456">
        <f t="shared" si="112"/>
        <v>1963.4005</v>
      </c>
      <c r="U456">
        <f t="shared" si="99"/>
        <v>522.61497499999996</v>
      </c>
      <c r="V456">
        <f t="shared" si="113"/>
        <v>1649.9999990699998</v>
      </c>
      <c r="W456">
        <f t="shared" si="100"/>
        <v>30.207145554999919</v>
      </c>
      <c r="X456">
        <f t="shared" si="101"/>
        <v>3.3302071436949996</v>
      </c>
      <c r="Y456">
        <f t="shared" si="102"/>
        <v>26.87693841130492</v>
      </c>
      <c r="Z456">
        <f t="shared" si="103"/>
        <v>37566.629350434632</v>
      </c>
      <c r="AB456">
        <f t="shared" si="104"/>
        <v>1828.484929</v>
      </c>
      <c r="AC456">
        <f t="shared" si="105"/>
        <v>5772.8926178388001</v>
      </c>
      <c r="AD456">
        <f t="shared" si="106"/>
        <v>105.68642889619973</v>
      </c>
      <c r="AE456">
        <f t="shared" si="107"/>
        <v>11.651471664573799</v>
      </c>
      <c r="AF456">
        <f t="shared" si="108"/>
        <v>94.034957231625924</v>
      </c>
      <c r="AG456">
        <f t="shared" si="114"/>
        <v>57822.961132113887</v>
      </c>
      <c r="AH456" t="b">
        <f t="shared" si="109"/>
        <v>1</v>
      </c>
    </row>
    <row r="457" spans="4:34" hidden="1" x14ac:dyDescent="0.4">
      <c r="D457" t="s">
        <v>52</v>
      </c>
      <c r="E457" t="s">
        <v>37</v>
      </c>
      <c r="F457" s="9">
        <v>45928.625</v>
      </c>
      <c r="G457">
        <v>4.1890000000000001</v>
      </c>
      <c r="H457" s="9">
        <v>45930.625</v>
      </c>
      <c r="I457">
        <v>4.1509999999999998</v>
      </c>
      <c r="J457">
        <v>563.34</v>
      </c>
      <c r="K457" s="12">
        <v>2359.87</v>
      </c>
      <c r="L457">
        <v>3.52</v>
      </c>
      <c r="M457">
        <v>-24.93</v>
      </c>
      <c r="N457" s="13">
        <v>-1.06E-2</v>
      </c>
      <c r="O457" t="s">
        <v>38</v>
      </c>
      <c r="Q457">
        <f t="shared" si="110"/>
        <v>-21.406920000000145</v>
      </c>
      <c r="R457">
        <f t="shared" si="111"/>
        <v>-24.926920000000145</v>
      </c>
      <c r="S457">
        <f t="shared" si="112"/>
        <v>2338.42434</v>
      </c>
      <c r="U457">
        <f t="shared" si="99"/>
        <v>393.888756</v>
      </c>
      <c r="V457">
        <f t="shared" si="113"/>
        <v>1649.999998884</v>
      </c>
      <c r="W457">
        <f t="shared" si="100"/>
        <v>-14.967772728000101</v>
      </c>
      <c r="X457">
        <f t="shared" si="101"/>
        <v>3.2850322250400001</v>
      </c>
      <c r="Y457">
        <f t="shared" si="102"/>
        <v>-18.252804953040101</v>
      </c>
      <c r="Z457">
        <f t="shared" si="103"/>
        <v>37539.752412023328</v>
      </c>
      <c r="AB457">
        <f t="shared" si="104"/>
        <v>1379.633765</v>
      </c>
      <c r="AC457">
        <f t="shared" si="105"/>
        <v>5779.2858415850005</v>
      </c>
      <c r="AD457">
        <f t="shared" si="106"/>
        <v>-52.426083070000352</v>
      </c>
      <c r="AE457">
        <f t="shared" si="107"/>
        <v>11.5061456001</v>
      </c>
      <c r="AF457">
        <f t="shared" si="108"/>
        <v>-63.932228670100351</v>
      </c>
      <c r="AG457">
        <f t="shared" si="114"/>
        <v>57728.926174882261</v>
      </c>
      <c r="AH457" t="b">
        <f t="shared" si="109"/>
        <v>1</v>
      </c>
    </row>
    <row r="458" spans="4:34" hidden="1" x14ac:dyDescent="0.4">
      <c r="D458" t="s">
        <v>48</v>
      </c>
      <c r="E458" t="s">
        <v>37</v>
      </c>
      <c r="F458" s="9">
        <v>45928.625</v>
      </c>
      <c r="G458">
        <v>9.5600000000000004E-2</v>
      </c>
      <c r="H458" s="9">
        <v>45930.625</v>
      </c>
      <c r="I458">
        <v>9.5500000000000002E-2</v>
      </c>
      <c r="J458" s="12">
        <v>32353.3</v>
      </c>
      <c r="K458" s="12">
        <v>3092.98</v>
      </c>
      <c r="L458">
        <v>4.6399999999999997</v>
      </c>
      <c r="M458">
        <v>-7.87</v>
      </c>
      <c r="N458" s="13">
        <v>-2.5000000000000001E-3</v>
      </c>
      <c r="O458" t="s">
        <v>38</v>
      </c>
      <c r="Q458">
        <f t="shared" si="110"/>
        <v>-3.2353300000000926</v>
      </c>
      <c r="R458">
        <f t="shared" si="111"/>
        <v>-7.8753300000000923</v>
      </c>
      <c r="S458">
        <f t="shared" si="112"/>
        <v>3089.7401500000001</v>
      </c>
      <c r="U458">
        <f t="shared" si="99"/>
        <v>17259.414226000001</v>
      </c>
      <c r="V458">
        <f t="shared" si="113"/>
        <v>1650.0000000056002</v>
      </c>
      <c r="W458">
        <f t="shared" si="100"/>
        <v>-1.7259414226000496</v>
      </c>
      <c r="X458">
        <f t="shared" si="101"/>
        <v>3.2982740585885999</v>
      </c>
      <c r="Y458">
        <f t="shared" si="102"/>
        <v>-5.0242154811886497</v>
      </c>
      <c r="Z458">
        <f t="shared" si="103"/>
        <v>37558.005216976366</v>
      </c>
      <c r="AB458">
        <f t="shared" si="104"/>
        <v>60471.194108999996</v>
      </c>
      <c r="AC458">
        <f t="shared" si="105"/>
        <v>5781.0461568204</v>
      </c>
      <c r="AD458">
        <f t="shared" si="106"/>
        <v>-6.0471194109001729</v>
      </c>
      <c r="AE458">
        <f t="shared" si="107"/>
        <v>11.556045194229899</v>
      </c>
      <c r="AF458">
        <f t="shared" si="108"/>
        <v>-17.603164605130072</v>
      </c>
      <c r="AG458">
        <f t="shared" si="114"/>
        <v>57792.85840355236</v>
      </c>
      <c r="AH458" t="b">
        <f t="shared" si="109"/>
        <v>1</v>
      </c>
    </row>
    <row r="459" spans="4:34" hidden="1" x14ac:dyDescent="0.4">
      <c r="D459" t="s">
        <v>54</v>
      </c>
      <c r="E459" t="s">
        <v>37</v>
      </c>
      <c r="F459" s="9">
        <v>45928.625</v>
      </c>
      <c r="G459">
        <v>201.31</v>
      </c>
      <c r="H459" s="9">
        <v>45930.625</v>
      </c>
      <c r="I459">
        <v>207.85</v>
      </c>
      <c r="J459">
        <v>25.003</v>
      </c>
      <c r="K459" s="12">
        <v>5033.54</v>
      </c>
      <c r="L459">
        <v>7.67</v>
      </c>
      <c r="M459">
        <v>155.85</v>
      </c>
      <c r="N459" s="13">
        <v>3.1E-2</v>
      </c>
      <c r="O459" t="s">
        <v>38</v>
      </c>
      <c r="Q459">
        <f t="shared" si="110"/>
        <v>163.5196199999998</v>
      </c>
      <c r="R459">
        <f t="shared" si="111"/>
        <v>155.84961999999982</v>
      </c>
      <c r="S459">
        <f t="shared" si="112"/>
        <v>5196.8735500000003</v>
      </c>
      <c r="U459">
        <f t="shared" si="99"/>
        <v>8.1963139999999992</v>
      </c>
      <c r="V459">
        <f t="shared" si="113"/>
        <v>1649.9999713399998</v>
      </c>
      <c r="W459">
        <f t="shared" si="100"/>
        <v>53.603893559999932</v>
      </c>
      <c r="X459">
        <f t="shared" si="101"/>
        <v>3.3536038362399996</v>
      </c>
      <c r="Y459">
        <f t="shared" si="102"/>
        <v>50.250289723759934</v>
      </c>
      <c r="Z459">
        <f t="shared" si="103"/>
        <v>37563.029432457552</v>
      </c>
      <c r="AB459">
        <f t="shared" si="104"/>
        <v>28.629942</v>
      </c>
      <c r="AC459">
        <f t="shared" si="105"/>
        <v>5763.4936240200004</v>
      </c>
      <c r="AD459">
        <f t="shared" si="106"/>
        <v>187.23982067999978</v>
      </c>
      <c r="AE459">
        <f t="shared" si="107"/>
        <v>11.71422706872</v>
      </c>
      <c r="AF459">
        <f t="shared" si="108"/>
        <v>175.52559361127979</v>
      </c>
      <c r="AG459">
        <f t="shared" si="114"/>
        <v>57810.461568157487</v>
      </c>
      <c r="AH459" t="b">
        <f t="shared" si="109"/>
        <v>1</v>
      </c>
    </row>
    <row r="460" spans="4:34" hidden="1" x14ac:dyDescent="0.4">
      <c r="D460" t="s">
        <v>55</v>
      </c>
      <c r="E460" t="s">
        <v>37</v>
      </c>
      <c r="F460" s="9">
        <v>45928.625</v>
      </c>
      <c r="G460">
        <v>5.401E-5</v>
      </c>
      <c r="H460" s="9">
        <v>45930.625</v>
      </c>
      <c r="I460">
        <v>5.3449999999999998E-5</v>
      </c>
      <c r="J460" s="12">
        <v>109238492.14</v>
      </c>
      <c r="K460" s="12">
        <v>5899.97</v>
      </c>
      <c r="L460">
        <v>8.8000000000000007</v>
      </c>
      <c r="M460">
        <v>-69.98</v>
      </c>
      <c r="N460" s="13">
        <v>-1.1900000000000001E-2</v>
      </c>
      <c r="O460" t="s">
        <v>38</v>
      </c>
      <c r="Q460">
        <f t="shared" si="110"/>
        <v>-61.173555598400156</v>
      </c>
      <c r="R460">
        <f t="shared" si="111"/>
        <v>-69.973555598400154</v>
      </c>
      <c r="S460">
        <f t="shared" si="112"/>
        <v>5838.7974048830001</v>
      </c>
      <c r="U460">
        <f t="shared" si="99"/>
        <v>30549898.167006001</v>
      </c>
      <c r="V460">
        <f t="shared" si="113"/>
        <v>1649.9999999999941</v>
      </c>
      <c r="W460">
        <f t="shared" si="100"/>
        <v>-17.107942973523404</v>
      </c>
      <c r="X460">
        <f t="shared" si="101"/>
        <v>3.2828920570264652</v>
      </c>
      <c r="Y460">
        <f t="shared" si="102"/>
        <v>-20.390835030549869</v>
      </c>
      <c r="Z460">
        <f t="shared" si="103"/>
        <v>37512.779142733794</v>
      </c>
      <c r="AB460">
        <f t="shared" si="104"/>
        <v>106843639.752519</v>
      </c>
      <c r="AC460">
        <f t="shared" si="105"/>
        <v>5770.624983033551</v>
      </c>
      <c r="AD460">
        <f t="shared" si="106"/>
        <v>-59.832438261410786</v>
      </c>
      <c r="AE460">
        <f t="shared" si="107"/>
        <v>11.481417527805693</v>
      </c>
      <c r="AF460">
        <f t="shared" si="108"/>
        <v>-71.313855789216476</v>
      </c>
      <c r="AG460">
        <f t="shared" si="114"/>
        <v>57634.935974546206</v>
      </c>
      <c r="AH460" t="b">
        <f t="shared" si="109"/>
        <v>1</v>
      </c>
    </row>
    <row r="461" spans="4:34" hidden="1" x14ac:dyDescent="0.4">
      <c r="D461" t="s">
        <v>58</v>
      </c>
      <c r="E461" t="s">
        <v>37</v>
      </c>
      <c r="F461" s="9">
        <v>45928.625</v>
      </c>
      <c r="G461">
        <v>20.8</v>
      </c>
      <c r="H461" s="9">
        <v>45930.625</v>
      </c>
      <c r="I461">
        <v>21.36</v>
      </c>
      <c r="J461">
        <v>360.7</v>
      </c>
      <c r="K461" s="12">
        <v>7502.64</v>
      </c>
      <c r="L461">
        <v>11.41</v>
      </c>
      <c r="M461">
        <v>190.59</v>
      </c>
      <c r="N461" s="13">
        <v>2.5399999999999999E-2</v>
      </c>
      <c r="O461" t="s">
        <v>38</v>
      </c>
      <c r="Q461">
        <f t="shared" si="110"/>
        <v>201.99199999999954</v>
      </c>
      <c r="R461">
        <f t="shared" si="111"/>
        <v>190.58199999999954</v>
      </c>
      <c r="S461">
        <f t="shared" si="112"/>
        <v>7704.5519999999997</v>
      </c>
      <c r="U461">
        <f t="shared" ref="U461:U524" si="115">ROUND(($Q$2)/G461,6)</f>
        <v>79.326922999999994</v>
      </c>
      <c r="V461">
        <f t="shared" si="113"/>
        <v>1649.9999983999999</v>
      </c>
      <c r="W461">
        <f t="shared" ref="W461:W524" si="116">U461*(I461-G461)</f>
        <v>44.423076879999897</v>
      </c>
      <c r="X461">
        <f t="shared" ref="X461:X524" si="117">(G461+I461)*$R$2*U461</f>
        <v>3.3444230736799994</v>
      </c>
      <c r="Y461">
        <f t="shared" ref="Y461:Y524" si="118">W461-X461</f>
        <v>41.078653806319899</v>
      </c>
      <c r="Z461">
        <f t="shared" ref="Z461:Z524" si="119">Z462+Y461</f>
        <v>37533.169977764344</v>
      </c>
      <c r="AB461">
        <f t="shared" ref="AB461:AB524" si="120">ROUND(((AH461*AG462 +(1-AH461)*AI461)/$P$2)/G461,6)</f>
        <v>276.74490500000002</v>
      </c>
      <c r="AC461">
        <f t="shared" ref="AC461:AC524" si="121">AB461*G461</f>
        <v>5756.2940240000007</v>
      </c>
      <c r="AD461">
        <f t="shared" ref="AD461:AD524" si="122">AB461*(I461-G461)</f>
        <v>154.97714679999964</v>
      </c>
      <c r="AE461">
        <f t="shared" ref="AE461:AE524" si="123">(G461+I461)*$R$2*AB461</f>
        <v>11.6675651948</v>
      </c>
      <c r="AF461">
        <f t="shared" ref="AF461:AF524" si="124">AD461-AE461</f>
        <v>143.30958160519964</v>
      </c>
      <c r="AG461">
        <f t="shared" si="114"/>
        <v>57706.249830335422</v>
      </c>
      <c r="AH461" t="b">
        <f t="shared" ref="AH461:AH524" si="125">ISBLANK(AI461)</f>
        <v>1</v>
      </c>
    </row>
    <row r="462" spans="4:34" hidden="1" x14ac:dyDescent="0.4">
      <c r="D462" t="s">
        <v>61</v>
      </c>
      <c r="E462" t="s">
        <v>37</v>
      </c>
      <c r="F462" s="9">
        <v>45928.625</v>
      </c>
      <c r="G462">
        <v>0.77700000000000002</v>
      </c>
      <c r="H462" s="9">
        <v>45930.625</v>
      </c>
      <c r="I462">
        <v>0.79169999999999996</v>
      </c>
      <c r="J462" s="12">
        <v>10991.5</v>
      </c>
      <c r="K462" s="12">
        <v>8540.4699999999993</v>
      </c>
      <c r="L462">
        <v>12.93</v>
      </c>
      <c r="M462">
        <v>148.63999999999999</v>
      </c>
      <c r="N462" s="13">
        <v>1.7399999999999999E-2</v>
      </c>
      <c r="O462" t="s">
        <v>38</v>
      </c>
      <c r="Q462">
        <f t="shared" ref="Q462:Q525" si="126">(I462-G462)*J462</f>
        <v>161.57504999999929</v>
      </c>
      <c r="R462">
        <f t="shared" ref="R462:R525" si="127">Q462-L462</f>
        <v>148.64504999999929</v>
      </c>
      <c r="S462">
        <f t="shared" ref="S462:S525" si="128">I462*J462</f>
        <v>8701.97055</v>
      </c>
      <c r="U462">
        <f t="shared" si="115"/>
        <v>2123.5521239999998</v>
      </c>
      <c r="V462">
        <f t="shared" ref="V462:V525" si="129">U462*G462</f>
        <v>1650.000000348</v>
      </c>
      <c r="W462">
        <f t="shared" si="116"/>
        <v>31.216216222799861</v>
      </c>
      <c r="X462">
        <f t="shared" si="117"/>
        <v>3.3312162169187993</v>
      </c>
      <c r="Y462">
        <f t="shared" si="118"/>
        <v>27.885000005881061</v>
      </c>
      <c r="Z462">
        <f t="shared" si="119"/>
        <v>37492.091323958026</v>
      </c>
      <c r="AB462">
        <f t="shared" si="120"/>
        <v>7395.8588170000003</v>
      </c>
      <c r="AC462">
        <f t="shared" si="121"/>
        <v>5746.5823008090001</v>
      </c>
      <c r="AD462">
        <f t="shared" si="122"/>
        <v>108.71912460989952</v>
      </c>
      <c r="AE462">
        <f t="shared" si="123"/>
        <v>11.6018837262279</v>
      </c>
      <c r="AF462">
        <f t="shared" si="124"/>
        <v>97.117240883671627</v>
      </c>
      <c r="AG462">
        <f t="shared" si="114"/>
        <v>57562.940248730221</v>
      </c>
      <c r="AH462" t="b">
        <f t="shared" si="125"/>
        <v>1</v>
      </c>
    </row>
    <row r="463" spans="4:34" hidden="1" x14ac:dyDescent="0.4">
      <c r="D463" t="s">
        <v>50</v>
      </c>
      <c r="E463" t="s">
        <v>37</v>
      </c>
      <c r="F463" s="9">
        <v>45928.625</v>
      </c>
      <c r="G463">
        <v>295.89999999999998</v>
      </c>
      <c r="H463" s="9">
        <v>45930.625</v>
      </c>
      <c r="I463">
        <v>304</v>
      </c>
      <c r="J463">
        <v>44.428699999999999</v>
      </c>
      <c r="K463" s="12">
        <v>13146.47</v>
      </c>
      <c r="L463">
        <v>19.989999999999998</v>
      </c>
      <c r="M463">
        <v>339.88</v>
      </c>
      <c r="N463" s="13">
        <v>2.5899999999999999E-2</v>
      </c>
      <c r="O463" t="s">
        <v>38</v>
      </c>
      <c r="Q463">
        <f t="shared" si="126"/>
        <v>359.87247000000099</v>
      </c>
      <c r="R463">
        <f t="shared" si="127"/>
        <v>339.88247000000098</v>
      </c>
      <c r="S463">
        <f t="shared" si="128"/>
        <v>13506.3248</v>
      </c>
      <c r="U463">
        <f t="shared" si="115"/>
        <v>5.5762080000000003</v>
      </c>
      <c r="V463">
        <f t="shared" si="129"/>
        <v>1649.9999472</v>
      </c>
      <c r="W463">
        <f t="shared" si="116"/>
        <v>45.167284800000132</v>
      </c>
      <c r="X463">
        <f t="shared" si="117"/>
        <v>3.3451671792000002</v>
      </c>
      <c r="Y463">
        <f t="shared" si="118"/>
        <v>41.822117620800135</v>
      </c>
      <c r="Z463">
        <f t="shared" si="119"/>
        <v>37464.206323952145</v>
      </c>
      <c r="AB463">
        <f t="shared" si="120"/>
        <v>19.371590000000001</v>
      </c>
      <c r="AC463">
        <f t="shared" si="121"/>
        <v>5732.0534809999999</v>
      </c>
      <c r="AD463">
        <f t="shared" si="122"/>
        <v>156.90987900000044</v>
      </c>
      <c r="AE463">
        <f t="shared" si="123"/>
        <v>11.621016841000001</v>
      </c>
      <c r="AF463">
        <f t="shared" si="124"/>
        <v>145.28886215900044</v>
      </c>
      <c r="AG463">
        <f t="shared" si="114"/>
        <v>57465.823007846549</v>
      </c>
      <c r="AH463" t="b">
        <f t="shared" si="125"/>
        <v>1</v>
      </c>
    </row>
    <row r="464" spans="4:34" hidden="1" x14ac:dyDescent="0.4">
      <c r="D464" t="s">
        <v>60</v>
      </c>
      <c r="E464" t="s">
        <v>37</v>
      </c>
      <c r="F464" s="9">
        <v>45927.583333333336</v>
      </c>
      <c r="G464">
        <v>2.7860999999999998</v>
      </c>
      <c r="H464" s="9">
        <v>45930.083333333336</v>
      </c>
      <c r="I464">
        <v>2.8771</v>
      </c>
      <c r="J464">
        <v>814.5</v>
      </c>
      <c r="K464" s="12">
        <v>2269.2800000000002</v>
      </c>
      <c r="L464">
        <v>3.46</v>
      </c>
      <c r="M464">
        <v>70.66</v>
      </c>
      <c r="N464" s="13">
        <v>3.1099999999999999E-2</v>
      </c>
      <c r="O464" t="s">
        <v>57</v>
      </c>
      <c r="Q464">
        <f t="shared" si="126"/>
        <v>74.119500000000158</v>
      </c>
      <c r="R464">
        <f t="shared" si="127"/>
        <v>70.659500000000165</v>
      </c>
      <c r="S464">
        <f t="shared" si="128"/>
        <v>2343.39795</v>
      </c>
      <c r="U464">
        <f t="shared" si="115"/>
        <v>592.22569199999998</v>
      </c>
      <c r="V464">
        <f t="shared" si="129"/>
        <v>1650.0000004811998</v>
      </c>
      <c r="W464">
        <f t="shared" si="116"/>
        <v>53.892537972000113</v>
      </c>
      <c r="X464">
        <f t="shared" si="117"/>
        <v>3.3538925389343999</v>
      </c>
      <c r="Y464">
        <f t="shared" si="118"/>
        <v>50.53864543306571</v>
      </c>
      <c r="Z464">
        <f t="shared" si="119"/>
        <v>37422.384206331342</v>
      </c>
      <c r="AB464">
        <f t="shared" si="120"/>
        <v>2051.0929409999999</v>
      </c>
      <c r="AC464">
        <f t="shared" si="121"/>
        <v>5714.5500429200993</v>
      </c>
      <c r="AD464">
        <f t="shared" si="122"/>
        <v>186.64945763100039</v>
      </c>
      <c r="AE464">
        <f t="shared" si="123"/>
        <v>11.6157495434712</v>
      </c>
      <c r="AF464">
        <f t="shared" si="124"/>
        <v>175.03370808752919</v>
      </c>
      <c r="AG464">
        <f t="shared" si="114"/>
        <v>57320.534145687547</v>
      </c>
      <c r="AH464" t="b">
        <f t="shared" si="125"/>
        <v>1</v>
      </c>
    </row>
    <row r="465" spans="4:34" hidden="1" x14ac:dyDescent="0.4">
      <c r="D465" t="s">
        <v>53</v>
      </c>
      <c r="E465" t="s">
        <v>37</v>
      </c>
      <c r="F465" s="9">
        <v>45927.166666666664</v>
      </c>
      <c r="G465" s="12">
        <v>962.92</v>
      </c>
      <c r="H465" s="9">
        <v>45929.166666666664</v>
      </c>
      <c r="I465" s="12">
        <v>1000.49</v>
      </c>
      <c r="J465">
        <v>10.076000000000001</v>
      </c>
      <c r="K465" s="12">
        <v>9702.77</v>
      </c>
      <c r="L465">
        <v>14.84</v>
      </c>
      <c r="M465">
        <v>363.72</v>
      </c>
      <c r="N465" s="13">
        <v>3.7499999999999999E-2</v>
      </c>
      <c r="O465" t="s">
        <v>38</v>
      </c>
      <c r="Q465">
        <f t="shared" si="126"/>
        <v>378.55532000000051</v>
      </c>
      <c r="R465">
        <f t="shared" si="127"/>
        <v>363.71532000000053</v>
      </c>
      <c r="S465">
        <f t="shared" si="128"/>
        <v>10080.937240000001</v>
      </c>
      <c r="U465">
        <f t="shared" si="115"/>
        <v>1.713538</v>
      </c>
      <c r="V465">
        <f t="shared" si="129"/>
        <v>1650.0000109599998</v>
      </c>
      <c r="W465">
        <f t="shared" si="116"/>
        <v>64.377622660000085</v>
      </c>
      <c r="X465">
        <f t="shared" si="117"/>
        <v>3.3643776445799998</v>
      </c>
      <c r="Y465">
        <f t="shared" si="118"/>
        <v>61.013245015420082</v>
      </c>
      <c r="Z465">
        <f t="shared" si="119"/>
        <v>37371.845560898277</v>
      </c>
      <c r="AB465">
        <f t="shared" si="120"/>
        <v>5.9127409999999996</v>
      </c>
      <c r="AC465">
        <f t="shared" si="121"/>
        <v>5693.4965637199994</v>
      </c>
      <c r="AD465">
        <f t="shared" si="122"/>
        <v>222.14167937000028</v>
      </c>
      <c r="AE465">
        <f t="shared" si="123"/>
        <v>11.609134806809999</v>
      </c>
      <c r="AF465">
        <f t="shared" si="124"/>
        <v>210.53254456319027</v>
      </c>
      <c r="AG465">
        <f t="shared" si="114"/>
        <v>57145.500437600014</v>
      </c>
      <c r="AH465" t="b">
        <f t="shared" si="125"/>
        <v>1</v>
      </c>
    </row>
    <row r="466" spans="4:34" hidden="1" x14ac:dyDescent="0.4">
      <c r="D466" t="s">
        <v>56</v>
      </c>
      <c r="E466" t="s">
        <v>37</v>
      </c>
      <c r="F466" s="9">
        <v>45926.583333333336</v>
      </c>
      <c r="G466" s="12">
        <v>3940.33</v>
      </c>
      <c r="H466" s="9">
        <v>45929.083333333336</v>
      </c>
      <c r="I466" s="12">
        <v>4129.5600000000004</v>
      </c>
      <c r="J466">
        <v>1.4594</v>
      </c>
      <c r="K466" s="12">
        <v>5750.61</v>
      </c>
      <c r="L466">
        <v>8.83</v>
      </c>
      <c r="M466">
        <v>267.33</v>
      </c>
      <c r="N466" s="13">
        <v>4.65E-2</v>
      </c>
      <c r="O466" t="s">
        <v>57</v>
      </c>
      <c r="Q466">
        <f t="shared" si="126"/>
        <v>276.16226200000068</v>
      </c>
      <c r="R466">
        <f t="shared" si="127"/>
        <v>267.3322620000007</v>
      </c>
      <c r="S466">
        <f t="shared" si="128"/>
        <v>6026.6798640000006</v>
      </c>
      <c r="U466">
        <f t="shared" si="115"/>
        <v>0.41874699999999998</v>
      </c>
      <c r="V466">
        <f t="shared" si="129"/>
        <v>1650.0013665099998</v>
      </c>
      <c r="W466">
        <f t="shared" si="116"/>
        <v>79.239494810000195</v>
      </c>
      <c r="X466">
        <f t="shared" si="117"/>
        <v>3.3792422278300003</v>
      </c>
      <c r="Y466">
        <f t="shared" si="118"/>
        <v>75.86025258217019</v>
      </c>
      <c r="Z466">
        <f t="shared" si="119"/>
        <v>37310.832315882857</v>
      </c>
      <c r="AB466">
        <f t="shared" si="120"/>
        <v>1.4383159999999999</v>
      </c>
      <c r="AC466">
        <f t="shared" si="121"/>
        <v>5667.4396842799997</v>
      </c>
      <c r="AD466">
        <f t="shared" si="122"/>
        <v>272.17253668000069</v>
      </c>
      <c r="AE466">
        <f t="shared" si="123"/>
        <v>11.607051905240001</v>
      </c>
      <c r="AF466">
        <f t="shared" si="124"/>
        <v>260.56548477476071</v>
      </c>
      <c r="AG466">
        <f t="shared" si="114"/>
        <v>56934.967893036825</v>
      </c>
      <c r="AH466" t="b">
        <f t="shared" si="125"/>
        <v>1</v>
      </c>
    </row>
    <row r="467" spans="4:34" hidden="1" x14ac:dyDescent="0.4">
      <c r="D467" t="s">
        <v>43</v>
      </c>
      <c r="E467" t="s">
        <v>37</v>
      </c>
      <c r="F467" s="9">
        <v>45926.583333333336</v>
      </c>
      <c r="G467" s="12">
        <v>3.141</v>
      </c>
      <c r="H467" s="9">
        <v>45928.583333333336</v>
      </c>
      <c r="I467" s="12">
        <v>3.1101999999999999</v>
      </c>
      <c r="J467">
        <v>614.5</v>
      </c>
      <c r="K467" s="12">
        <v>1930.32</v>
      </c>
      <c r="L467">
        <v>2.88</v>
      </c>
      <c r="M467">
        <v>-21.81</v>
      </c>
      <c r="N467" s="13">
        <v>-1.1299999999999999E-2</v>
      </c>
      <c r="O467" t="s">
        <v>38</v>
      </c>
      <c r="Q467">
        <f t="shared" si="126"/>
        <v>-18.9266000000001</v>
      </c>
      <c r="R467">
        <f t="shared" si="127"/>
        <v>-21.806600000000099</v>
      </c>
      <c r="S467">
        <f t="shared" si="128"/>
        <v>1911.2178999999999</v>
      </c>
      <c r="U467">
        <f t="shared" si="115"/>
        <v>525.31041100000004</v>
      </c>
      <c r="V467">
        <f t="shared" si="129"/>
        <v>1650.0000009510002</v>
      </c>
      <c r="W467">
        <f t="shared" si="116"/>
        <v>-16.179560658800085</v>
      </c>
      <c r="X467">
        <f t="shared" si="117"/>
        <v>3.2838204412432002</v>
      </c>
      <c r="Y467">
        <f t="shared" si="118"/>
        <v>-19.463381100043286</v>
      </c>
      <c r="Z467">
        <f t="shared" si="119"/>
        <v>37234.972063300687</v>
      </c>
      <c r="AB467">
        <f t="shared" si="120"/>
        <v>1806.473557</v>
      </c>
      <c r="AC467">
        <f t="shared" si="121"/>
        <v>5674.1334425370005</v>
      </c>
      <c r="AD467">
        <f t="shared" si="122"/>
        <v>-55.639385555600292</v>
      </c>
      <c r="AE467">
        <f t="shared" si="123"/>
        <v>11.292627499518401</v>
      </c>
      <c r="AF467">
        <f t="shared" si="124"/>
        <v>-66.932013055118688</v>
      </c>
      <c r="AG467">
        <f t="shared" si="114"/>
        <v>56674.402408262067</v>
      </c>
      <c r="AH467" t="b">
        <f t="shared" si="125"/>
        <v>1</v>
      </c>
    </row>
    <row r="468" spans="4:34" hidden="1" x14ac:dyDescent="0.4">
      <c r="D468" t="s">
        <v>52</v>
      </c>
      <c r="E468" t="s">
        <v>37</v>
      </c>
      <c r="F468" s="9">
        <v>45926.583333333336</v>
      </c>
      <c r="G468">
        <v>4.1239999999999997</v>
      </c>
      <c r="H468" s="9">
        <v>45928.583333333336</v>
      </c>
      <c r="I468">
        <v>4.1280000000000001</v>
      </c>
      <c r="J468">
        <v>572.25</v>
      </c>
      <c r="K468" s="12">
        <v>2360</v>
      </c>
      <c r="L468">
        <v>3.54</v>
      </c>
      <c r="M468">
        <v>-1.25</v>
      </c>
      <c r="N468" s="13">
        <v>-5.0000000000000001E-4</v>
      </c>
      <c r="O468" t="s">
        <v>38</v>
      </c>
      <c r="Q468">
        <f t="shared" si="126"/>
        <v>2.2890000000002564</v>
      </c>
      <c r="R468">
        <f t="shared" si="127"/>
        <v>-1.2509999999997437</v>
      </c>
      <c r="S468">
        <f t="shared" si="128"/>
        <v>2362.248</v>
      </c>
      <c r="U468">
        <f t="shared" si="115"/>
        <v>400.096993</v>
      </c>
      <c r="V468">
        <f t="shared" si="129"/>
        <v>1649.9999991319999</v>
      </c>
      <c r="W468">
        <f t="shared" si="116"/>
        <v>1.600387972000179</v>
      </c>
      <c r="X468">
        <f t="shared" si="117"/>
        <v>3.3016003862359997</v>
      </c>
      <c r="Y468">
        <f t="shared" si="118"/>
        <v>-1.7012124142358207</v>
      </c>
      <c r="Z468">
        <f t="shared" si="119"/>
        <v>37254.435444400733</v>
      </c>
      <c r="AB468">
        <f t="shared" si="120"/>
        <v>1376.022921</v>
      </c>
      <c r="AC468">
        <f t="shared" si="121"/>
        <v>5674.7185262039993</v>
      </c>
      <c r="AD468">
        <f t="shared" si="122"/>
        <v>5.504091684000616</v>
      </c>
      <c r="AE468">
        <f t="shared" si="123"/>
        <v>11.354941144091999</v>
      </c>
      <c r="AF468">
        <f t="shared" si="124"/>
        <v>-5.850849460091383</v>
      </c>
      <c r="AG468">
        <f t="shared" si="114"/>
        <v>56741.334421317188</v>
      </c>
      <c r="AH468" t="b">
        <f t="shared" si="125"/>
        <v>1</v>
      </c>
    </row>
    <row r="469" spans="4:34" hidden="1" x14ac:dyDescent="0.4">
      <c r="D469" t="s">
        <v>48</v>
      </c>
      <c r="E469" t="s">
        <v>37</v>
      </c>
      <c r="F469" s="9">
        <v>45926.583333333336</v>
      </c>
      <c r="G469">
        <v>9.4899999999999998E-2</v>
      </c>
      <c r="H469" s="9">
        <v>45928.583333333336</v>
      </c>
      <c r="I469">
        <v>9.3899999999999997E-2</v>
      </c>
      <c r="J469" s="12">
        <v>32631.200000000001</v>
      </c>
      <c r="K469" s="12">
        <v>3096.7</v>
      </c>
      <c r="L469">
        <v>4.62</v>
      </c>
      <c r="M469">
        <v>-37.25</v>
      </c>
      <c r="N469" s="13">
        <v>-1.2E-2</v>
      </c>
      <c r="O469" t="s">
        <v>38</v>
      </c>
      <c r="Q469">
        <f t="shared" si="126"/>
        <v>-32.631200000000028</v>
      </c>
      <c r="R469">
        <f t="shared" si="127"/>
        <v>-37.251200000000026</v>
      </c>
      <c r="S469">
        <f t="shared" si="128"/>
        <v>3064.0696800000001</v>
      </c>
      <c r="U469">
        <f t="shared" si="115"/>
        <v>17386.722866</v>
      </c>
      <c r="V469">
        <f t="shared" si="129"/>
        <v>1649.9999999833999</v>
      </c>
      <c r="W469">
        <f t="shared" si="116"/>
        <v>-17.386722866000017</v>
      </c>
      <c r="X469">
        <f t="shared" si="117"/>
        <v>3.2826132771008001</v>
      </c>
      <c r="Y469">
        <f t="shared" si="118"/>
        <v>-20.669336143100818</v>
      </c>
      <c r="Z469">
        <f t="shared" si="119"/>
        <v>37256.136656814968</v>
      </c>
      <c r="AB469">
        <f t="shared" si="120"/>
        <v>59871.823915000001</v>
      </c>
      <c r="AC469">
        <f t="shared" si="121"/>
        <v>5681.8360895334999</v>
      </c>
      <c r="AD469">
        <f t="shared" si="122"/>
        <v>-59.871823915000057</v>
      </c>
      <c r="AE469">
        <f t="shared" si="123"/>
        <v>11.303800355152001</v>
      </c>
      <c r="AF469">
        <f t="shared" si="124"/>
        <v>-71.175624270152056</v>
      </c>
      <c r="AG469">
        <f t="shared" si="114"/>
        <v>56747.185270777278</v>
      </c>
      <c r="AH469" t="b">
        <f t="shared" si="125"/>
        <v>1</v>
      </c>
    </row>
    <row r="470" spans="4:34" hidden="1" x14ac:dyDescent="0.4">
      <c r="D470" t="s">
        <v>54</v>
      </c>
      <c r="E470" t="s">
        <v>37</v>
      </c>
      <c r="F470" s="9">
        <v>45926.583333333336</v>
      </c>
      <c r="G470">
        <v>196.81</v>
      </c>
      <c r="H470" s="9">
        <v>45928.583333333336</v>
      </c>
      <c r="I470">
        <v>198.56</v>
      </c>
      <c r="J470" s="12">
        <v>25.556000000000001</v>
      </c>
      <c r="K470" s="12">
        <v>5029.83</v>
      </c>
      <c r="L470">
        <v>7.58</v>
      </c>
      <c r="M470">
        <v>37.14</v>
      </c>
      <c r="N470" s="13">
        <v>7.4000000000000003E-3</v>
      </c>
      <c r="O470" t="s">
        <v>38</v>
      </c>
      <c r="Q470">
        <f t="shared" si="126"/>
        <v>44.722999999999999</v>
      </c>
      <c r="R470">
        <f t="shared" si="127"/>
        <v>37.143000000000001</v>
      </c>
      <c r="S470">
        <f t="shared" si="128"/>
        <v>5074.3993600000003</v>
      </c>
      <c r="U470">
        <f t="shared" si="115"/>
        <v>8.3837200000000003</v>
      </c>
      <c r="V470">
        <f t="shared" si="129"/>
        <v>1649.9999332</v>
      </c>
      <c r="W470">
        <f t="shared" si="116"/>
        <v>14.671510000000001</v>
      </c>
      <c r="X470">
        <f t="shared" si="117"/>
        <v>3.3146713764000002</v>
      </c>
      <c r="Y470">
        <f t="shared" si="118"/>
        <v>11.356838623600002</v>
      </c>
      <c r="Z470">
        <f t="shared" si="119"/>
        <v>37276.80599295807</v>
      </c>
      <c r="AB470">
        <f t="shared" si="120"/>
        <v>28.849793999999999</v>
      </c>
      <c r="AC470">
        <f t="shared" si="121"/>
        <v>5677.9279571400002</v>
      </c>
      <c r="AD470">
        <f t="shared" si="122"/>
        <v>50.487139499999998</v>
      </c>
      <c r="AE470">
        <f t="shared" si="123"/>
        <v>11.406343053780001</v>
      </c>
      <c r="AF470">
        <f t="shared" si="124"/>
        <v>39.080796446219999</v>
      </c>
      <c r="AG470">
        <f t="shared" si="114"/>
        <v>56818.36089504743</v>
      </c>
      <c r="AH470" t="b">
        <f t="shared" si="125"/>
        <v>1</v>
      </c>
    </row>
    <row r="471" spans="4:34" hidden="1" x14ac:dyDescent="0.4">
      <c r="D471" t="s">
        <v>55</v>
      </c>
      <c r="E471" t="s">
        <v>37</v>
      </c>
      <c r="F471" s="9">
        <v>45926.583333333336</v>
      </c>
      <c r="G471">
        <v>5.3340000000000001E-5</v>
      </c>
      <c r="H471" s="9">
        <v>45928.583333333336</v>
      </c>
      <c r="I471">
        <v>5.3640000000000001E-5</v>
      </c>
      <c r="J471" s="12">
        <v>110565075.5</v>
      </c>
      <c r="K471" s="12">
        <v>5897.54</v>
      </c>
      <c r="L471">
        <v>8.8699999999999992</v>
      </c>
      <c r="M471">
        <v>24.3</v>
      </c>
      <c r="N471" s="13">
        <v>4.1000000000000003E-3</v>
      </c>
      <c r="O471" t="s">
        <v>38</v>
      </c>
      <c r="Q471">
        <f t="shared" si="126"/>
        <v>33.169522650000054</v>
      </c>
      <c r="R471">
        <f t="shared" si="127"/>
        <v>24.299522650000057</v>
      </c>
      <c r="S471">
        <f t="shared" si="128"/>
        <v>5930.7106498200001</v>
      </c>
      <c r="U471">
        <f t="shared" si="115"/>
        <v>30933633.295837998</v>
      </c>
      <c r="V471">
        <f t="shared" si="129"/>
        <v>1649.9999999999989</v>
      </c>
      <c r="W471">
        <f t="shared" si="116"/>
        <v>9.2800899887514152</v>
      </c>
      <c r="X471">
        <f t="shared" si="117"/>
        <v>3.3092800899887496</v>
      </c>
      <c r="Y471">
        <f t="shared" si="118"/>
        <v>5.9708098987626652</v>
      </c>
      <c r="Z471">
        <f t="shared" si="119"/>
        <v>37265.44915433447</v>
      </c>
      <c r="AB471">
        <f t="shared" si="120"/>
        <v>106409338.14801601</v>
      </c>
      <c r="AC471">
        <f t="shared" si="121"/>
        <v>5675.8740968151742</v>
      </c>
      <c r="AD471">
        <f t="shared" si="122"/>
        <v>31.922801444404858</v>
      </c>
      <c r="AE471">
        <f t="shared" si="123"/>
        <v>11.383670995074754</v>
      </c>
      <c r="AF471">
        <f t="shared" si="124"/>
        <v>20.539130449330102</v>
      </c>
      <c r="AG471">
        <f t="shared" si="114"/>
        <v>56779.280098601208</v>
      </c>
      <c r="AH471" t="b">
        <f t="shared" si="125"/>
        <v>1</v>
      </c>
    </row>
    <row r="472" spans="4:34" hidden="1" x14ac:dyDescent="0.4">
      <c r="D472" t="s">
        <v>58</v>
      </c>
      <c r="E472" t="s">
        <v>37</v>
      </c>
      <c r="F472" s="9">
        <v>45926.583333333336</v>
      </c>
      <c r="G472">
        <v>20.45</v>
      </c>
      <c r="H472" s="9">
        <v>45928.583333333336</v>
      </c>
      <c r="I472">
        <v>20.48</v>
      </c>
      <c r="J472" s="12">
        <v>366.87</v>
      </c>
      <c r="K472" s="12">
        <v>7502.67</v>
      </c>
      <c r="L472">
        <v>11.26</v>
      </c>
      <c r="M472">
        <v>-0.26</v>
      </c>
      <c r="N472" s="13">
        <v>0</v>
      </c>
      <c r="O472" t="s">
        <v>38</v>
      </c>
      <c r="Q472">
        <f t="shared" si="126"/>
        <v>11.006100000000417</v>
      </c>
      <c r="R472">
        <f t="shared" si="127"/>
        <v>-0.25389999999958235</v>
      </c>
      <c r="S472">
        <f t="shared" si="128"/>
        <v>7513.4976000000006</v>
      </c>
      <c r="U472">
        <f t="shared" si="115"/>
        <v>80.684596999999997</v>
      </c>
      <c r="V472">
        <f t="shared" si="129"/>
        <v>1650.0000086499999</v>
      </c>
      <c r="W472">
        <f t="shared" si="116"/>
        <v>2.4205379100000917</v>
      </c>
      <c r="X472">
        <f t="shared" si="117"/>
        <v>3.3024205552099999</v>
      </c>
      <c r="Y472">
        <f t="shared" si="118"/>
        <v>-0.88188264520990822</v>
      </c>
      <c r="Z472">
        <f t="shared" si="119"/>
        <v>37259.478344435709</v>
      </c>
      <c r="AB472">
        <f t="shared" si="120"/>
        <v>277.56369100000001</v>
      </c>
      <c r="AC472">
        <f t="shared" si="121"/>
        <v>5676.1774809500002</v>
      </c>
      <c r="AD472">
        <f t="shared" si="122"/>
        <v>8.326910730000316</v>
      </c>
      <c r="AE472">
        <f t="shared" si="123"/>
        <v>11.36068187263</v>
      </c>
      <c r="AF472">
        <f t="shared" si="124"/>
        <v>-3.0337711426296838</v>
      </c>
      <c r="AG472">
        <f t="shared" si="114"/>
        <v>56758.740968151877</v>
      </c>
      <c r="AH472" t="b">
        <f t="shared" si="125"/>
        <v>1</v>
      </c>
    </row>
    <row r="473" spans="4:34" hidden="1" x14ac:dyDescent="0.4">
      <c r="D473" t="s">
        <v>61</v>
      </c>
      <c r="E473" t="s">
        <v>37</v>
      </c>
      <c r="F473" s="9">
        <v>45926.583333333336</v>
      </c>
      <c r="G473">
        <v>0.7732</v>
      </c>
      <c r="H473" s="9">
        <v>45928.583333333336</v>
      </c>
      <c r="I473">
        <v>0.76670000000000005</v>
      </c>
      <c r="J473" s="12">
        <v>11056.5</v>
      </c>
      <c r="K473" s="12">
        <v>8548.94</v>
      </c>
      <c r="L473">
        <v>12.77</v>
      </c>
      <c r="M473">
        <v>-84.64</v>
      </c>
      <c r="N473" s="13">
        <v>-9.9000000000000008E-3</v>
      </c>
      <c r="O473" t="s">
        <v>38</v>
      </c>
      <c r="Q473">
        <f t="shared" si="126"/>
        <v>-71.867249999999444</v>
      </c>
      <c r="R473">
        <f t="shared" si="127"/>
        <v>-84.63724999999944</v>
      </c>
      <c r="S473">
        <f t="shared" si="128"/>
        <v>8477.0185500000007</v>
      </c>
      <c r="U473">
        <f t="shared" si="115"/>
        <v>2133.9886190000002</v>
      </c>
      <c r="V473">
        <f t="shared" si="129"/>
        <v>1650.0000002108002</v>
      </c>
      <c r="W473">
        <f t="shared" si="116"/>
        <v>-13.870926023499894</v>
      </c>
      <c r="X473">
        <f t="shared" si="117"/>
        <v>3.2861290743981004</v>
      </c>
      <c r="Y473">
        <f t="shared" si="118"/>
        <v>-17.157055097897995</v>
      </c>
      <c r="Z473">
        <f t="shared" si="119"/>
        <v>37260.360227080921</v>
      </c>
      <c r="AB473">
        <f t="shared" si="120"/>
        <v>7348.7918120000004</v>
      </c>
      <c r="AC473">
        <f t="shared" si="121"/>
        <v>5682.0858290384003</v>
      </c>
      <c r="AD473">
        <f t="shared" si="122"/>
        <v>-47.767146777999635</v>
      </c>
      <c r="AE473">
        <f t="shared" si="123"/>
        <v>11.316404511298801</v>
      </c>
      <c r="AF473">
        <f t="shared" si="124"/>
        <v>-59.083551289298434</v>
      </c>
      <c r="AG473">
        <f t="shared" si="114"/>
        <v>56761.774739294509</v>
      </c>
      <c r="AH473" t="b">
        <f t="shared" si="125"/>
        <v>1</v>
      </c>
    </row>
    <row r="474" spans="4:34" hidden="1" x14ac:dyDescent="0.4">
      <c r="D474" t="s">
        <v>50</v>
      </c>
      <c r="E474" t="s">
        <v>37</v>
      </c>
      <c r="F474" s="9">
        <v>45926.583333333336</v>
      </c>
      <c r="G474" s="12">
        <v>297.3</v>
      </c>
      <c r="H474" s="9">
        <v>45928.583333333336</v>
      </c>
      <c r="I474" s="12">
        <v>292.5</v>
      </c>
      <c r="J474">
        <v>44.297600000000003</v>
      </c>
      <c r="K474" s="12">
        <v>13169.69</v>
      </c>
      <c r="L474">
        <v>19.600000000000001</v>
      </c>
      <c r="M474">
        <v>-232.22</v>
      </c>
      <c r="N474" s="13">
        <v>-1.7600000000000001E-2</v>
      </c>
      <c r="O474" t="s">
        <v>38</v>
      </c>
      <c r="Q474">
        <f t="shared" si="126"/>
        <v>-212.62848000000051</v>
      </c>
      <c r="R474">
        <f t="shared" si="127"/>
        <v>-232.2284800000005</v>
      </c>
      <c r="S474">
        <f t="shared" si="128"/>
        <v>12957.048000000001</v>
      </c>
      <c r="U474">
        <f t="shared" si="115"/>
        <v>5.5499499999999999</v>
      </c>
      <c r="V474">
        <f t="shared" si="129"/>
        <v>1650.000135</v>
      </c>
      <c r="W474">
        <f t="shared" si="116"/>
        <v>-26.639760000000063</v>
      </c>
      <c r="X474">
        <f t="shared" si="117"/>
        <v>3.2733605099999998</v>
      </c>
      <c r="Y474">
        <f t="shared" si="118"/>
        <v>-29.913120510000063</v>
      </c>
      <c r="Z474">
        <f t="shared" si="119"/>
        <v>37277.517282178822</v>
      </c>
      <c r="AB474">
        <f t="shared" si="120"/>
        <v>19.147009000000001</v>
      </c>
      <c r="AC474">
        <f t="shared" si="121"/>
        <v>5692.4057757</v>
      </c>
      <c r="AD474">
        <f t="shared" si="122"/>
        <v>-91.905643200000227</v>
      </c>
      <c r="AE474">
        <f t="shared" si="123"/>
        <v>11.2929059082</v>
      </c>
      <c r="AF474">
        <f t="shared" si="124"/>
        <v>-103.19854910820023</v>
      </c>
      <c r="AG474">
        <f t="shared" si="114"/>
        <v>56820.858290583805</v>
      </c>
      <c r="AH474" t="b">
        <f t="shared" si="125"/>
        <v>1</v>
      </c>
    </row>
    <row r="475" spans="4:34" hidden="1" x14ac:dyDescent="0.4">
      <c r="D475" t="s">
        <v>59</v>
      </c>
      <c r="E475" t="s">
        <v>37</v>
      </c>
      <c r="F475" s="9">
        <v>45924.666666666664</v>
      </c>
      <c r="G475" s="12">
        <v>113775.99</v>
      </c>
      <c r="H475" s="9">
        <v>45927.166666666664</v>
      </c>
      <c r="I475" s="12">
        <v>109482.39</v>
      </c>
      <c r="J475">
        <v>9.2689999999999995E-2</v>
      </c>
      <c r="K475" s="12">
        <v>10546.54</v>
      </c>
      <c r="L475">
        <v>15.52</v>
      </c>
      <c r="M475">
        <v>-413.49</v>
      </c>
      <c r="N475" s="13">
        <v>-3.9199999999999999E-2</v>
      </c>
      <c r="O475" t="s">
        <v>57</v>
      </c>
      <c r="Q475">
        <f t="shared" si="126"/>
        <v>-397.97378400000053</v>
      </c>
      <c r="R475">
        <f t="shared" si="127"/>
        <v>-413.49378400000052</v>
      </c>
      <c r="S475">
        <f t="shared" si="128"/>
        <v>10147.922729099999</v>
      </c>
      <c r="U475">
        <f t="shared" si="115"/>
        <v>1.4501999999999999E-2</v>
      </c>
      <c r="V475">
        <f t="shared" si="129"/>
        <v>1649.97940698</v>
      </c>
      <c r="W475">
        <f t="shared" si="116"/>
        <v>-62.265787200000084</v>
      </c>
      <c r="X475">
        <f t="shared" si="117"/>
        <v>3.2376930267600001</v>
      </c>
      <c r="Y475">
        <f t="shared" si="118"/>
        <v>-65.50348022676009</v>
      </c>
      <c r="Z475">
        <f t="shared" si="119"/>
        <v>37307.43040268882</v>
      </c>
      <c r="AB475">
        <f t="shared" si="120"/>
        <v>5.0230999999999998E-2</v>
      </c>
      <c r="AC475">
        <f t="shared" si="121"/>
        <v>5715.0817536900004</v>
      </c>
      <c r="AD475">
        <f t="shared" si="122"/>
        <v>-215.67182160000027</v>
      </c>
      <c r="AE475">
        <f t="shared" si="123"/>
        <v>11.214491685780001</v>
      </c>
      <c r="AF475">
        <f t="shared" si="124"/>
        <v>-226.88631328578026</v>
      </c>
      <c r="AG475">
        <f t="shared" si="114"/>
        <v>56924.056839692006</v>
      </c>
      <c r="AH475" t="b">
        <f t="shared" si="125"/>
        <v>1</v>
      </c>
    </row>
    <row r="476" spans="4:34" hidden="1" x14ac:dyDescent="0.4">
      <c r="D476" t="s">
        <v>60</v>
      </c>
      <c r="E476" t="s">
        <v>37</v>
      </c>
      <c r="F476" s="9">
        <v>45924.125</v>
      </c>
      <c r="G476" s="12">
        <v>2.8424999999999998</v>
      </c>
      <c r="H476" s="9">
        <v>45926.625</v>
      </c>
      <c r="I476" s="12">
        <v>2.7633999999999999</v>
      </c>
      <c r="J476">
        <v>800.6</v>
      </c>
      <c r="K476" s="12">
        <v>2275.9499999999998</v>
      </c>
      <c r="L476">
        <v>3.37</v>
      </c>
      <c r="M476">
        <v>-66.69</v>
      </c>
      <c r="N476" s="13">
        <v>-2.93E-2</v>
      </c>
      <c r="O476" t="s">
        <v>57</v>
      </c>
      <c r="Q476">
        <f t="shared" si="126"/>
        <v>-63.327459999999959</v>
      </c>
      <c r="R476">
        <f t="shared" si="127"/>
        <v>-66.697459999999964</v>
      </c>
      <c r="S476">
        <f t="shared" si="128"/>
        <v>2212.3780400000001</v>
      </c>
      <c r="U476">
        <f t="shared" si="115"/>
        <v>580.47493399999996</v>
      </c>
      <c r="V476">
        <f t="shared" si="129"/>
        <v>1649.9999998949997</v>
      </c>
      <c r="W476">
        <f t="shared" si="116"/>
        <v>-45.915567279399966</v>
      </c>
      <c r="X476">
        <f t="shared" si="117"/>
        <v>3.2540844325106</v>
      </c>
      <c r="Y476">
        <f t="shared" si="118"/>
        <v>-49.169651711910568</v>
      </c>
      <c r="Z476">
        <f t="shared" si="119"/>
        <v>37372.933882915582</v>
      </c>
      <c r="AB476">
        <f t="shared" si="120"/>
        <v>2016.5966860000001</v>
      </c>
      <c r="AC476">
        <f t="shared" si="121"/>
        <v>5732.1760799550002</v>
      </c>
      <c r="AD476">
        <f t="shared" si="122"/>
        <v>-159.51279786259991</v>
      </c>
      <c r="AE476">
        <f t="shared" si="123"/>
        <v>11.304839362047401</v>
      </c>
      <c r="AF476">
        <f t="shared" si="124"/>
        <v>-170.81763722464731</v>
      </c>
      <c r="AG476">
        <f t="shared" si="114"/>
        <v>57150.943152977787</v>
      </c>
      <c r="AH476" t="b">
        <f t="shared" si="125"/>
        <v>1</v>
      </c>
    </row>
    <row r="477" spans="4:34" hidden="1" x14ac:dyDescent="0.4">
      <c r="D477" t="s">
        <v>53</v>
      </c>
      <c r="E477" t="s">
        <v>37</v>
      </c>
      <c r="F477" s="9">
        <v>45920.375</v>
      </c>
      <c r="G477" s="12">
        <v>1000.05</v>
      </c>
      <c r="H477" s="9">
        <v>45922.375</v>
      </c>
      <c r="I477" s="12">
        <v>1024.5899999999999</v>
      </c>
      <c r="J477">
        <v>9.68</v>
      </c>
      <c r="K477" s="12">
        <v>9680.49</v>
      </c>
      <c r="L477">
        <v>14.7</v>
      </c>
      <c r="M477">
        <v>222.85</v>
      </c>
      <c r="N477" s="13">
        <v>2.3E-2</v>
      </c>
      <c r="O477" t="s">
        <v>38</v>
      </c>
      <c r="Q477">
        <f t="shared" si="126"/>
        <v>237.54719999999963</v>
      </c>
      <c r="R477">
        <f t="shared" si="127"/>
        <v>222.84719999999965</v>
      </c>
      <c r="S477">
        <f t="shared" si="128"/>
        <v>9918.0311999999994</v>
      </c>
      <c r="U477">
        <f t="shared" si="115"/>
        <v>1.649918</v>
      </c>
      <c r="V477">
        <f t="shared" si="129"/>
        <v>1650.0004959</v>
      </c>
      <c r="W477">
        <f t="shared" si="116"/>
        <v>40.48898771999994</v>
      </c>
      <c r="X477">
        <f t="shared" si="117"/>
        <v>3.3404899795199996</v>
      </c>
      <c r="Y477">
        <f t="shared" si="118"/>
        <v>37.148497740479939</v>
      </c>
      <c r="Z477">
        <f t="shared" si="119"/>
        <v>37422.103534627495</v>
      </c>
      <c r="AB477">
        <f t="shared" si="120"/>
        <v>5.7190139999999996</v>
      </c>
      <c r="AC477">
        <f t="shared" si="121"/>
        <v>5719.2999506999995</v>
      </c>
      <c r="AD477">
        <f t="shared" si="122"/>
        <v>140.34460355999977</v>
      </c>
      <c r="AE477">
        <f t="shared" si="123"/>
        <v>11.578944504959997</v>
      </c>
      <c r="AF477">
        <f t="shared" si="124"/>
        <v>128.76565905503978</v>
      </c>
      <c r="AG477">
        <f t="shared" si="114"/>
        <v>57321.760790202432</v>
      </c>
      <c r="AH477" t="b">
        <f t="shared" si="125"/>
        <v>1</v>
      </c>
    </row>
    <row r="478" spans="4:34" hidden="1" x14ac:dyDescent="0.4">
      <c r="D478" t="s">
        <v>55</v>
      </c>
      <c r="E478" t="s">
        <v>37</v>
      </c>
      <c r="F478" s="9">
        <v>45918.666666666664</v>
      </c>
      <c r="G478">
        <v>6.177E-5</v>
      </c>
      <c r="H478" s="9">
        <v>45920.666666666664</v>
      </c>
      <c r="I478">
        <v>6.0099999999999997E-5</v>
      </c>
      <c r="J478" s="12">
        <v>95748848.189999998</v>
      </c>
      <c r="K478" s="12">
        <v>5914.41</v>
      </c>
      <c r="L478">
        <v>8.75</v>
      </c>
      <c r="M478">
        <v>-168.65</v>
      </c>
      <c r="N478" s="13">
        <v>-2.8500000000000001E-2</v>
      </c>
      <c r="O478" t="s">
        <v>38</v>
      </c>
      <c r="Q478">
        <f t="shared" si="126"/>
        <v>-159.90057647730026</v>
      </c>
      <c r="R478">
        <f t="shared" si="127"/>
        <v>-168.65057647730026</v>
      </c>
      <c r="S478">
        <f t="shared" si="128"/>
        <v>5754.5057762189999</v>
      </c>
      <c r="U478">
        <f t="shared" si="115"/>
        <v>26711996.114619002</v>
      </c>
      <c r="V478">
        <f t="shared" si="129"/>
        <v>1650.0000000000157</v>
      </c>
      <c r="W478">
        <f t="shared" si="116"/>
        <v>-44.609033511413806</v>
      </c>
      <c r="X478">
        <f t="shared" si="117"/>
        <v>3.2553909664886174</v>
      </c>
      <c r="Y478">
        <f t="shared" si="118"/>
        <v>-47.864424477902425</v>
      </c>
      <c r="Z478">
        <f t="shared" si="119"/>
        <v>37384.955036887011</v>
      </c>
      <c r="AB478">
        <f t="shared" si="120"/>
        <v>92859620.364399999</v>
      </c>
      <c r="AC478">
        <f t="shared" si="121"/>
        <v>5735.938749908988</v>
      </c>
      <c r="AD478">
        <f t="shared" si="122"/>
        <v>-155.07556600854824</v>
      </c>
      <c r="AE478">
        <f t="shared" si="123"/>
        <v>11.316801933809428</v>
      </c>
      <c r="AF478">
        <f t="shared" si="124"/>
        <v>-166.39236794235765</v>
      </c>
      <c r="AG478">
        <f t="shared" si="114"/>
        <v>57192.995131147392</v>
      </c>
      <c r="AH478" t="b">
        <f t="shared" si="125"/>
        <v>1</v>
      </c>
    </row>
    <row r="479" spans="4:34" hidden="1" x14ac:dyDescent="0.4">
      <c r="D479" t="s">
        <v>56</v>
      </c>
      <c r="E479" t="s">
        <v>37</v>
      </c>
      <c r="F479" s="9">
        <v>45917.875</v>
      </c>
      <c r="G479" s="12">
        <v>4520.45</v>
      </c>
      <c r="H479" s="9">
        <v>45920.375</v>
      </c>
      <c r="I479" s="12">
        <v>4486.55</v>
      </c>
      <c r="J479">
        <v>1.2732000000000001</v>
      </c>
      <c r="K479" s="12">
        <v>5755.79</v>
      </c>
      <c r="L479">
        <v>8.6</v>
      </c>
      <c r="M479">
        <v>-51.76</v>
      </c>
      <c r="N479" s="13">
        <v>-8.9999999999999993E-3</v>
      </c>
      <c r="O479" t="s">
        <v>57</v>
      </c>
      <c r="Q479">
        <f t="shared" si="126"/>
        <v>-43.161479999999543</v>
      </c>
      <c r="R479">
        <f t="shared" si="127"/>
        <v>-51.761479999999544</v>
      </c>
      <c r="S479">
        <f t="shared" si="128"/>
        <v>5712.2754600000007</v>
      </c>
      <c r="U479">
        <f t="shared" si="115"/>
        <v>0.365008</v>
      </c>
      <c r="V479">
        <f t="shared" si="129"/>
        <v>1650.0004136</v>
      </c>
      <c r="W479">
        <f t="shared" si="116"/>
        <v>-12.373771199999867</v>
      </c>
      <c r="X479">
        <f t="shared" si="117"/>
        <v>3.2876270559999998</v>
      </c>
      <c r="Y479">
        <f t="shared" si="118"/>
        <v>-15.661398255999867</v>
      </c>
      <c r="Z479">
        <f t="shared" si="119"/>
        <v>37432.81946136491</v>
      </c>
      <c r="AB479">
        <f t="shared" si="120"/>
        <v>1.270092</v>
      </c>
      <c r="AC479">
        <f t="shared" si="121"/>
        <v>5741.3873813999999</v>
      </c>
      <c r="AD479">
        <f t="shared" si="122"/>
        <v>-43.056118799999538</v>
      </c>
      <c r="AE479">
        <f t="shared" si="123"/>
        <v>11.439718643999999</v>
      </c>
      <c r="AF479">
        <f t="shared" si="124"/>
        <v>-54.495837443999534</v>
      </c>
      <c r="AG479">
        <f t="shared" si="114"/>
        <v>57359.387499089753</v>
      </c>
      <c r="AH479" t="b">
        <f t="shared" si="125"/>
        <v>1</v>
      </c>
    </row>
    <row r="480" spans="4:34" hidden="1" x14ac:dyDescent="0.4">
      <c r="D480" t="s">
        <v>53</v>
      </c>
      <c r="E480" t="s">
        <v>37</v>
      </c>
      <c r="F480" s="9">
        <v>45918.125</v>
      </c>
      <c r="G480">
        <v>988.81</v>
      </c>
      <c r="H480" s="9">
        <v>45920.125</v>
      </c>
      <c r="I480">
        <v>986.51</v>
      </c>
      <c r="J480">
        <v>9.7929999999999993</v>
      </c>
      <c r="K480" s="12">
        <v>9684.19</v>
      </c>
      <c r="L480">
        <v>14.51</v>
      </c>
      <c r="M480">
        <v>-37.03</v>
      </c>
      <c r="N480" s="13">
        <v>-3.8E-3</v>
      </c>
      <c r="O480" t="s">
        <v>38</v>
      </c>
      <c r="Q480">
        <f t="shared" si="126"/>
        <v>-22.523899999999554</v>
      </c>
      <c r="R480">
        <f t="shared" si="127"/>
        <v>-37.033899999999555</v>
      </c>
      <c r="S480">
        <f t="shared" si="128"/>
        <v>9660.8924299999999</v>
      </c>
      <c r="U480">
        <f t="shared" si="115"/>
        <v>1.6686719999999999</v>
      </c>
      <c r="V480">
        <f t="shared" si="129"/>
        <v>1649.9995603199998</v>
      </c>
      <c r="W480">
        <f t="shared" si="116"/>
        <v>-3.8379455999999239</v>
      </c>
      <c r="X480">
        <f t="shared" si="117"/>
        <v>3.2961611750399999</v>
      </c>
      <c r="Y480">
        <f t="shared" si="118"/>
        <v>-7.1341067750399239</v>
      </c>
      <c r="Z480">
        <f t="shared" si="119"/>
        <v>37448.480859620911</v>
      </c>
      <c r="AB480">
        <f t="shared" si="120"/>
        <v>5.8088730000000002</v>
      </c>
      <c r="AC480">
        <f t="shared" si="121"/>
        <v>5743.8717111300002</v>
      </c>
      <c r="AD480">
        <f t="shared" si="122"/>
        <v>-13.360407899999736</v>
      </c>
      <c r="AE480">
        <f t="shared" si="123"/>
        <v>11.474383014360001</v>
      </c>
      <c r="AF480">
        <f t="shared" si="124"/>
        <v>-24.834790914359736</v>
      </c>
      <c r="AG480">
        <f t="shared" si="114"/>
        <v>57413.883336533756</v>
      </c>
      <c r="AH480" t="b">
        <f t="shared" si="125"/>
        <v>1</v>
      </c>
    </row>
    <row r="481" spans="4:34" hidden="1" x14ac:dyDescent="0.4">
      <c r="D481" t="s">
        <v>60</v>
      </c>
      <c r="E481" t="s">
        <v>37</v>
      </c>
      <c r="F481" s="9">
        <v>45917.583333333336</v>
      </c>
      <c r="G481">
        <v>3.0253999999999999</v>
      </c>
      <c r="H481" s="9">
        <v>45920.083333333336</v>
      </c>
      <c r="I481">
        <v>3.0004</v>
      </c>
      <c r="J481">
        <v>753</v>
      </c>
      <c r="K481" s="12">
        <v>2278.1799999999998</v>
      </c>
      <c r="L481">
        <v>3.4</v>
      </c>
      <c r="M481">
        <v>-22.23</v>
      </c>
      <c r="N481" s="13">
        <v>-9.7999999999999997E-3</v>
      </c>
      <c r="O481" t="s">
        <v>57</v>
      </c>
      <c r="Q481">
        <f t="shared" si="126"/>
        <v>-18.824999999999932</v>
      </c>
      <c r="R481">
        <f t="shared" si="127"/>
        <v>-22.22499999999993</v>
      </c>
      <c r="S481">
        <f t="shared" si="128"/>
        <v>2259.3011999999999</v>
      </c>
      <c r="U481">
        <f t="shared" si="115"/>
        <v>545.382429</v>
      </c>
      <c r="V481">
        <f t="shared" si="129"/>
        <v>1650.0000006966</v>
      </c>
      <c r="W481">
        <f t="shared" si="116"/>
        <v>-13.634560724999952</v>
      </c>
      <c r="X481">
        <f t="shared" si="117"/>
        <v>3.2863654406682001</v>
      </c>
      <c r="Y481">
        <f t="shared" si="118"/>
        <v>-16.920926165668153</v>
      </c>
      <c r="Z481">
        <f t="shared" si="119"/>
        <v>37455.614966395951</v>
      </c>
      <c r="AB481">
        <f t="shared" si="120"/>
        <v>1900.498533</v>
      </c>
      <c r="AC481">
        <f t="shared" si="121"/>
        <v>5749.7682617381997</v>
      </c>
      <c r="AD481">
        <f t="shared" si="122"/>
        <v>-47.512463324999828</v>
      </c>
      <c r="AE481">
        <f t="shared" si="123"/>
        <v>11.4520240601514</v>
      </c>
      <c r="AF481">
        <f t="shared" si="124"/>
        <v>-58.96448738515123</v>
      </c>
      <c r="AG481">
        <f t="shared" si="114"/>
        <v>57438.718127448119</v>
      </c>
      <c r="AH481" t="b">
        <f t="shared" si="125"/>
        <v>1</v>
      </c>
    </row>
    <row r="482" spans="4:34" hidden="1" x14ac:dyDescent="0.4">
      <c r="D482" t="s">
        <v>58</v>
      </c>
      <c r="E482" t="s">
        <v>37</v>
      </c>
      <c r="F482" s="9">
        <v>45917.875</v>
      </c>
      <c r="G482">
        <v>23.46</v>
      </c>
      <c r="H482" s="9">
        <v>45919.875</v>
      </c>
      <c r="I482">
        <v>23.4</v>
      </c>
      <c r="J482">
        <v>319.93</v>
      </c>
      <c r="K482" s="12">
        <v>7505.71</v>
      </c>
      <c r="L482">
        <v>11.24</v>
      </c>
      <c r="M482" s="12">
        <v>-30.44</v>
      </c>
      <c r="N482" s="13">
        <v>-4.1000000000000003E-3</v>
      </c>
      <c r="O482" t="s">
        <v>38</v>
      </c>
      <c r="Q482">
        <f t="shared" si="126"/>
        <v>-19.195800000000727</v>
      </c>
      <c r="R482">
        <f t="shared" si="127"/>
        <v>-30.435800000000725</v>
      </c>
      <c r="S482">
        <f t="shared" si="128"/>
        <v>7486.3620000000001</v>
      </c>
      <c r="U482">
        <f t="shared" si="115"/>
        <v>70.332481000000001</v>
      </c>
      <c r="V482">
        <f t="shared" si="129"/>
        <v>1650.0000042600002</v>
      </c>
      <c r="W482">
        <f t="shared" si="116"/>
        <v>-4.2199488600001596</v>
      </c>
      <c r="X482">
        <f t="shared" si="117"/>
        <v>3.2957800596600002</v>
      </c>
      <c r="Y482">
        <f t="shared" si="118"/>
        <v>-7.5157289196601598</v>
      </c>
      <c r="Z482">
        <f t="shared" si="119"/>
        <v>37472.535892561616</v>
      </c>
      <c r="AB482">
        <f t="shared" si="120"/>
        <v>245.199849</v>
      </c>
      <c r="AC482">
        <f t="shared" si="121"/>
        <v>5752.3884575400007</v>
      </c>
      <c r="AD482">
        <f t="shared" si="122"/>
        <v>-14.711990940000558</v>
      </c>
      <c r="AE482">
        <f t="shared" si="123"/>
        <v>11.49006492414</v>
      </c>
      <c r="AF482">
        <f t="shared" si="124"/>
        <v>-26.202055864140558</v>
      </c>
      <c r="AG482">
        <f t="shared" si="114"/>
        <v>57497.682614833269</v>
      </c>
      <c r="AH482" t="b">
        <f t="shared" si="125"/>
        <v>1</v>
      </c>
    </row>
    <row r="483" spans="4:34" hidden="1" x14ac:dyDescent="0.4">
      <c r="D483" t="s">
        <v>50</v>
      </c>
      <c r="E483" t="s">
        <v>37</v>
      </c>
      <c r="F483" s="9">
        <v>45917.875</v>
      </c>
      <c r="G483">
        <v>347.5</v>
      </c>
      <c r="H483" s="9">
        <v>45919.875</v>
      </c>
      <c r="I483">
        <v>346.7</v>
      </c>
      <c r="J483">
        <v>37.912700000000001</v>
      </c>
      <c r="K483" s="12">
        <v>13174.7</v>
      </c>
      <c r="L483">
        <v>19.739999999999998</v>
      </c>
      <c r="M483">
        <v>-50.07</v>
      </c>
      <c r="N483" s="13">
        <v>-3.8E-3</v>
      </c>
      <c r="O483" t="s">
        <v>38</v>
      </c>
      <c r="Q483">
        <f t="shared" si="126"/>
        <v>-30.330160000000433</v>
      </c>
      <c r="R483">
        <f t="shared" si="127"/>
        <v>-50.070160000000428</v>
      </c>
      <c r="S483">
        <f t="shared" si="128"/>
        <v>13144.33309</v>
      </c>
      <c r="U483">
        <f t="shared" si="115"/>
        <v>4.7482009999999999</v>
      </c>
      <c r="V483">
        <f t="shared" si="129"/>
        <v>1649.9998475</v>
      </c>
      <c r="W483">
        <f t="shared" si="116"/>
        <v>-3.7985608000000539</v>
      </c>
      <c r="X483">
        <f t="shared" si="117"/>
        <v>3.2962011341999999</v>
      </c>
      <c r="Y483">
        <f t="shared" si="118"/>
        <v>-7.0947619342000543</v>
      </c>
      <c r="Z483">
        <f t="shared" si="119"/>
        <v>37480.051621481274</v>
      </c>
      <c r="AB483">
        <f t="shared" si="120"/>
        <v>16.560756999999999</v>
      </c>
      <c r="AC483">
        <f t="shared" si="121"/>
        <v>5754.8630574999997</v>
      </c>
      <c r="AD483">
        <f t="shared" si="122"/>
        <v>-13.248605600000188</v>
      </c>
      <c r="AE483">
        <f t="shared" si="123"/>
        <v>11.4964775094</v>
      </c>
      <c r="AF483">
        <f t="shared" si="124"/>
        <v>-24.745083109400188</v>
      </c>
      <c r="AG483">
        <f t="shared" si="114"/>
        <v>57523.884670697407</v>
      </c>
      <c r="AH483" t="b">
        <f t="shared" si="125"/>
        <v>1</v>
      </c>
    </row>
    <row r="484" spans="4:34" hidden="1" x14ac:dyDescent="0.4">
      <c r="D484" t="s">
        <v>43</v>
      </c>
      <c r="E484" t="s">
        <v>37</v>
      </c>
      <c r="F484" s="9">
        <v>45917.791666666664</v>
      </c>
      <c r="G484">
        <v>3.5686</v>
      </c>
      <c r="H484" s="9">
        <v>45919.791666666664</v>
      </c>
      <c r="I484">
        <v>3.6547000000000001</v>
      </c>
      <c r="J484" s="12">
        <v>539.6</v>
      </c>
      <c r="K484" s="12">
        <v>1925.96</v>
      </c>
      <c r="L484">
        <v>2.92</v>
      </c>
      <c r="M484">
        <v>43.54</v>
      </c>
      <c r="N484" s="13">
        <v>2.2599999999999999E-2</v>
      </c>
      <c r="O484" t="s">
        <v>38</v>
      </c>
      <c r="Q484">
        <f t="shared" si="126"/>
        <v>46.459560000000039</v>
      </c>
      <c r="R484">
        <f t="shared" si="127"/>
        <v>43.539560000000037</v>
      </c>
      <c r="S484">
        <f t="shared" si="128"/>
        <v>1972.0761200000002</v>
      </c>
      <c r="U484">
        <f t="shared" si="115"/>
        <v>462.36619400000001</v>
      </c>
      <c r="V484">
        <f t="shared" si="129"/>
        <v>1649.9999999084</v>
      </c>
      <c r="W484">
        <f t="shared" si="116"/>
        <v>39.809729303400033</v>
      </c>
      <c r="X484">
        <f t="shared" si="117"/>
        <v>3.3398097291202</v>
      </c>
      <c r="Y484">
        <f t="shared" si="118"/>
        <v>36.469919574279835</v>
      </c>
      <c r="Z484">
        <f t="shared" si="119"/>
        <v>37487.146383415471</v>
      </c>
      <c r="AB484">
        <f t="shared" si="120"/>
        <v>1609.0822909999999</v>
      </c>
      <c r="AC484">
        <f t="shared" si="121"/>
        <v>5742.1710636625994</v>
      </c>
      <c r="AD484">
        <f t="shared" si="122"/>
        <v>138.54198525510009</v>
      </c>
      <c r="AE484">
        <f t="shared" si="123"/>
        <v>11.6228841125803</v>
      </c>
      <c r="AF484">
        <f t="shared" si="124"/>
        <v>126.91910114251979</v>
      </c>
      <c r="AG484">
        <f t="shared" si="114"/>
        <v>57548.62975380681</v>
      </c>
      <c r="AH484" t="b">
        <f t="shared" si="125"/>
        <v>1</v>
      </c>
    </row>
    <row r="485" spans="4:34" hidden="1" x14ac:dyDescent="0.4">
      <c r="D485" t="s">
        <v>52</v>
      </c>
      <c r="E485" t="s">
        <v>37</v>
      </c>
      <c r="F485" s="9">
        <v>45917.75</v>
      </c>
      <c r="G485" s="12">
        <v>4.7039999999999997</v>
      </c>
      <c r="H485" s="9">
        <v>45919.75</v>
      </c>
      <c r="I485" s="12">
        <v>4.7720000000000002</v>
      </c>
      <c r="J485">
        <v>501.05</v>
      </c>
      <c r="K485" s="12">
        <v>2356.9499999999998</v>
      </c>
      <c r="L485">
        <v>3.56</v>
      </c>
      <c r="M485">
        <v>30.51</v>
      </c>
      <c r="N485" s="13">
        <v>1.29E-2</v>
      </c>
      <c r="O485" t="s">
        <v>38</v>
      </c>
      <c r="Q485">
        <f t="shared" si="126"/>
        <v>34.071400000000253</v>
      </c>
      <c r="R485">
        <f t="shared" si="127"/>
        <v>30.511400000000254</v>
      </c>
      <c r="S485">
        <f t="shared" si="128"/>
        <v>2391.0106000000001</v>
      </c>
      <c r="U485">
        <f t="shared" si="115"/>
        <v>350.76530600000001</v>
      </c>
      <c r="V485">
        <f t="shared" si="129"/>
        <v>1649.999999424</v>
      </c>
      <c r="W485">
        <f t="shared" si="116"/>
        <v>23.852040808000179</v>
      </c>
      <c r="X485">
        <f t="shared" si="117"/>
        <v>3.3238520396560003</v>
      </c>
      <c r="Y485">
        <f t="shared" si="118"/>
        <v>20.528188768344179</v>
      </c>
      <c r="Z485">
        <f t="shared" si="119"/>
        <v>37450.676463841191</v>
      </c>
      <c r="AB485">
        <f t="shared" si="120"/>
        <v>1219.182806</v>
      </c>
      <c r="AC485">
        <f t="shared" si="121"/>
        <v>5735.035919424</v>
      </c>
      <c r="AD485">
        <f t="shared" si="122"/>
        <v>82.904430808000612</v>
      </c>
      <c r="AE485">
        <f t="shared" si="123"/>
        <v>11.552976269656</v>
      </c>
      <c r="AF485">
        <f t="shared" si="124"/>
        <v>71.351454538344612</v>
      </c>
      <c r="AG485">
        <f t="shared" si="114"/>
        <v>57421.710652664289</v>
      </c>
      <c r="AH485" t="b">
        <f t="shared" si="125"/>
        <v>1</v>
      </c>
    </row>
    <row r="486" spans="4:34" hidden="1" x14ac:dyDescent="0.4">
      <c r="D486" t="s">
        <v>48</v>
      </c>
      <c r="E486" t="s">
        <v>37</v>
      </c>
      <c r="F486" s="9">
        <v>45917.75</v>
      </c>
      <c r="G486">
        <v>0.1174</v>
      </c>
      <c r="H486" s="9">
        <v>45919.75</v>
      </c>
      <c r="I486">
        <v>0.1149</v>
      </c>
      <c r="J486" s="12">
        <v>26437.5</v>
      </c>
      <c r="K486" s="12">
        <v>3103.77</v>
      </c>
      <c r="L486">
        <v>4.6100000000000003</v>
      </c>
      <c r="M486">
        <v>-70.7</v>
      </c>
      <c r="N486" s="13">
        <v>-2.2800000000000001E-2</v>
      </c>
      <c r="O486" t="s">
        <v>38</v>
      </c>
      <c r="Q486">
        <f t="shared" si="126"/>
        <v>-66.093750000000057</v>
      </c>
      <c r="R486">
        <f t="shared" si="127"/>
        <v>-70.703750000000056</v>
      </c>
      <c r="S486">
        <f t="shared" si="128"/>
        <v>3037.6687500000003</v>
      </c>
      <c r="U486">
        <f t="shared" si="115"/>
        <v>14054.51448</v>
      </c>
      <c r="V486">
        <f t="shared" si="129"/>
        <v>1649.9999999520001</v>
      </c>
      <c r="W486">
        <f t="shared" si="116"/>
        <v>-35.136286200000029</v>
      </c>
      <c r="X486">
        <f t="shared" si="117"/>
        <v>3.264863713704</v>
      </c>
      <c r="Y486">
        <f t="shared" si="118"/>
        <v>-38.401149913704032</v>
      </c>
      <c r="Z486">
        <f t="shared" si="119"/>
        <v>37430.148275072846</v>
      </c>
      <c r="AB486">
        <f t="shared" si="120"/>
        <v>48964.347944000001</v>
      </c>
      <c r="AC486">
        <f t="shared" si="121"/>
        <v>5748.4144486256</v>
      </c>
      <c r="AD486">
        <f t="shared" si="122"/>
        <v>-122.4108698600001</v>
      </c>
      <c r="AE486">
        <f t="shared" si="123"/>
        <v>11.374418027391201</v>
      </c>
      <c r="AF486">
        <f t="shared" si="124"/>
        <v>-133.78528788739129</v>
      </c>
      <c r="AG486">
        <f t="shared" si="114"/>
        <v>57350.359198125945</v>
      </c>
      <c r="AH486" t="b">
        <f t="shared" si="125"/>
        <v>1</v>
      </c>
    </row>
    <row r="487" spans="4:34" hidden="1" x14ac:dyDescent="0.4">
      <c r="D487" t="s">
        <v>61</v>
      </c>
      <c r="E487" t="s">
        <v>37</v>
      </c>
      <c r="F487" s="9">
        <v>45917.75</v>
      </c>
      <c r="G487" s="12">
        <v>0.87170000000000003</v>
      </c>
      <c r="H487" s="9">
        <v>45919.75</v>
      </c>
      <c r="I487" s="12">
        <v>0.90490000000000004</v>
      </c>
      <c r="J487" s="12">
        <v>9771.4</v>
      </c>
      <c r="K487" s="12">
        <v>8517.7999999999993</v>
      </c>
      <c r="L487">
        <v>13.02</v>
      </c>
      <c r="M487">
        <v>311.39</v>
      </c>
      <c r="N487" s="13">
        <v>3.6600000000000001E-2</v>
      </c>
      <c r="O487" t="s">
        <v>38</v>
      </c>
      <c r="Q487">
        <f t="shared" si="126"/>
        <v>324.41048000000006</v>
      </c>
      <c r="R487">
        <f t="shared" si="127"/>
        <v>311.39048000000008</v>
      </c>
      <c r="S487">
        <f t="shared" si="128"/>
        <v>8842.1398599999993</v>
      </c>
      <c r="U487">
        <f t="shared" si="115"/>
        <v>1892.8530459999999</v>
      </c>
      <c r="V487">
        <f t="shared" si="129"/>
        <v>1650.0000001982</v>
      </c>
      <c r="W487">
        <f t="shared" si="116"/>
        <v>62.842721127200015</v>
      </c>
      <c r="X487">
        <f t="shared" si="117"/>
        <v>3.3628427215236001</v>
      </c>
      <c r="Y487">
        <f t="shared" si="118"/>
        <v>59.479878405676416</v>
      </c>
      <c r="Z487">
        <f t="shared" si="119"/>
        <v>37468.549424986551</v>
      </c>
      <c r="AB487">
        <f t="shared" si="120"/>
        <v>6570.8004579999997</v>
      </c>
      <c r="AC487">
        <f t="shared" si="121"/>
        <v>5727.7667592385997</v>
      </c>
      <c r="AD487">
        <f t="shared" si="122"/>
        <v>218.15057520560003</v>
      </c>
      <c r="AE487">
        <f t="shared" si="123"/>
        <v>11.6736840936828</v>
      </c>
      <c r="AF487">
        <f t="shared" si="124"/>
        <v>206.47689111191724</v>
      </c>
      <c r="AG487">
        <f t="shared" si="114"/>
        <v>57484.144486013334</v>
      </c>
      <c r="AH487" t="b">
        <f t="shared" si="125"/>
        <v>1</v>
      </c>
    </row>
    <row r="488" spans="4:34" hidden="1" x14ac:dyDescent="0.4">
      <c r="D488" t="s">
        <v>54</v>
      </c>
      <c r="E488" t="s">
        <v>37</v>
      </c>
      <c r="F488" s="9">
        <v>45917.583333333336</v>
      </c>
      <c r="G488">
        <v>234.85</v>
      </c>
      <c r="H488" s="9">
        <v>45919.583333333336</v>
      </c>
      <c r="I488">
        <v>240.99</v>
      </c>
      <c r="J488">
        <v>21.364000000000001</v>
      </c>
      <c r="K488" s="12">
        <v>5017.47</v>
      </c>
      <c r="L488">
        <v>7.62</v>
      </c>
      <c r="M488">
        <v>123.55</v>
      </c>
      <c r="N488" s="13">
        <v>2.46E-2</v>
      </c>
      <c r="O488" t="s">
        <v>38</v>
      </c>
      <c r="Q488">
        <f t="shared" si="126"/>
        <v>131.17496000000031</v>
      </c>
      <c r="R488">
        <f t="shared" si="127"/>
        <v>123.55496000000031</v>
      </c>
      <c r="S488">
        <f t="shared" si="128"/>
        <v>5148.5103600000002</v>
      </c>
      <c r="U488">
        <f t="shared" si="115"/>
        <v>7.0257610000000001</v>
      </c>
      <c r="V488">
        <f t="shared" si="129"/>
        <v>1649.99997085</v>
      </c>
      <c r="W488">
        <f t="shared" si="116"/>
        <v>43.138172540000106</v>
      </c>
      <c r="X488">
        <f t="shared" si="117"/>
        <v>3.3431381142400003</v>
      </c>
      <c r="Y488">
        <f t="shared" si="118"/>
        <v>39.795034425760107</v>
      </c>
      <c r="Z488">
        <f t="shared" si="119"/>
        <v>37409.069546580875</v>
      </c>
      <c r="AB488">
        <f t="shared" si="120"/>
        <v>24.330362999999998</v>
      </c>
      <c r="AC488">
        <f t="shared" si="121"/>
        <v>5713.9857505499995</v>
      </c>
      <c r="AD488">
        <f t="shared" si="122"/>
        <v>149.38842882000034</v>
      </c>
      <c r="AE488">
        <f t="shared" si="123"/>
        <v>11.57735992992</v>
      </c>
      <c r="AF488">
        <f t="shared" si="124"/>
        <v>137.81106889008035</v>
      </c>
      <c r="AG488">
        <f t="shared" si="114"/>
        <v>57277.667594901417</v>
      </c>
      <c r="AH488" t="b">
        <f t="shared" si="125"/>
        <v>1</v>
      </c>
    </row>
    <row r="489" spans="4:34" hidden="1" x14ac:dyDescent="0.4">
      <c r="D489" t="s">
        <v>59</v>
      </c>
      <c r="E489" t="s">
        <v>37</v>
      </c>
      <c r="F489" s="9">
        <v>45916.708333333336</v>
      </c>
      <c r="G489" s="12">
        <v>115951.44</v>
      </c>
      <c r="H489" s="9">
        <v>45919.208333333336</v>
      </c>
      <c r="I489" s="12">
        <v>117043.8</v>
      </c>
      <c r="J489">
        <v>9.0880000000000002E-2</v>
      </c>
      <c r="K489" s="12">
        <v>10538.2</v>
      </c>
      <c r="L489">
        <v>15.88</v>
      </c>
      <c r="M489">
        <v>83.39</v>
      </c>
      <c r="N489" s="13">
        <v>7.9000000000000008E-3</v>
      </c>
      <c r="O489" t="s">
        <v>57</v>
      </c>
      <c r="Q489">
        <f t="shared" si="126"/>
        <v>99.273676800000061</v>
      </c>
      <c r="R489">
        <f t="shared" si="127"/>
        <v>83.393676800000065</v>
      </c>
      <c r="S489">
        <f t="shared" si="128"/>
        <v>10636.940544000001</v>
      </c>
      <c r="U489">
        <f t="shared" si="115"/>
        <v>1.423E-2</v>
      </c>
      <c r="V489">
        <f t="shared" si="129"/>
        <v>1649.9889911999999</v>
      </c>
      <c r="W489">
        <f t="shared" si="116"/>
        <v>15.544282800000008</v>
      </c>
      <c r="X489">
        <f t="shared" si="117"/>
        <v>3.3155222651999998</v>
      </c>
      <c r="Y489">
        <f t="shared" si="118"/>
        <v>12.228760534800008</v>
      </c>
      <c r="Z489">
        <f t="shared" si="119"/>
        <v>37369.274512155112</v>
      </c>
      <c r="AB489">
        <f t="shared" si="120"/>
        <v>4.9243000000000002E-2</v>
      </c>
      <c r="AC489">
        <f t="shared" si="121"/>
        <v>5709.7967599200001</v>
      </c>
      <c r="AD489">
        <f t="shared" si="122"/>
        <v>53.791083480000033</v>
      </c>
      <c r="AE489">
        <f t="shared" si="123"/>
        <v>11.47338460332</v>
      </c>
      <c r="AF489">
        <f t="shared" si="124"/>
        <v>42.317698876680033</v>
      </c>
      <c r="AG489">
        <f t="shared" si="114"/>
        <v>57139.856526011339</v>
      </c>
      <c r="AH489" t="b">
        <f t="shared" si="125"/>
        <v>1</v>
      </c>
    </row>
    <row r="490" spans="4:34" hidden="1" x14ac:dyDescent="0.4">
      <c r="D490" t="s">
        <v>55</v>
      </c>
      <c r="E490" t="s">
        <v>37</v>
      </c>
      <c r="F490" s="9">
        <v>45916.625</v>
      </c>
      <c r="G490">
        <v>5.931E-5</v>
      </c>
      <c r="H490" s="9">
        <v>45918.625</v>
      </c>
      <c r="I490">
        <v>6.0999999999999999E-5</v>
      </c>
      <c r="J490" s="12">
        <v>99451970.159999996</v>
      </c>
      <c r="K490" s="12">
        <v>5898.5</v>
      </c>
      <c r="L490">
        <v>8.9700000000000006</v>
      </c>
      <c r="M490">
        <v>159.1</v>
      </c>
      <c r="N490" s="13">
        <v>2.7E-2</v>
      </c>
      <c r="O490" t="s">
        <v>38</v>
      </c>
      <c r="Q490">
        <f t="shared" si="126"/>
        <v>168.07382957039991</v>
      </c>
      <c r="R490">
        <f t="shared" si="127"/>
        <v>159.10382957039991</v>
      </c>
      <c r="S490">
        <f t="shared" si="128"/>
        <v>6066.5701797599995</v>
      </c>
      <c r="U490">
        <f t="shared" si="115"/>
        <v>27819929.185635</v>
      </c>
      <c r="V490">
        <f t="shared" si="129"/>
        <v>1650.0000000000118</v>
      </c>
      <c r="W490">
        <f t="shared" si="116"/>
        <v>47.015680323723124</v>
      </c>
      <c r="X490">
        <f t="shared" si="117"/>
        <v>3.347015680323747</v>
      </c>
      <c r="Y490">
        <f t="shared" si="118"/>
        <v>43.668664643399374</v>
      </c>
      <c r="Z490">
        <f t="shared" si="119"/>
        <v>37357.04575162031</v>
      </c>
      <c r="AB490">
        <f t="shared" si="120"/>
        <v>96015552.477770999</v>
      </c>
      <c r="AC490">
        <f t="shared" si="121"/>
        <v>5694.6824174565982</v>
      </c>
      <c r="AD490">
        <f t="shared" si="122"/>
        <v>162.26628368743289</v>
      </c>
      <c r="AE490">
        <f t="shared" si="123"/>
        <v>11.551631118600628</v>
      </c>
      <c r="AF490">
        <f t="shared" si="124"/>
        <v>150.71465256883226</v>
      </c>
      <c r="AG490">
        <f t="shared" ref="AG490:AG553" si="130">AG491*AH490 + (1-AH490)*AI490+AF490</f>
        <v>57097.53882713466</v>
      </c>
      <c r="AH490" t="b">
        <f t="shared" si="125"/>
        <v>1</v>
      </c>
    </row>
    <row r="491" spans="4:34" hidden="1" x14ac:dyDescent="0.4">
      <c r="D491" t="s">
        <v>53</v>
      </c>
      <c r="E491" t="s">
        <v>37</v>
      </c>
      <c r="F491" s="9">
        <v>45916.125</v>
      </c>
      <c r="G491" s="12">
        <v>921.06</v>
      </c>
      <c r="H491" s="9">
        <v>45918.125</v>
      </c>
      <c r="I491" s="12">
        <v>988.81</v>
      </c>
      <c r="J491">
        <v>10.439</v>
      </c>
      <c r="K491" s="12">
        <v>9614.9599999999991</v>
      </c>
      <c r="L491">
        <v>14.95</v>
      </c>
      <c r="M491">
        <v>692.29</v>
      </c>
      <c r="N491" s="13">
        <v>7.1999999999999995E-2</v>
      </c>
      <c r="O491" t="s">
        <v>38</v>
      </c>
      <c r="Q491">
        <f t="shared" si="126"/>
        <v>707.24225000000001</v>
      </c>
      <c r="R491">
        <f t="shared" si="127"/>
        <v>692.29224999999997</v>
      </c>
      <c r="S491">
        <f t="shared" si="128"/>
        <v>10322.18759</v>
      </c>
      <c r="U491">
        <f t="shared" si="115"/>
        <v>1.7914140000000001</v>
      </c>
      <c r="V491">
        <f t="shared" si="129"/>
        <v>1649.9997788399999</v>
      </c>
      <c r="W491">
        <f t="shared" si="116"/>
        <v>121.36829850000001</v>
      </c>
      <c r="X491">
        <f t="shared" si="117"/>
        <v>3.4213678561799998</v>
      </c>
      <c r="Y491">
        <f t="shared" si="118"/>
        <v>117.94693064382001</v>
      </c>
      <c r="Z491">
        <f t="shared" si="119"/>
        <v>37313.377086976907</v>
      </c>
      <c r="AB491">
        <f t="shared" si="120"/>
        <v>6.1388660000000002</v>
      </c>
      <c r="AC491">
        <f t="shared" si="121"/>
        <v>5654.2639179600001</v>
      </c>
      <c r="AD491">
        <f t="shared" si="122"/>
        <v>415.90817150000004</v>
      </c>
      <c r="AE491">
        <f t="shared" si="123"/>
        <v>11.72443600742</v>
      </c>
      <c r="AF491">
        <f t="shared" si="124"/>
        <v>404.18373549258001</v>
      </c>
      <c r="AG491">
        <f t="shared" si="130"/>
        <v>56946.824174565831</v>
      </c>
      <c r="AH491" t="b">
        <f t="shared" si="125"/>
        <v>1</v>
      </c>
    </row>
    <row r="492" spans="4:34" hidden="1" x14ac:dyDescent="0.4">
      <c r="D492" t="s">
        <v>56</v>
      </c>
      <c r="E492" t="s">
        <v>37</v>
      </c>
      <c r="F492" s="9">
        <v>45917.583333333336</v>
      </c>
      <c r="G492" s="12">
        <v>4503.8</v>
      </c>
      <c r="H492" s="9">
        <v>45917.791666666664</v>
      </c>
      <c r="I492" s="12">
        <v>4443.6000000000004</v>
      </c>
      <c r="J492">
        <v>1.2798</v>
      </c>
      <c r="K492" s="12">
        <v>5764.35</v>
      </c>
      <c r="L492">
        <v>8.59</v>
      </c>
      <c r="M492">
        <v>-85.63</v>
      </c>
      <c r="N492" s="13">
        <v>-1.49E-2</v>
      </c>
      <c r="O492" t="s">
        <v>49</v>
      </c>
      <c r="Q492">
        <f t="shared" si="126"/>
        <v>-77.043959999999771</v>
      </c>
      <c r="R492">
        <f t="shared" si="127"/>
        <v>-85.633959999999774</v>
      </c>
      <c r="S492">
        <f t="shared" si="128"/>
        <v>5686.919280000001</v>
      </c>
      <c r="U492">
        <f t="shared" si="115"/>
        <v>0.36635699999999999</v>
      </c>
      <c r="V492">
        <f t="shared" si="129"/>
        <v>1649.9986566</v>
      </c>
      <c r="W492">
        <f t="shared" si="116"/>
        <v>-22.054691399999932</v>
      </c>
      <c r="X492">
        <f t="shared" si="117"/>
        <v>3.2779426218000007</v>
      </c>
      <c r="Y492">
        <f t="shared" si="118"/>
        <v>-25.332634021799933</v>
      </c>
      <c r="Z492">
        <f t="shared" si="119"/>
        <v>37195.430156333088</v>
      </c>
      <c r="AB492">
        <f t="shared" si="120"/>
        <v>1.2573730000000001</v>
      </c>
      <c r="AC492">
        <f t="shared" si="121"/>
        <v>5662.9565174000008</v>
      </c>
      <c r="AD492">
        <f t="shared" si="122"/>
        <v>-75.693854599999781</v>
      </c>
      <c r="AE492">
        <f t="shared" si="123"/>
        <v>11.250219180200004</v>
      </c>
      <c r="AF492">
        <f t="shared" si="124"/>
        <v>-86.944073780199787</v>
      </c>
      <c r="AG492">
        <f t="shared" si="130"/>
        <v>56542.64043907325</v>
      </c>
      <c r="AH492" t="b">
        <f t="shared" si="125"/>
        <v>1</v>
      </c>
    </row>
    <row r="493" spans="4:34" hidden="1" x14ac:dyDescent="0.4">
      <c r="D493" t="s">
        <v>53</v>
      </c>
      <c r="E493" t="s">
        <v>37</v>
      </c>
      <c r="F493" s="9">
        <v>45913.958333333336</v>
      </c>
      <c r="G493">
        <v>933.41</v>
      </c>
      <c r="H493" s="9">
        <v>45915.958333333336</v>
      </c>
      <c r="I493">
        <v>922.15</v>
      </c>
      <c r="J493">
        <v>10.314</v>
      </c>
      <c r="K493" s="12">
        <v>9628.01</v>
      </c>
      <c r="L493">
        <v>14.35</v>
      </c>
      <c r="M493">
        <v>-130.49</v>
      </c>
      <c r="N493" s="13">
        <v>-1.3599999999999999E-2</v>
      </c>
      <c r="O493" t="s">
        <v>38</v>
      </c>
      <c r="Q493">
        <f t="shared" si="126"/>
        <v>-116.13563999999991</v>
      </c>
      <c r="R493">
        <f t="shared" si="127"/>
        <v>-130.4856399999999</v>
      </c>
      <c r="S493">
        <f t="shared" si="128"/>
        <v>9511.0550999999996</v>
      </c>
      <c r="U493">
        <f t="shared" si="115"/>
        <v>1.767712</v>
      </c>
      <c r="V493">
        <f t="shared" si="129"/>
        <v>1650.0000579199998</v>
      </c>
      <c r="W493">
        <f t="shared" si="116"/>
        <v>-19.904437119999983</v>
      </c>
      <c r="X493">
        <f t="shared" si="117"/>
        <v>3.2800956787199995</v>
      </c>
      <c r="Y493">
        <f t="shared" si="118"/>
        <v>-23.184532798719982</v>
      </c>
      <c r="Z493">
        <f t="shared" si="119"/>
        <v>37220.762790354886</v>
      </c>
      <c r="AB493">
        <f t="shared" si="120"/>
        <v>6.075494</v>
      </c>
      <c r="AC493">
        <f t="shared" si="121"/>
        <v>5670.92685454</v>
      </c>
      <c r="AD493">
        <f t="shared" si="122"/>
        <v>-68.410062439999948</v>
      </c>
      <c r="AE493">
        <f t="shared" si="123"/>
        <v>11.273443646639999</v>
      </c>
      <c r="AF493">
        <f t="shared" si="124"/>
        <v>-79.683506086639952</v>
      </c>
      <c r="AG493">
        <f t="shared" si="130"/>
        <v>56629.584512853449</v>
      </c>
      <c r="AH493" t="b">
        <f t="shared" si="125"/>
        <v>1</v>
      </c>
    </row>
    <row r="494" spans="4:34" hidden="1" x14ac:dyDescent="0.4">
      <c r="D494" t="s">
        <v>48</v>
      </c>
      <c r="E494" t="s">
        <v>37</v>
      </c>
      <c r="F494" s="9">
        <v>45913.916666666664</v>
      </c>
      <c r="G494">
        <v>0.12839999999999999</v>
      </c>
      <c r="H494" s="9">
        <v>45915.916666666664</v>
      </c>
      <c r="I494">
        <v>0.1178</v>
      </c>
      <c r="J494" s="12">
        <v>24377.4</v>
      </c>
      <c r="K494" s="12">
        <v>3130.06</v>
      </c>
      <c r="L494">
        <v>4.5</v>
      </c>
      <c r="M494">
        <v>-262.89999999999998</v>
      </c>
      <c r="N494" s="13">
        <v>-8.4000000000000005E-2</v>
      </c>
      <c r="O494" t="s">
        <v>38</v>
      </c>
      <c r="Q494">
        <f t="shared" si="126"/>
        <v>-258.40043999999966</v>
      </c>
      <c r="R494">
        <f t="shared" si="127"/>
        <v>-262.90043999999966</v>
      </c>
      <c r="S494">
        <f t="shared" si="128"/>
        <v>2871.6577200000002</v>
      </c>
      <c r="U494">
        <f t="shared" si="115"/>
        <v>12850.467290000001</v>
      </c>
      <c r="V494">
        <f t="shared" si="129"/>
        <v>1650.0000000359998</v>
      </c>
      <c r="W494">
        <f t="shared" si="116"/>
        <v>-136.21495327399981</v>
      </c>
      <c r="X494">
        <f t="shared" si="117"/>
        <v>3.1637850467979995</v>
      </c>
      <c r="Y494">
        <f t="shared" si="118"/>
        <v>-139.37873832079782</v>
      </c>
      <c r="Z494">
        <f t="shared" si="119"/>
        <v>37243.947323153603</v>
      </c>
      <c r="AB494">
        <f t="shared" si="120"/>
        <v>44542.354598999998</v>
      </c>
      <c r="AC494">
        <f t="shared" si="121"/>
        <v>5719.2383305115991</v>
      </c>
      <c r="AD494">
        <f t="shared" si="122"/>
        <v>-472.1489587493993</v>
      </c>
      <c r="AE494">
        <f t="shared" si="123"/>
        <v>10.966327702273798</v>
      </c>
      <c r="AF494">
        <f t="shared" si="124"/>
        <v>-483.11528645167311</v>
      </c>
      <c r="AG494">
        <f t="shared" si="130"/>
        <v>56709.268018940093</v>
      </c>
      <c r="AH494" t="b">
        <f t="shared" si="125"/>
        <v>1</v>
      </c>
    </row>
    <row r="495" spans="4:34" hidden="1" x14ac:dyDescent="0.4">
      <c r="D495" t="s">
        <v>55</v>
      </c>
      <c r="E495" t="s">
        <v>37</v>
      </c>
      <c r="F495" s="9">
        <v>45913.916666666664</v>
      </c>
      <c r="G495">
        <v>6.1639999999999999E-5</v>
      </c>
      <c r="H495" s="9">
        <v>45915.916666666664</v>
      </c>
      <c r="I495">
        <v>5.855E-5</v>
      </c>
      <c r="J495" s="12">
        <v>96188932.530000001</v>
      </c>
      <c r="K495" s="12">
        <v>5929.09</v>
      </c>
      <c r="L495">
        <v>8.67</v>
      </c>
      <c r="M495">
        <v>-305.89</v>
      </c>
      <c r="N495" s="13">
        <v>-5.16E-2</v>
      </c>
      <c r="O495" t="s">
        <v>38</v>
      </c>
      <c r="Q495">
        <f t="shared" si="126"/>
        <v>-297.22380151769994</v>
      </c>
      <c r="R495">
        <f t="shared" si="127"/>
        <v>-305.89380151769996</v>
      </c>
      <c r="S495">
        <f t="shared" si="128"/>
        <v>5631.8619996315001</v>
      </c>
      <c r="U495">
        <f t="shared" si="115"/>
        <v>26768332.251784999</v>
      </c>
      <c r="V495">
        <f t="shared" si="129"/>
        <v>1650.0000000000273</v>
      </c>
      <c r="W495">
        <f t="shared" si="116"/>
        <v>-82.714146658015622</v>
      </c>
      <c r="X495">
        <f t="shared" si="117"/>
        <v>3.2172858533420388</v>
      </c>
      <c r="Y495">
        <f t="shared" si="118"/>
        <v>-85.931432511357656</v>
      </c>
      <c r="Z495">
        <f t="shared" si="119"/>
        <v>37383.326061474399</v>
      </c>
      <c r="AB495">
        <f t="shared" si="120"/>
        <v>93270276.793072999</v>
      </c>
      <c r="AC495">
        <f t="shared" si="121"/>
        <v>5749.17986152502</v>
      </c>
      <c r="AD495">
        <f t="shared" si="122"/>
        <v>-288.20515529059548</v>
      </c>
      <c r="AE495">
        <f t="shared" si="123"/>
        <v>11.210154567759442</v>
      </c>
      <c r="AF495">
        <f t="shared" si="124"/>
        <v>-299.41530985835493</v>
      </c>
      <c r="AG495">
        <f t="shared" si="130"/>
        <v>57192.383305391762</v>
      </c>
      <c r="AH495" t="b">
        <f t="shared" si="125"/>
        <v>1</v>
      </c>
    </row>
    <row r="496" spans="4:34" hidden="1" x14ac:dyDescent="0.4">
      <c r="D496" t="s">
        <v>54</v>
      </c>
      <c r="E496" t="s">
        <v>37</v>
      </c>
      <c r="F496" s="9">
        <v>45913.833333333336</v>
      </c>
      <c r="G496">
        <v>238.6</v>
      </c>
      <c r="H496" s="9">
        <v>45915.833333333336</v>
      </c>
      <c r="I496">
        <v>233.33</v>
      </c>
      <c r="J496">
        <v>21.077999999999999</v>
      </c>
      <c r="K496" s="12">
        <v>5029.33</v>
      </c>
      <c r="L496">
        <v>7.46</v>
      </c>
      <c r="M496">
        <v>-118.54</v>
      </c>
      <c r="N496" s="13">
        <v>-2.3599999999999999E-2</v>
      </c>
      <c r="O496" t="s">
        <v>38</v>
      </c>
      <c r="Q496">
        <f t="shared" si="126"/>
        <v>-111.08105999999961</v>
      </c>
      <c r="R496">
        <f t="shared" si="127"/>
        <v>-118.5410599999996</v>
      </c>
      <c r="S496">
        <f t="shared" si="128"/>
        <v>4918.1297400000003</v>
      </c>
      <c r="U496">
        <f t="shared" si="115"/>
        <v>6.9153390000000003</v>
      </c>
      <c r="V496">
        <f t="shared" si="129"/>
        <v>1649.9998854</v>
      </c>
      <c r="W496">
        <f t="shared" si="116"/>
        <v>-36.443836529999878</v>
      </c>
      <c r="X496">
        <f t="shared" si="117"/>
        <v>3.2635559342700002</v>
      </c>
      <c r="Y496">
        <f t="shared" si="118"/>
        <v>-39.70739246426988</v>
      </c>
      <c r="Z496">
        <f t="shared" si="119"/>
        <v>37469.257493985759</v>
      </c>
      <c r="AB496">
        <f t="shared" si="120"/>
        <v>24.153599</v>
      </c>
      <c r="AC496">
        <f t="shared" si="121"/>
        <v>5763.0487213999995</v>
      </c>
      <c r="AD496">
        <f t="shared" si="122"/>
        <v>-127.28946672999956</v>
      </c>
      <c r="AE496">
        <f t="shared" si="123"/>
        <v>11.39880797607</v>
      </c>
      <c r="AF496">
        <f t="shared" si="124"/>
        <v>-138.68827470606956</v>
      </c>
      <c r="AG496">
        <f t="shared" si="130"/>
        <v>57491.798615250118</v>
      </c>
      <c r="AH496" t="b">
        <f t="shared" si="125"/>
        <v>1</v>
      </c>
    </row>
    <row r="497" spans="4:34" hidden="1" x14ac:dyDescent="0.4">
      <c r="D497" t="s">
        <v>60</v>
      </c>
      <c r="E497" t="s">
        <v>37</v>
      </c>
      <c r="F497" s="9">
        <v>45913.166666666664</v>
      </c>
      <c r="G497">
        <v>3.1042999999999998</v>
      </c>
      <c r="H497" s="9">
        <v>45915.666666666664</v>
      </c>
      <c r="I497">
        <v>3.0068000000000001</v>
      </c>
      <c r="J497">
        <v>736.2</v>
      </c>
      <c r="K497" s="12">
        <v>2285.69</v>
      </c>
      <c r="L497">
        <v>3.37</v>
      </c>
      <c r="M497">
        <v>-75.150000000000006</v>
      </c>
      <c r="N497" s="13">
        <v>-3.2899999999999999E-2</v>
      </c>
      <c r="O497" t="s">
        <v>57</v>
      </c>
      <c r="Q497">
        <f t="shared" si="126"/>
        <v>-71.779499999999786</v>
      </c>
      <c r="R497">
        <f t="shared" si="127"/>
        <v>-75.14949999999979</v>
      </c>
      <c r="S497">
        <f t="shared" si="128"/>
        <v>2213.6061600000003</v>
      </c>
      <c r="U497">
        <f t="shared" si="115"/>
        <v>531.52079400000002</v>
      </c>
      <c r="V497">
        <f t="shared" si="129"/>
        <v>1650.0000008141999</v>
      </c>
      <c r="W497">
        <f t="shared" si="116"/>
        <v>-51.823277414999843</v>
      </c>
      <c r="X497">
        <f t="shared" si="117"/>
        <v>3.2481767242134003</v>
      </c>
      <c r="Y497">
        <f t="shared" si="118"/>
        <v>-55.071454139213245</v>
      </c>
      <c r="Z497">
        <f t="shared" si="119"/>
        <v>37508.964886450027</v>
      </c>
      <c r="AB497">
        <f t="shared" si="120"/>
        <v>1862.689889</v>
      </c>
      <c r="AC497">
        <f t="shared" si="121"/>
        <v>5782.3482224227</v>
      </c>
      <c r="AD497">
        <f t="shared" si="122"/>
        <v>-181.61226417749944</v>
      </c>
      <c r="AE497">
        <f t="shared" si="123"/>
        <v>11.3830841806679</v>
      </c>
      <c r="AF497">
        <f t="shared" si="124"/>
        <v>-192.99534835816735</v>
      </c>
      <c r="AG497">
        <f t="shared" si="130"/>
        <v>57630.486889956184</v>
      </c>
      <c r="AH497" t="b">
        <f t="shared" si="125"/>
        <v>1</v>
      </c>
    </row>
    <row r="498" spans="4:34" hidden="1" x14ac:dyDescent="0.4">
      <c r="D498" t="s">
        <v>59</v>
      </c>
      <c r="E498" t="s">
        <v>37</v>
      </c>
      <c r="F498" s="9">
        <v>45912.75</v>
      </c>
      <c r="G498" s="12">
        <v>115545.99</v>
      </c>
      <c r="H498" s="9">
        <v>45915.25</v>
      </c>
      <c r="I498" s="12">
        <v>116118.54</v>
      </c>
      <c r="J498">
        <v>9.1170000000000001E-2</v>
      </c>
      <c r="K498" s="12">
        <v>10534.56</v>
      </c>
      <c r="L498">
        <v>15.84</v>
      </c>
      <c r="M498">
        <v>36.36</v>
      </c>
      <c r="N498" s="13">
        <v>3.5000000000000001E-3</v>
      </c>
      <c r="O498" t="s">
        <v>57</v>
      </c>
      <c r="Q498">
        <f t="shared" si="126"/>
        <v>52.199383499998937</v>
      </c>
      <c r="R498">
        <f t="shared" si="127"/>
        <v>36.359383499998941</v>
      </c>
      <c r="S498">
        <f t="shared" si="128"/>
        <v>10586.527291799999</v>
      </c>
      <c r="U498">
        <f t="shared" si="115"/>
        <v>1.4279999999999999E-2</v>
      </c>
      <c r="V498">
        <f t="shared" si="129"/>
        <v>1649.9967372000001</v>
      </c>
      <c r="W498">
        <f t="shared" si="116"/>
        <v>8.1760139999998334</v>
      </c>
      <c r="X498">
        <f t="shared" si="117"/>
        <v>3.3081694883999999</v>
      </c>
      <c r="Y498">
        <f t="shared" si="118"/>
        <v>4.8678445115998334</v>
      </c>
      <c r="Z498">
        <f t="shared" si="119"/>
        <v>37564.036340589242</v>
      </c>
      <c r="AB498">
        <f t="shared" si="120"/>
        <v>5.0028999999999997E-2</v>
      </c>
      <c r="AC498">
        <f t="shared" si="121"/>
        <v>5780.6503337100003</v>
      </c>
      <c r="AD498">
        <f t="shared" si="122"/>
        <v>28.644103949999415</v>
      </c>
      <c r="AE498">
        <f t="shared" si="123"/>
        <v>11.58994477137</v>
      </c>
      <c r="AF498">
        <f t="shared" si="124"/>
        <v>17.054159178629416</v>
      </c>
      <c r="AG498">
        <f t="shared" si="130"/>
        <v>57823.482238314355</v>
      </c>
      <c r="AH498" t="b">
        <f t="shared" si="125"/>
        <v>1</v>
      </c>
    </row>
    <row r="499" spans="4:34" hidden="1" x14ac:dyDescent="0.4">
      <c r="D499" t="s">
        <v>56</v>
      </c>
      <c r="E499" t="s">
        <v>37</v>
      </c>
      <c r="F499" s="9">
        <v>45913.916666666664</v>
      </c>
      <c r="G499" s="12">
        <v>4660.38</v>
      </c>
      <c r="H499" s="9">
        <v>45914.666666666664</v>
      </c>
      <c r="I499" s="12">
        <v>4591.46</v>
      </c>
      <c r="J499" s="12">
        <v>1.2388999999999999</v>
      </c>
      <c r="K499" s="12">
        <v>5773.75</v>
      </c>
      <c r="L499">
        <v>8.6</v>
      </c>
      <c r="M499">
        <v>-93.98</v>
      </c>
      <c r="N499" s="13">
        <v>-1.6299999999999999E-2</v>
      </c>
      <c r="O499" t="s">
        <v>49</v>
      </c>
      <c r="Q499">
        <f t="shared" si="126"/>
        <v>-85.384988000000078</v>
      </c>
      <c r="R499">
        <f t="shared" si="127"/>
        <v>-93.984988000000072</v>
      </c>
      <c r="S499">
        <f t="shared" si="128"/>
        <v>5688.359794</v>
      </c>
      <c r="U499">
        <f t="shared" si="115"/>
        <v>0.35404799999999997</v>
      </c>
      <c r="V499">
        <f t="shared" si="129"/>
        <v>1649.9982182399999</v>
      </c>
      <c r="W499">
        <f t="shared" si="116"/>
        <v>-24.400988160000026</v>
      </c>
      <c r="X499">
        <f t="shared" si="117"/>
        <v>3.2755954483199998</v>
      </c>
      <c r="Y499">
        <f t="shared" si="118"/>
        <v>-27.676583608320026</v>
      </c>
      <c r="Z499">
        <f t="shared" si="119"/>
        <v>37559.16849607764</v>
      </c>
      <c r="AB499">
        <f t="shared" si="120"/>
        <v>1.242464</v>
      </c>
      <c r="AC499">
        <f t="shared" si="121"/>
        <v>5790.3543763200005</v>
      </c>
      <c r="AD499">
        <f t="shared" si="122"/>
        <v>-85.630618880000085</v>
      </c>
      <c r="AE499">
        <f t="shared" si="123"/>
        <v>11.49507813376</v>
      </c>
      <c r="AF499">
        <f t="shared" si="124"/>
        <v>-97.125697013760089</v>
      </c>
      <c r="AG499">
        <f t="shared" si="130"/>
        <v>57806.428079135723</v>
      </c>
      <c r="AH499" t="b">
        <f t="shared" si="125"/>
        <v>1</v>
      </c>
    </row>
    <row r="500" spans="4:34" hidden="1" x14ac:dyDescent="0.4">
      <c r="D500" t="s">
        <v>58</v>
      </c>
      <c r="E500" t="s">
        <v>37</v>
      </c>
      <c r="F500" s="9">
        <v>45912.666666666664</v>
      </c>
      <c r="G500">
        <v>24.58</v>
      </c>
      <c r="H500" s="9">
        <v>45914.666666666664</v>
      </c>
      <c r="I500">
        <v>24.01</v>
      </c>
      <c r="J500">
        <v>306.11</v>
      </c>
      <c r="K500" s="12">
        <v>7524.28</v>
      </c>
      <c r="L500">
        <v>11.16</v>
      </c>
      <c r="M500">
        <v>-185.64</v>
      </c>
      <c r="N500" s="13">
        <v>-2.47E-2</v>
      </c>
      <c r="O500" t="s">
        <v>38</v>
      </c>
      <c r="Q500">
        <f t="shared" si="126"/>
        <v>-174.482699999999</v>
      </c>
      <c r="R500">
        <f t="shared" si="127"/>
        <v>-185.642699999999</v>
      </c>
      <c r="S500">
        <f t="shared" si="128"/>
        <v>7349.7011000000011</v>
      </c>
      <c r="U500">
        <f t="shared" si="115"/>
        <v>67.127746000000002</v>
      </c>
      <c r="V500">
        <f t="shared" si="129"/>
        <v>1649.9999966799999</v>
      </c>
      <c r="W500">
        <f t="shared" si="116"/>
        <v>-38.26281521999978</v>
      </c>
      <c r="X500">
        <f t="shared" si="117"/>
        <v>3.2617371781400002</v>
      </c>
      <c r="Y500">
        <f t="shared" si="118"/>
        <v>-41.524552398139782</v>
      </c>
      <c r="Z500">
        <f t="shared" si="119"/>
        <v>37586.845079685962</v>
      </c>
      <c r="AB500">
        <f t="shared" si="120"/>
        <v>236.166167</v>
      </c>
      <c r="AC500">
        <f t="shared" si="121"/>
        <v>5804.9643848599999</v>
      </c>
      <c r="AD500">
        <f t="shared" si="122"/>
        <v>-134.61471518999923</v>
      </c>
      <c r="AE500">
        <f t="shared" si="123"/>
        <v>11.475314054530001</v>
      </c>
      <c r="AF500">
        <f t="shared" si="124"/>
        <v>-146.09002924452923</v>
      </c>
      <c r="AG500">
        <f t="shared" si="130"/>
        <v>57903.553776149485</v>
      </c>
      <c r="AH500" t="b">
        <f t="shared" si="125"/>
        <v>1</v>
      </c>
    </row>
    <row r="501" spans="4:34" hidden="1" x14ac:dyDescent="0.4">
      <c r="D501" t="s">
        <v>61</v>
      </c>
      <c r="E501" t="s">
        <v>37</v>
      </c>
      <c r="F501" s="9">
        <v>45912.666666666664</v>
      </c>
      <c r="G501" s="12">
        <v>0.89170000000000005</v>
      </c>
      <c r="H501" s="9">
        <v>45914.666666666664</v>
      </c>
      <c r="I501" s="12">
        <v>0.88649999999999995</v>
      </c>
      <c r="J501" s="12">
        <v>9559.2999999999993</v>
      </c>
      <c r="K501" s="12">
        <v>8524.0400000000009</v>
      </c>
      <c r="L501">
        <v>12.75</v>
      </c>
      <c r="M501">
        <v>-62.46</v>
      </c>
      <c r="N501" s="13">
        <v>-7.3000000000000001E-3</v>
      </c>
      <c r="O501" t="s">
        <v>38</v>
      </c>
      <c r="Q501">
        <f t="shared" si="126"/>
        <v>-49.708360000000887</v>
      </c>
      <c r="R501">
        <f t="shared" si="127"/>
        <v>-62.458360000000887</v>
      </c>
      <c r="S501">
        <f t="shared" si="128"/>
        <v>8474.3194499999991</v>
      </c>
      <c r="U501">
        <f t="shared" si="115"/>
        <v>1850.3981160000001</v>
      </c>
      <c r="V501">
        <f t="shared" si="129"/>
        <v>1650.0000000372002</v>
      </c>
      <c r="W501">
        <f t="shared" si="116"/>
        <v>-9.6220702032001739</v>
      </c>
      <c r="X501">
        <f t="shared" si="117"/>
        <v>3.2903779298711999</v>
      </c>
      <c r="Y501">
        <f t="shared" si="118"/>
        <v>-12.912448133071374</v>
      </c>
      <c r="Z501">
        <f t="shared" si="119"/>
        <v>37628.369632084105</v>
      </c>
      <c r="AB501">
        <f t="shared" si="120"/>
        <v>6515.0955979999999</v>
      </c>
      <c r="AC501">
        <f t="shared" si="121"/>
        <v>5809.5107447365999</v>
      </c>
      <c r="AD501">
        <f t="shared" si="122"/>
        <v>-33.878497109600609</v>
      </c>
      <c r="AE501">
        <f t="shared" si="123"/>
        <v>11.585142992363599</v>
      </c>
      <c r="AF501">
        <f t="shared" si="124"/>
        <v>-45.463640101964209</v>
      </c>
      <c r="AG501">
        <f t="shared" si="130"/>
        <v>58049.643805394015</v>
      </c>
      <c r="AH501" t="b">
        <f t="shared" si="125"/>
        <v>1</v>
      </c>
    </row>
    <row r="502" spans="4:34" hidden="1" x14ac:dyDescent="0.4">
      <c r="D502" t="s">
        <v>52</v>
      </c>
      <c r="E502" t="s">
        <v>37</v>
      </c>
      <c r="F502" s="9">
        <v>45912.583333333336</v>
      </c>
      <c r="G502">
        <v>4.8689999999999998</v>
      </c>
      <c r="H502" s="9">
        <v>45914.583333333336</v>
      </c>
      <c r="I502">
        <v>4.9119999999999999</v>
      </c>
      <c r="J502">
        <v>483.71</v>
      </c>
      <c r="K502" s="12">
        <v>2355.2199999999998</v>
      </c>
      <c r="L502">
        <v>3.55</v>
      </c>
      <c r="M502">
        <v>17.25</v>
      </c>
      <c r="N502" s="13">
        <v>7.3000000000000001E-3</v>
      </c>
      <c r="O502" t="s">
        <v>38</v>
      </c>
      <c r="Q502">
        <f t="shared" si="126"/>
        <v>20.799530000000072</v>
      </c>
      <c r="R502">
        <f t="shared" si="127"/>
        <v>17.249530000000071</v>
      </c>
      <c r="S502">
        <f t="shared" si="128"/>
        <v>2375.9835199999998</v>
      </c>
      <c r="U502">
        <f t="shared" si="115"/>
        <v>338.87862000000001</v>
      </c>
      <c r="V502">
        <f t="shared" si="129"/>
        <v>1650.0000007799999</v>
      </c>
      <c r="W502">
        <f t="shared" si="116"/>
        <v>14.571780660000051</v>
      </c>
      <c r="X502">
        <f t="shared" si="117"/>
        <v>3.3145717822199998</v>
      </c>
      <c r="Y502">
        <f t="shared" si="118"/>
        <v>11.257208877780052</v>
      </c>
      <c r="Z502">
        <f t="shared" si="119"/>
        <v>37641.282080217177</v>
      </c>
      <c r="AB502">
        <f t="shared" si="120"/>
        <v>1192.3495339999999</v>
      </c>
      <c r="AC502">
        <f t="shared" si="121"/>
        <v>5805.5498810459994</v>
      </c>
      <c r="AD502">
        <f t="shared" si="122"/>
        <v>51.271029962000178</v>
      </c>
      <c r="AE502">
        <f t="shared" si="123"/>
        <v>11.662370792053999</v>
      </c>
      <c r="AF502">
        <f t="shared" si="124"/>
        <v>39.608659169946179</v>
      </c>
      <c r="AG502">
        <f t="shared" si="130"/>
        <v>58095.107445495982</v>
      </c>
      <c r="AH502" t="b">
        <f t="shared" si="125"/>
        <v>1</v>
      </c>
    </row>
    <row r="503" spans="4:34" hidden="1" x14ac:dyDescent="0.4">
      <c r="D503" t="s">
        <v>50</v>
      </c>
      <c r="E503" t="s">
        <v>37</v>
      </c>
      <c r="F503" s="9">
        <v>45912.583333333336</v>
      </c>
      <c r="G503">
        <v>349.2</v>
      </c>
      <c r="H503" s="9">
        <v>45914.583333333336</v>
      </c>
      <c r="I503">
        <v>348.7</v>
      </c>
      <c r="J503" s="12">
        <v>37.739199999999997</v>
      </c>
      <c r="K503" s="12">
        <v>13178.56</v>
      </c>
      <c r="L503">
        <v>19.75</v>
      </c>
      <c r="M503">
        <v>-38.619999999999997</v>
      </c>
      <c r="N503" s="13">
        <v>-2.8999999999999998E-3</v>
      </c>
      <c r="O503" t="s">
        <v>38</v>
      </c>
      <c r="Q503">
        <f t="shared" si="126"/>
        <v>-18.869599999999998</v>
      </c>
      <c r="R503">
        <f t="shared" si="127"/>
        <v>-38.619599999999998</v>
      </c>
      <c r="S503">
        <f t="shared" si="128"/>
        <v>13159.659039999999</v>
      </c>
      <c r="U503">
        <f t="shared" si="115"/>
        <v>4.7250860000000001</v>
      </c>
      <c r="V503">
        <f t="shared" si="129"/>
        <v>1650.0000312</v>
      </c>
      <c r="W503">
        <f t="shared" si="116"/>
        <v>-2.3625430000000001</v>
      </c>
      <c r="X503">
        <f t="shared" si="117"/>
        <v>3.2976375193999998</v>
      </c>
      <c r="Y503">
        <f t="shared" si="118"/>
        <v>-5.6601805193999999</v>
      </c>
      <c r="Z503">
        <f t="shared" si="119"/>
        <v>37630.024871339396</v>
      </c>
      <c r="AB503">
        <f t="shared" si="120"/>
        <v>16.630991000000002</v>
      </c>
      <c r="AC503">
        <f t="shared" si="121"/>
        <v>5807.5420572000003</v>
      </c>
      <c r="AD503">
        <f t="shared" si="122"/>
        <v>-8.3154955000000008</v>
      </c>
      <c r="AE503">
        <f t="shared" si="123"/>
        <v>11.6067686189</v>
      </c>
      <c r="AF503">
        <f t="shared" si="124"/>
        <v>-19.922264118900003</v>
      </c>
      <c r="AG503">
        <f t="shared" si="130"/>
        <v>58055.498786326032</v>
      </c>
      <c r="AH503" t="b">
        <f t="shared" si="125"/>
        <v>1</v>
      </c>
    </row>
    <row r="504" spans="4:34" hidden="1" x14ac:dyDescent="0.4">
      <c r="D504" t="s">
        <v>43</v>
      </c>
      <c r="E504" t="s">
        <v>37</v>
      </c>
      <c r="F504" s="9">
        <v>45912.166666666664</v>
      </c>
      <c r="G504">
        <v>3.6686000000000001</v>
      </c>
      <c r="H504" s="9">
        <v>45914.166666666664</v>
      </c>
      <c r="I504">
        <v>3.8109999999999999</v>
      </c>
      <c r="J504">
        <v>523</v>
      </c>
      <c r="K504" s="12">
        <v>1918.81</v>
      </c>
      <c r="L504">
        <v>2.93</v>
      </c>
      <c r="M504">
        <v>71.540000000000006</v>
      </c>
      <c r="N504" s="13">
        <v>3.73E-2</v>
      </c>
      <c r="O504" t="s">
        <v>38</v>
      </c>
      <c r="Q504">
        <f t="shared" si="126"/>
        <v>74.47519999999993</v>
      </c>
      <c r="R504">
        <f t="shared" si="127"/>
        <v>71.545199999999923</v>
      </c>
      <c r="S504">
        <f t="shared" si="128"/>
        <v>1993.153</v>
      </c>
      <c r="U504">
        <f t="shared" si="115"/>
        <v>449.76285200000001</v>
      </c>
      <c r="V504">
        <f t="shared" si="129"/>
        <v>1649.9999988472</v>
      </c>
      <c r="W504">
        <f t="shared" si="116"/>
        <v>64.046230124799933</v>
      </c>
      <c r="X504">
        <f t="shared" si="117"/>
        <v>3.3640462278192</v>
      </c>
      <c r="Y504">
        <f t="shared" si="118"/>
        <v>60.682183896980732</v>
      </c>
      <c r="Z504">
        <f t="shared" si="119"/>
        <v>37635.685051858796</v>
      </c>
      <c r="AB504">
        <f t="shared" si="120"/>
        <v>1577.2397980000001</v>
      </c>
      <c r="AC504">
        <f t="shared" si="121"/>
        <v>5786.2619229428001</v>
      </c>
      <c r="AD504">
        <f t="shared" si="122"/>
        <v>224.5989472351998</v>
      </c>
      <c r="AE504">
        <f t="shared" si="123"/>
        <v>11.797122793120799</v>
      </c>
      <c r="AF504">
        <f t="shared" si="124"/>
        <v>212.80182444207901</v>
      </c>
      <c r="AG504">
        <f t="shared" si="130"/>
        <v>58075.421050444929</v>
      </c>
      <c r="AH504" t="b">
        <f t="shared" si="125"/>
        <v>1</v>
      </c>
    </row>
    <row r="505" spans="4:34" hidden="1" x14ac:dyDescent="0.4">
      <c r="D505" t="s">
        <v>48</v>
      </c>
      <c r="E505" t="s">
        <v>37</v>
      </c>
      <c r="F505" s="9">
        <v>45911.875</v>
      </c>
      <c r="G505">
        <v>0.1232</v>
      </c>
      <c r="H505" s="9">
        <v>45913.875</v>
      </c>
      <c r="I505">
        <v>0.1278</v>
      </c>
      <c r="J505" s="12">
        <v>25315.599999999999</v>
      </c>
      <c r="K505" s="12">
        <v>3118.89</v>
      </c>
      <c r="L505">
        <v>4.7699999999999996</v>
      </c>
      <c r="M505">
        <v>111.69</v>
      </c>
      <c r="N505" s="13">
        <v>3.5799999999999998E-2</v>
      </c>
      <c r="O505" t="s">
        <v>38</v>
      </c>
      <c r="Q505">
        <f t="shared" si="126"/>
        <v>116.45175999999982</v>
      </c>
      <c r="R505">
        <f t="shared" si="127"/>
        <v>111.68175999999983</v>
      </c>
      <c r="S505">
        <f t="shared" si="128"/>
        <v>3235.3336799999997</v>
      </c>
      <c r="U505">
        <f t="shared" si="115"/>
        <v>13392.857142999999</v>
      </c>
      <c r="V505">
        <f t="shared" si="129"/>
        <v>1650.0000000175999</v>
      </c>
      <c r="W505">
        <f t="shared" si="116"/>
        <v>61.6071428577999</v>
      </c>
      <c r="X505">
        <f t="shared" si="117"/>
        <v>3.3616071428930003</v>
      </c>
      <c r="Y505">
        <f t="shared" si="118"/>
        <v>58.2455357149069</v>
      </c>
      <c r="Z505">
        <f t="shared" si="119"/>
        <v>37575.002867961819</v>
      </c>
      <c r="AB505">
        <f t="shared" si="120"/>
        <v>46801.201947000001</v>
      </c>
      <c r="AC505">
        <f t="shared" si="121"/>
        <v>5765.9080798704008</v>
      </c>
      <c r="AD505">
        <f t="shared" si="122"/>
        <v>215.28552895619967</v>
      </c>
      <c r="AE505">
        <f t="shared" si="123"/>
        <v>11.747101688697002</v>
      </c>
      <c r="AF505">
        <f t="shared" si="124"/>
        <v>203.53842726750267</v>
      </c>
      <c r="AG505">
        <f t="shared" si="130"/>
        <v>57862.619226002847</v>
      </c>
      <c r="AH505" t="b">
        <f t="shared" si="125"/>
        <v>1</v>
      </c>
    </row>
    <row r="506" spans="4:34" hidden="1" x14ac:dyDescent="0.4">
      <c r="D506" t="s">
        <v>53</v>
      </c>
      <c r="E506" t="s">
        <v>37</v>
      </c>
      <c r="F506" s="9">
        <v>45911.875</v>
      </c>
      <c r="G506">
        <v>897.24</v>
      </c>
      <c r="H506" s="9">
        <v>45913.875</v>
      </c>
      <c r="I506">
        <v>930.79</v>
      </c>
      <c r="J506" s="12">
        <v>10.692</v>
      </c>
      <c r="K506" s="12">
        <v>9593.61</v>
      </c>
      <c r="L506">
        <v>14.66</v>
      </c>
      <c r="M506">
        <v>344.06</v>
      </c>
      <c r="N506" s="13">
        <v>3.5900000000000001E-2</v>
      </c>
      <c r="O506" t="s">
        <v>38</v>
      </c>
      <c r="Q506">
        <f t="shared" si="126"/>
        <v>358.71659999999952</v>
      </c>
      <c r="R506">
        <f t="shared" si="127"/>
        <v>344.05659999999949</v>
      </c>
      <c r="S506">
        <f t="shared" si="128"/>
        <v>9952.0066800000004</v>
      </c>
      <c r="U506">
        <f t="shared" si="115"/>
        <v>1.838973</v>
      </c>
      <c r="V506">
        <f t="shared" si="129"/>
        <v>1650.0001345200001</v>
      </c>
      <c r="W506">
        <f t="shared" si="116"/>
        <v>61.697544149999914</v>
      </c>
      <c r="X506">
        <f t="shared" si="117"/>
        <v>3.3616978131900002</v>
      </c>
      <c r="Y506">
        <f t="shared" si="118"/>
        <v>58.335846336809915</v>
      </c>
      <c r="Z506">
        <f t="shared" si="119"/>
        <v>37516.757332246911</v>
      </c>
      <c r="AB506">
        <f t="shared" si="120"/>
        <v>6.403632</v>
      </c>
      <c r="AC506">
        <f t="shared" si="121"/>
        <v>5745.5947756799997</v>
      </c>
      <c r="AD506">
        <f t="shared" si="122"/>
        <v>214.84185359999969</v>
      </c>
      <c r="AE506">
        <f t="shared" si="123"/>
        <v>11.706031404960001</v>
      </c>
      <c r="AF506">
        <f t="shared" si="124"/>
        <v>203.13582219503968</v>
      </c>
      <c r="AG506">
        <f t="shared" si="130"/>
        <v>57659.080798735347</v>
      </c>
      <c r="AH506" t="b">
        <f t="shared" si="125"/>
        <v>1</v>
      </c>
    </row>
    <row r="507" spans="4:34" hidden="1" x14ac:dyDescent="0.4">
      <c r="D507" t="s">
        <v>54</v>
      </c>
      <c r="E507" t="s">
        <v>37</v>
      </c>
      <c r="F507" s="9">
        <v>45911.791666666664</v>
      </c>
      <c r="G507">
        <v>227.6</v>
      </c>
      <c r="H507" s="9">
        <v>45913.791666666664</v>
      </c>
      <c r="I507">
        <v>237.96</v>
      </c>
      <c r="J507">
        <v>22</v>
      </c>
      <c r="K507" s="12">
        <v>5007.3</v>
      </c>
      <c r="L507">
        <v>7.68</v>
      </c>
      <c r="M507">
        <v>220.24</v>
      </c>
      <c r="N507" s="13">
        <v>4.3999999999999997E-2</v>
      </c>
      <c r="O507" t="s">
        <v>38</v>
      </c>
      <c r="Q507">
        <f t="shared" si="126"/>
        <v>227.9200000000003</v>
      </c>
      <c r="R507">
        <f t="shared" si="127"/>
        <v>220.24000000000029</v>
      </c>
      <c r="S507">
        <f t="shared" si="128"/>
        <v>5235.12</v>
      </c>
      <c r="U507">
        <f t="shared" si="115"/>
        <v>7.2495609999999999</v>
      </c>
      <c r="V507">
        <f t="shared" si="129"/>
        <v>1650.0000835999999</v>
      </c>
      <c r="W507">
        <f t="shared" si="116"/>
        <v>75.105451960000096</v>
      </c>
      <c r="X507">
        <f t="shared" si="117"/>
        <v>3.3751056191600002</v>
      </c>
      <c r="Y507">
        <f t="shared" si="118"/>
        <v>71.7303463408401</v>
      </c>
      <c r="Z507">
        <f t="shared" si="119"/>
        <v>37458.421485910098</v>
      </c>
      <c r="AB507">
        <f t="shared" si="120"/>
        <v>25.134995</v>
      </c>
      <c r="AC507">
        <f t="shared" si="121"/>
        <v>5720.724862</v>
      </c>
      <c r="AD507">
        <f t="shared" si="122"/>
        <v>260.39854820000033</v>
      </c>
      <c r="AE507">
        <f t="shared" si="123"/>
        <v>11.701848272200001</v>
      </c>
      <c r="AF507">
        <f t="shared" si="124"/>
        <v>248.69669992780032</v>
      </c>
      <c r="AG507">
        <f t="shared" si="130"/>
        <v>57455.944976540304</v>
      </c>
      <c r="AH507" t="b">
        <f t="shared" si="125"/>
        <v>1</v>
      </c>
    </row>
    <row r="508" spans="4:34" hidden="1" x14ac:dyDescent="0.4">
      <c r="D508" t="s">
        <v>55</v>
      </c>
      <c r="E508" t="s">
        <v>37</v>
      </c>
      <c r="F508" s="9">
        <v>45911.75</v>
      </c>
      <c r="G508">
        <v>6.0319999999999998E-5</v>
      </c>
      <c r="H508" s="9">
        <v>45913.75</v>
      </c>
      <c r="I508">
        <v>6.1229999999999995E-5</v>
      </c>
      <c r="J508" s="12">
        <v>98160610.780000001</v>
      </c>
      <c r="K508" s="12">
        <v>5921.05</v>
      </c>
      <c r="L508">
        <v>8.9499999999999993</v>
      </c>
      <c r="M508">
        <v>80.38</v>
      </c>
      <c r="N508" s="13">
        <v>1.3599999999999999E-2</v>
      </c>
      <c r="O508" t="s">
        <v>38</v>
      </c>
      <c r="Q508">
        <f t="shared" si="126"/>
        <v>89.326155809799644</v>
      </c>
      <c r="R508">
        <f t="shared" si="127"/>
        <v>80.376155809799641</v>
      </c>
      <c r="S508">
        <f t="shared" si="128"/>
        <v>6010.3741980593995</v>
      </c>
      <c r="U508">
        <f t="shared" si="115"/>
        <v>27354111.405836001</v>
      </c>
      <c r="V508">
        <f t="shared" si="129"/>
        <v>1650.0000000000275</v>
      </c>
      <c r="W508">
        <f t="shared" si="116"/>
        <v>24.892241379310661</v>
      </c>
      <c r="X508">
        <f t="shared" si="117"/>
        <v>3.324892241379366</v>
      </c>
      <c r="Y508">
        <f t="shared" si="118"/>
        <v>21.567349137931295</v>
      </c>
      <c r="Z508">
        <f t="shared" si="119"/>
        <v>37386.691139569259</v>
      </c>
      <c r="AB508">
        <f t="shared" si="120"/>
        <v>94715798.417357996</v>
      </c>
      <c r="AC508">
        <f t="shared" si="121"/>
        <v>5713.2569605350345</v>
      </c>
      <c r="AD508">
        <f t="shared" si="122"/>
        <v>86.19137655979543</v>
      </c>
      <c r="AE508">
        <f t="shared" si="123"/>
        <v>11.512705297629864</v>
      </c>
      <c r="AF508">
        <f t="shared" si="124"/>
        <v>74.678671262165565</v>
      </c>
      <c r="AG508">
        <f t="shared" si="130"/>
        <v>57207.248276612503</v>
      </c>
      <c r="AH508" t="b">
        <f t="shared" si="125"/>
        <v>1</v>
      </c>
    </row>
    <row r="509" spans="4:34" hidden="1" x14ac:dyDescent="0.4">
      <c r="D509" t="s">
        <v>56</v>
      </c>
      <c r="E509" t="s">
        <v>37</v>
      </c>
      <c r="F509" s="9">
        <v>45910.958333333336</v>
      </c>
      <c r="G509" s="12">
        <v>4351.2700000000004</v>
      </c>
      <c r="H509" s="9">
        <v>45913.458333333336</v>
      </c>
      <c r="I509" s="12">
        <v>4735.41</v>
      </c>
      <c r="J509">
        <v>1.3154999999999999</v>
      </c>
      <c r="K509" s="12">
        <v>5724.11</v>
      </c>
      <c r="L509">
        <v>8.9700000000000006</v>
      </c>
      <c r="M509">
        <v>496.37</v>
      </c>
      <c r="N509" s="13">
        <v>8.6699999999999999E-2</v>
      </c>
      <c r="O509" t="s">
        <v>57</v>
      </c>
      <c r="Q509">
        <f t="shared" si="126"/>
        <v>505.33616999999919</v>
      </c>
      <c r="R509">
        <f t="shared" si="127"/>
        <v>496.36616999999916</v>
      </c>
      <c r="S509">
        <f t="shared" si="128"/>
        <v>6229.4318549999989</v>
      </c>
      <c r="U509">
        <f t="shared" si="115"/>
        <v>0.37919999999999998</v>
      </c>
      <c r="V509">
        <f t="shared" si="129"/>
        <v>1650.0015840000001</v>
      </c>
      <c r="W509">
        <f t="shared" si="116"/>
        <v>145.66588799999977</v>
      </c>
      <c r="X509">
        <f t="shared" si="117"/>
        <v>3.4456690560000003</v>
      </c>
      <c r="Y509">
        <f t="shared" si="118"/>
        <v>142.22021894399975</v>
      </c>
      <c r="Z509">
        <f t="shared" si="119"/>
        <v>37365.123790431324</v>
      </c>
      <c r="AB509">
        <f t="shared" si="120"/>
        <v>1.3017879999999999</v>
      </c>
      <c r="AC509">
        <f t="shared" si="121"/>
        <v>5664.4310707600007</v>
      </c>
      <c r="AD509">
        <f t="shared" si="122"/>
        <v>500.06884231999925</v>
      </c>
      <c r="AE509">
        <f t="shared" si="123"/>
        <v>11.828930983840001</v>
      </c>
      <c r="AF509">
        <f t="shared" si="124"/>
        <v>488.23991133615925</v>
      </c>
      <c r="AG509">
        <f t="shared" si="130"/>
        <v>57132.569605350334</v>
      </c>
      <c r="AH509" t="b">
        <f t="shared" si="125"/>
        <v>1</v>
      </c>
    </row>
    <row r="510" spans="4:34" hidden="1" x14ac:dyDescent="0.4">
      <c r="D510" t="s">
        <v>60</v>
      </c>
      <c r="E510" t="s">
        <v>37</v>
      </c>
      <c r="F510" s="9">
        <v>45910.541666666664</v>
      </c>
      <c r="G510" s="12">
        <v>2.9714999999999998</v>
      </c>
      <c r="H510" s="9">
        <v>45913.041666666664</v>
      </c>
      <c r="I510" s="12">
        <v>3.1080999999999999</v>
      </c>
      <c r="J510">
        <v>765.8</v>
      </c>
      <c r="K510" s="12">
        <v>2275.58</v>
      </c>
      <c r="L510">
        <v>3.49</v>
      </c>
      <c r="M510">
        <v>101.12</v>
      </c>
      <c r="N510" s="13">
        <v>4.4400000000000002E-2</v>
      </c>
      <c r="O510" t="s">
        <v>57</v>
      </c>
      <c r="Q510">
        <f t="shared" si="126"/>
        <v>104.60828000000004</v>
      </c>
      <c r="R510">
        <f t="shared" si="127"/>
        <v>101.11828000000004</v>
      </c>
      <c r="S510">
        <f t="shared" si="128"/>
        <v>2380.1829799999996</v>
      </c>
      <c r="U510">
        <f t="shared" si="115"/>
        <v>555.27511400000003</v>
      </c>
      <c r="V510">
        <f t="shared" si="129"/>
        <v>1650.000001251</v>
      </c>
      <c r="W510">
        <f t="shared" si="116"/>
        <v>75.850580572400034</v>
      </c>
      <c r="X510">
        <f t="shared" si="117"/>
        <v>3.3758505830743997</v>
      </c>
      <c r="Y510">
        <f t="shared" si="118"/>
        <v>72.474729989325638</v>
      </c>
      <c r="Z510">
        <f t="shared" si="119"/>
        <v>37222.903571487324</v>
      </c>
      <c r="AB510">
        <f t="shared" si="120"/>
        <v>1897.9173069999999</v>
      </c>
      <c r="AC510">
        <f t="shared" si="121"/>
        <v>5639.6612777504997</v>
      </c>
      <c r="AD510">
        <f t="shared" si="122"/>
        <v>259.2555041362001</v>
      </c>
      <c r="AE510">
        <f t="shared" si="123"/>
        <v>11.538578059637198</v>
      </c>
      <c r="AF510">
        <f t="shared" si="124"/>
        <v>247.71692607656291</v>
      </c>
      <c r="AG510">
        <f t="shared" si="130"/>
        <v>56644.329694014174</v>
      </c>
      <c r="AH510" t="b">
        <f t="shared" si="125"/>
        <v>1</v>
      </c>
    </row>
    <row r="511" spans="4:34" hidden="1" x14ac:dyDescent="0.4">
      <c r="D511" t="s">
        <v>59</v>
      </c>
      <c r="E511" t="s">
        <v>37</v>
      </c>
      <c r="F511" s="9">
        <v>45910.166666666664</v>
      </c>
      <c r="G511" s="12">
        <v>111430.01</v>
      </c>
      <c r="H511" s="9">
        <v>45912.666666666664</v>
      </c>
      <c r="I511" s="12">
        <v>115314</v>
      </c>
      <c r="J511">
        <v>9.4219999999999998E-2</v>
      </c>
      <c r="K511" s="12">
        <v>10499.57</v>
      </c>
      <c r="L511">
        <v>16.02</v>
      </c>
      <c r="M511">
        <v>349.93</v>
      </c>
      <c r="N511" s="13">
        <v>3.3300000000000003E-2</v>
      </c>
      <c r="O511" t="s">
        <v>57</v>
      </c>
      <c r="Q511">
        <f t="shared" si="126"/>
        <v>365.94953780000048</v>
      </c>
      <c r="R511">
        <f t="shared" si="127"/>
        <v>349.9295378000005</v>
      </c>
      <c r="S511">
        <f t="shared" si="128"/>
        <v>10864.88508</v>
      </c>
      <c r="U511">
        <f t="shared" si="115"/>
        <v>1.4808E-2</v>
      </c>
      <c r="V511">
        <f t="shared" si="129"/>
        <v>1650.05558808</v>
      </c>
      <c r="W511">
        <f t="shared" si="116"/>
        <v>57.514123920000074</v>
      </c>
      <c r="X511">
        <f t="shared" si="117"/>
        <v>3.35762530008</v>
      </c>
      <c r="Y511">
        <f t="shared" si="118"/>
        <v>54.156498619920072</v>
      </c>
      <c r="Z511">
        <f t="shared" si="119"/>
        <v>37150.428841497996</v>
      </c>
      <c r="AB511">
        <f t="shared" si="120"/>
        <v>5.0445999999999998E-2</v>
      </c>
      <c r="AC511">
        <f t="shared" si="121"/>
        <v>5621.1982844599997</v>
      </c>
      <c r="AD511">
        <f t="shared" si="122"/>
        <v>195.93175954000026</v>
      </c>
      <c r="AE511">
        <f t="shared" si="123"/>
        <v>11.438328328459999</v>
      </c>
      <c r="AF511">
        <f t="shared" si="124"/>
        <v>184.49343121154027</v>
      </c>
      <c r="AG511">
        <f t="shared" si="130"/>
        <v>56396.612767937608</v>
      </c>
      <c r="AH511" t="b">
        <f t="shared" si="125"/>
        <v>1</v>
      </c>
    </row>
    <row r="512" spans="4:34" hidden="1" x14ac:dyDescent="0.4">
      <c r="D512" t="s">
        <v>50</v>
      </c>
      <c r="E512" t="s">
        <v>37</v>
      </c>
      <c r="F512" s="9">
        <v>45910.583333333336</v>
      </c>
      <c r="G512">
        <v>339.9</v>
      </c>
      <c r="H512" s="9">
        <v>45912.583333333336</v>
      </c>
      <c r="I512">
        <v>349.2</v>
      </c>
      <c r="J512">
        <v>38.671900000000001</v>
      </c>
      <c r="K512" s="12">
        <v>13144.59</v>
      </c>
      <c r="L512">
        <v>19.989999999999998</v>
      </c>
      <c r="M512">
        <v>339.66</v>
      </c>
      <c r="N512" s="13">
        <v>2.58E-2</v>
      </c>
      <c r="O512" t="s">
        <v>38</v>
      </c>
      <c r="Q512">
        <f t="shared" si="126"/>
        <v>359.64867000000044</v>
      </c>
      <c r="R512">
        <f t="shared" si="127"/>
        <v>339.65867000000043</v>
      </c>
      <c r="S512">
        <f t="shared" si="128"/>
        <v>13504.22748</v>
      </c>
      <c r="U512">
        <f t="shared" si="115"/>
        <v>4.8543690000000002</v>
      </c>
      <c r="V512">
        <f t="shared" si="129"/>
        <v>1650.0000230999999</v>
      </c>
      <c r="W512">
        <f t="shared" si="116"/>
        <v>45.14563170000006</v>
      </c>
      <c r="X512">
        <f t="shared" si="117"/>
        <v>3.3451456778999997</v>
      </c>
      <c r="Y512">
        <f t="shared" si="118"/>
        <v>41.80048602210006</v>
      </c>
      <c r="Z512">
        <f t="shared" si="119"/>
        <v>37096.272342878074</v>
      </c>
      <c r="AB512">
        <f t="shared" si="120"/>
        <v>16.49605</v>
      </c>
      <c r="AC512">
        <f t="shared" si="121"/>
        <v>5607.0073949999996</v>
      </c>
      <c r="AD512">
        <f t="shared" si="122"/>
        <v>153.41326500000019</v>
      </c>
      <c r="AE512">
        <f t="shared" si="123"/>
        <v>11.367428055</v>
      </c>
      <c r="AF512">
        <f t="shared" si="124"/>
        <v>142.04583694500019</v>
      </c>
      <c r="AG512">
        <f t="shared" si="130"/>
        <v>56212.119336726064</v>
      </c>
      <c r="AH512" t="b">
        <f t="shared" si="125"/>
        <v>1</v>
      </c>
    </row>
    <row r="513" spans="4:34" hidden="1" x14ac:dyDescent="0.4">
      <c r="D513" t="s">
        <v>58</v>
      </c>
      <c r="E513" t="s">
        <v>37</v>
      </c>
      <c r="F513" s="9">
        <v>45910.166666666664</v>
      </c>
      <c r="G513">
        <v>23.35</v>
      </c>
      <c r="H513" s="9">
        <v>45912.166666666664</v>
      </c>
      <c r="I513">
        <v>24.68</v>
      </c>
      <c r="J513" s="12">
        <v>320.45999999999998</v>
      </c>
      <c r="K513" s="12">
        <v>7482.81</v>
      </c>
      <c r="L513">
        <v>11.54</v>
      </c>
      <c r="M513">
        <v>414.67</v>
      </c>
      <c r="N513" s="13">
        <v>5.5399999999999998E-2</v>
      </c>
      <c r="O513" t="s">
        <v>38</v>
      </c>
      <c r="Q513">
        <f t="shared" si="126"/>
        <v>426.21179999999941</v>
      </c>
      <c r="R513">
        <f t="shared" si="127"/>
        <v>414.67179999999939</v>
      </c>
      <c r="S513">
        <f t="shared" si="128"/>
        <v>7908.9527999999991</v>
      </c>
      <c r="U513">
        <f t="shared" si="115"/>
        <v>70.663811999999993</v>
      </c>
      <c r="V513">
        <f t="shared" si="129"/>
        <v>1650.0000101999999</v>
      </c>
      <c r="W513">
        <f t="shared" si="116"/>
        <v>93.982869959999874</v>
      </c>
      <c r="X513">
        <f t="shared" si="117"/>
        <v>3.3939828903599998</v>
      </c>
      <c r="Y513">
        <f t="shared" si="118"/>
        <v>90.588887069639881</v>
      </c>
      <c r="Z513">
        <f t="shared" si="119"/>
        <v>37054.471856855977</v>
      </c>
      <c r="AB513">
        <f t="shared" si="120"/>
        <v>238.81762900000001</v>
      </c>
      <c r="AC513">
        <f t="shared" si="121"/>
        <v>5576.3916371500009</v>
      </c>
      <c r="AD513">
        <f t="shared" si="122"/>
        <v>317.62744656999962</v>
      </c>
      <c r="AE513">
        <f t="shared" si="123"/>
        <v>11.470410720870001</v>
      </c>
      <c r="AF513">
        <f t="shared" si="124"/>
        <v>306.15703584912961</v>
      </c>
      <c r="AG513">
        <f t="shared" si="130"/>
        <v>56070.073499781065</v>
      </c>
      <c r="AH513" t="b">
        <f t="shared" si="125"/>
        <v>1</v>
      </c>
    </row>
    <row r="514" spans="4:34" hidden="1" x14ac:dyDescent="0.4">
      <c r="D514" t="s">
        <v>43</v>
      </c>
      <c r="E514" t="s">
        <v>37</v>
      </c>
      <c r="F514" s="9">
        <v>45910.125</v>
      </c>
      <c r="G514">
        <v>3.4975000000000001</v>
      </c>
      <c r="H514" s="9">
        <v>45912.125</v>
      </c>
      <c r="I514">
        <v>3.6615000000000002</v>
      </c>
      <c r="J514">
        <v>546.1</v>
      </c>
      <c r="K514" s="12">
        <v>1910.15</v>
      </c>
      <c r="L514">
        <v>2.93</v>
      </c>
      <c r="M514">
        <v>86.63</v>
      </c>
      <c r="N514" s="13">
        <v>4.5400000000000003E-2</v>
      </c>
      <c r="O514" t="s">
        <v>38</v>
      </c>
      <c r="Q514">
        <f t="shared" si="126"/>
        <v>89.560400000000087</v>
      </c>
      <c r="R514">
        <f t="shared" si="127"/>
        <v>86.63040000000008</v>
      </c>
      <c r="S514">
        <f t="shared" si="128"/>
        <v>1999.5451500000001</v>
      </c>
      <c r="U514">
        <f t="shared" si="115"/>
        <v>471.76554700000003</v>
      </c>
      <c r="V514">
        <f t="shared" si="129"/>
        <v>1650.0000006325001</v>
      </c>
      <c r="W514">
        <f t="shared" si="116"/>
        <v>77.369549708000079</v>
      </c>
      <c r="X514">
        <f t="shared" si="117"/>
        <v>3.3773695509730004</v>
      </c>
      <c r="Y514">
        <f t="shared" si="118"/>
        <v>73.992180157027079</v>
      </c>
      <c r="Z514">
        <f t="shared" si="119"/>
        <v>36963.88296978634</v>
      </c>
      <c r="AB514">
        <f t="shared" si="120"/>
        <v>1587.27567</v>
      </c>
      <c r="AC514">
        <f t="shared" si="121"/>
        <v>5551.4966558249998</v>
      </c>
      <c r="AD514">
        <f t="shared" si="122"/>
        <v>260.31320988000022</v>
      </c>
      <c r="AE514">
        <f t="shared" si="123"/>
        <v>11.363306521530001</v>
      </c>
      <c r="AF514">
        <f t="shared" si="124"/>
        <v>248.94990335847021</v>
      </c>
      <c r="AG514">
        <f t="shared" si="130"/>
        <v>55763.916463931935</v>
      </c>
      <c r="AH514" t="b">
        <f t="shared" si="125"/>
        <v>1</v>
      </c>
    </row>
    <row r="515" spans="4:34" hidden="1" x14ac:dyDescent="0.4">
      <c r="D515" t="s">
        <v>52</v>
      </c>
      <c r="E515" t="s">
        <v>37</v>
      </c>
      <c r="F515" s="9">
        <v>45910.125</v>
      </c>
      <c r="G515">
        <v>4.8840000000000003</v>
      </c>
      <c r="H515" s="9">
        <v>45912.125</v>
      </c>
      <c r="I515">
        <v>4.96</v>
      </c>
      <c r="J515" s="12">
        <v>481.55</v>
      </c>
      <c r="K515" s="12">
        <v>2351.92</v>
      </c>
      <c r="L515">
        <v>3.56</v>
      </c>
      <c r="M515">
        <v>33.04</v>
      </c>
      <c r="N515" s="13">
        <v>1.4E-2</v>
      </c>
      <c r="O515" t="s">
        <v>38</v>
      </c>
      <c r="Q515">
        <f t="shared" si="126"/>
        <v>36.597799999999822</v>
      </c>
      <c r="R515">
        <f t="shared" si="127"/>
        <v>33.03779999999982</v>
      </c>
      <c r="S515">
        <f t="shared" si="128"/>
        <v>2388.4879999999998</v>
      </c>
      <c r="U515">
        <f t="shared" si="115"/>
        <v>337.83783799999998</v>
      </c>
      <c r="V515">
        <f t="shared" si="129"/>
        <v>1650.000000792</v>
      </c>
      <c r="W515">
        <f t="shared" si="116"/>
        <v>25.67567568799987</v>
      </c>
      <c r="X515">
        <f t="shared" si="117"/>
        <v>3.3256756772720006</v>
      </c>
      <c r="Y515">
        <f t="shared" si="118"/>
        <v>22.350000010727868</v>
      </c>
      <c r="Z515">
        <f t="shared" si="119"/>
        <v>36889.890789629317</v>
      </c>
      <c r="AB515">
        <f t="shared" si="120"/>
        <v>1135.132488</v>
      </c>
      <c r="AC515">
        <f t="shared" si="121"/>
        <v>5543.987071392</v>
      </c>
      <c r="AD515">
        <f t="shared" si="122"/>
        <v>86.270069087999573</v>
      </c>
      <c r="AE515">
        <f t="shared" si="123"/>
        <v>11.174244211872002</v>
      </c>
      <c r="AF515">
        <f t="shared" si="124"/>
        <v>75.095824876127566</v>
      </c>
      <c r="AG515">
        <f t="shared" si="130"/>
        <v>55514.966560573463</v>
      </c>
      <c r="AH515" t="b">
        <f t="shared" si="125"/>
        <v>1</v>
      </c>
    </row>
    <row r="516" spans="4:34" hidden="1" x14ac:dyDescent="0.4">
      <c r="D516" t="s">
        <v>61</v>
      </c>
      <c r="E516" t="s">
        <v>37</v>
      </c>
      <c r="F516" s="9">
        <v>45909.916666666664</v>
      </c>
      <c r="G516" s="12">
        <v>0.8639</v>
      </c>
      <c r="H516" s="9">
        <v>45911.916666666664</v>
      </c>
      <c r="I516" s="12">
        <v>0.88239999999999996</v>
      </c>
      <c r="J516" s="12">
        <v>9847.2999999999993</v>
      </c>
      <c r="K516" s="12">
        <v>8507.11</v>
      </c>
      <c r="L516">
        <v>12.9</v>
      </c>
      <c r="M516">
        <v>169.28</v>
      </c>
      <c r="N516" s="13">
        <v>1.9900000000000001E-2</v>
      </c>
      <c r="O516" t="s">
        <v>38</v>
      </c>
      <c r="Q516">
        <f t="shared" si="126"/>
        <v>182.1750499999996</v>
      </c>
      <c r="R516">
        <f t="shared" si="127"/>
        <v>169.2750499999996</v>
      </c>
      <c r="S516">
        <f t="shared" si="128"/>
        <v>8689.2575199999992</v>
      </c>
      <c r="U516">
        <f t="shared" si="115"/>
        <v>1909.94328</v>
      </c>
      <c r="V516">
        <f t="shared" si="129"/>
        <v>1649.999999592</v>
      </c>
      <c r="W516">
        <f t="shared" si="116"/>
        <v>35.333950679999923</v>
      </c>
      <c r="X516">
        <f t="shared" si="117"/>
        <v>3.3353339498639998</v>
      </c>
      <c r="Y516">
        <f t="shared" si="118"/>
        <v>31.998616730135922</v>
      </c>
      <c r="Z516">
        <f t="shared" si="119"/>
        <v>36867.540789618586</v>
      </c>
      <c r="AB516">
        <f t="shared" si="120"/>
        <v>6404.9732299999996</v>
      </c>
      <c r="AC516">
        <f t="shared" si="121"/>
        <v>5533.2563733970001</v>
      </c>
      <c r="AD516">
        <f t="shared" si="122"/>
        <v>118.49200475499974</v>
      </c>
      <c r="AE516">
        <f t="shared" si="123"/>
        <v>11.185004751548998</v>
      </c>
      <c r="AF516">
        <f t="shared" si="124"/>
        <v>107.30700000345074</v>
      </c>
      <c r="AG516">
        <f t="shared" si="130"/>
        <v>55439.870735697332</v>
      </c>
      <c r="AH516" t="b">
        <f t="shared" si="125"/>
        <v>1</v>
      </c>
    </row>
    <row r="517" spans="4:34" hidden="1" x14ac:dyDescent="0.4">
      <c r="D517" t="s">
        <v>48</v>
      </c>
      <c r="E517" t="s">
        <v>37</v>
      </c>
      <c r="F517" s="9">
        <v>45909.875</v>
      </c>
      <c r="G517">
        <v>0.1205</v>
      </c>
      <c r="H517" s="9">
        <v>45911.875</v>
      </c>
      <c r="I517">
        <v>0.1232</v>
      </c>
      <c r="J517" s="12">
        <v>25828.9</v>
      </c>
      <c r="K517" s="12">
        <v>3112.39</v>
      </c>
      <c r="L517">
        <v>4.72</v>
      </c>
      <c r="M517">
        <v>65.02</v>
      </c>
      <c r="N517" s="13">
        <v>2.0899999999999998E-2</v>
      </c>
      <c r="O517" t="s">
        <v>38</v>
      </c>
      <c r="Q517">
        <f t="shared" si="126"/>
        <v>69.738030000000208</v>
      </c>
      <c r="R517">
        <f t="shared" si="127"/>
        <v>65.018030000000209</v>
      </c>
      <c r="S517">
        <f t="shared" si="128"/>
        <v>3182.1204800000005</v>
      </c>
      <c r="U517">
        <f t="shared" si="115"/>
        <v>13692.946058</v>
      </c>
      <c r="V517">
        <f t="shared" si="129"/>
        <v>1649.9999999889999</v>
      </c>
      <c r="W517">
        <f t="shared" si="116"/>
        <v>36.97095435660011</v>
      </c>
      <c r="X517">
        <f t="shared" si="117"/>
        <v>3.3369709543346002</v>
      </c>
      <c r="Y517">
        <f t="shared" si="118"/>
        <v>33.633983402265507</v>
      </c>
      <c r="Z517">
        <f t="shared" si="119"/>
        <v>36835.542172888447</v>
      </c>
      <c r="AB517">
        <f t="shared" si="120"/>
        <v>45825.727801000001</v>
      </c>
      <c r="AC517">
        <f t="shared" si="121"/>
        <v>5522.0002000204995</v>
      </c>
      <c r="AD517">
        <f t="shared" si="122"/>
        <v>123.72946506270037</v>
      </c>
      <c r="AE517">
        <f t="shared" si="123"/>
        <v>11.1677298651037</v>
      </c>
      <c r="AF517">
        <f t="shared" si="124"/>
        <v>112.56173519759668</v>
      </c>
      <c r="AG517">
        <f t="shared" si="130"/>
        <v>55332.563735693882</v>
      </c>
      <c r="AH517" t="b">
        <f t="shared" si="125"/>
        <v>1</v>
      </c>
    </row>
    <row r="518" spans="4:34" hidden="1" x14ac:dyDescent="0.4">
      <c r="D518" t="s">
        <v>53</v>
      </c>
      <c r="E518" t="s">
        <v>37</v>
      </c>
      <c r="F518" s="9">
        <v>45909.833333333336</v>
      </c>
      <c r="G518">
        <v>875.66</v>
      </c>
      <c r="H518" s="9">
        <v>45911.833333333336</v>
      </c>
      <c r="I518">
        <v>895.23</v>
      </c>
      <c r="J518">
        <v>10.933</v>
      </c>
      <c r="K518" s="12">
        <v>9573.66</v>
      </c>
      <c r="L518">
        <v>14.52</v>
      </c>
      <c r="M518">
        <v>199.44</v>
      </c>
      <c r="N518" s="13">
        <v>2.0799999999999999E-2</v>
      </c>
      <c r="O518" t="s">
        <v>38</v>
      </c>
      <c r="Q518">
        <f t="shared" si="126"/>
        <v>213.95881000000054</v>
      </c>
      <c r="R518">
        <f t="shared" si="127"/>
        <v>199.43881000000053</v>
      </c>
      <c r="S518">
        <f t="shared" si="128"/>
        <v>9787.5495900000005</v>
      </c>
      <c r="U518">
        <f t="shared" si="115"/>
        <v>1.884293</v>
      </c>
      <c r="V518">
        <f t="shared" si="129"/>
        <v>1650.0000083799998</v>
      </c>
      <c r="W518">
        <f t="shared" si="116"/>
        <v>36.875614010000092</v>
      </c>
      <c r="X518">
        <f t="shared" si="117"/>
        <v>3.3368756307699998</v>
      </c>
      <c r="Y518">
        <f t="shared" si="118"/>
        <v>33.538738379230089</v>
      </c>
      <c r="Z518">
        <f t="shared" si="119"/>
        <v>36801.908189486181</v>
      </c>
      <c r="AB518">
        <f t="shared" si="120"/>
        <v>6.2933089999999998</v>
      </c>
      <c r="AC518">
        <f t="shared" si="121"/>
        <v>5510.7989589399995</v>
      </c>
      <c r="AD518">
        <f t="shared" si="122"/>
        <v>123.16005713000031</v>
      </c>
      <c r="AE518">
        <f t="shared" si="123"/>
        <v>11.144757975009998</v>
      </c>
      <c r="AF518">
        <f t="shared" si="124"/>
        <v>112.01529915499032</v>
      </c>
      <c r="AG518">
        <f t="shared" si="130"/>
        <v>55220.002000496286</v>
      </c>
      <c r="AH518" t="b">
        <f t="shared" si="125"/>
        <v>1</v>
      </c>
    </row>
    <row r="519" spans="4:34" hidden="1" x14ac:dyDescent="0.4">
      <c r="D519" t="s">
        <v>54</v>
      </c>
      <c r="E519" t="s">
        <v>37</v>
      </c>
      <c r="F519" s="9">
        <v>45909.625</v>
      </c>
      <c r="G519">
        <v>218.09</v>
      </c>
      <c r="H519" s="9">
        <v>45911.625</v>
      </c>
      <c r="I519">
        <v>228.32</v>
      </c>
      <c r="J519" s="12">
        <v>22.856000000000002</v>
      </c>
      <c r="K519" s="12">
        <v>4984.6899999999996</v>
      </c>
      <c r="L519">
        <v>7.65</v>
      </c>
      <c r="M519">
        <v>226.16</v>
      </c>
      <c r="N519" s="13">
        <v>4.5400000000000003E-2</v>
      </c>
      <c r="O519" t="s">
        <v>38</v>
      </c>
      <c r="Q519">
        <f t="shared" si="126"/>
        <v>233.81687999999977</v>
      </c>
      <c r="R519">
        <f t="shared" si="127"/>
        <v>226.16687999999976</v>
      </c>
      <c r="S519">
        <f t="shared" si="128"/>
        <v>5218.4819200000002</v>
      </c>
      <c r="U519">
        <f t="shared" si="115"/>
        <v>7.5656840000000001</v>
      </c>
      <c r="V519">
        <f t="shared" si="129"/>
        <v>1650.00002356</v>
      </c>
      <c r="W519">
        <f t="shared" si="116"/>
        <v>77.396947319999924</v>
      </c>
      <c r="X519">
        <f t="shared" si="117"/>
        <v>3.3773969944399997</v>
      </c>
      <c r="Y519">
        <f t="shared" si="118"/>
        <v>74.019550325559919</v>
      </c>
      <c r="Z519">
        <f t="shared" si="119"/>
        <v>36768.369451106948</v>
      </c>
      <c r="AB519">
        <f t="shared" si="120"/>
        <v>25.155612000000001</v>
      </c>
      <c r="AC519">
        <f t="shared" si="121"/>
        <v>5486.1874210800006</v>
      </c>
      <c r="AD519">
        <f t="shared" si="122"/>
        <v>257.34191075999973</v>
      </c>
      <c r="AE519">
        <f t="shared" si="123"/>
        <v>11.22971675292</v>
      </c>
      <c r="AF519">
        <f t="shared" si="124"/>
        <v>246.11219400707972</v>
      </c>
      <c r="AG519">
        <f t="shared" si="130"/>
        <v>55107.986701341295</v>
      </c>
      <c r="AH519" t="b">
        <f t="shared" si="125"/>
        <v>1</v>
      </c>
    </row>
    <row r="520" spans="4:34" hidden="1" x14ac:dyDescent="0.4">
      <c r="D520" t="s">
        <v>55</v>
      </c>
      <c r="E520" t="s">
        <v>37</v>
      </c>
      <c r="F520" s="9">
        <v>45909.541666666664</v>
      </c>
      <c r="G520" s="12">
        <v>6.084E-5</v>
      </c>
      <c r="H520" s="9">
        <v>45911.541666666664</v>
      </c>
      <c r="I520" s="12">
        <v>6.0309999999999997E-5</v>
      </c>
      <c r="J520" s="12">
        <v>97421047.829999998</v>
      </c>
      <c r="K520" s="12">
        <v>5927.1</v>
      </c>
      <c r="L520">
        <v>8.85</v>
      </c>
      <c r="M520">
        <v>-60.49</v>
      </c>
      <c r="N520" s="13">
        <v>-1.0200000000000001E-2</v>
      </c>
      <c r="O520" t="s">
        <v>38</v>
      </c>
      <c r="Q520">
        <f t="shared" si="126"/>
        <v>-51.633155349900328</v>
      </c>
      <c r="R520">
        <f t="shared" si="127"/>
        <v>-60.483155349900329</v>
      </c>
      <c r="S520">
        <f t="shared" si="128"/>
        <v>5875.4633946272997</v>
      </c>
      <c r="U520">
        <f t="shared" si="115"/>
        <v>27120315.581854001</v>
      </c>
      <c r="V520">
        <f t="shared" si="129"/>
        <v>1649.9999999999975</v>
      </c>
      <c r="W520">
        <f t="shared" si="116"/>
        <v>-14.373767258382712</v>
      </c>
      <c r="X520">
        <f t="shared" si="117"/>
        <v>3.2856262327416119</v>
      </c>
      <c r="Y520">
        <f t="shared" si="118"/>
        <v>-17.659393491124323</v>
      </c>
      <c r="Z520">
        <f t="shared" si="119"/>
        <v>36694.349900781388</v>
      </c>
      <c r="AB520">
        <f t="shared" si="120"/>
        <v>90270634.831039995</v>
      </c>
      <c r="AC520">
        <f t="shared" si="121"/>
        <v>5492.0654231204735</v>
      </c>
      <c r="AD520">
        <f t="shared" si="122"/>
        <v>-47.843436460451507</v>
      </c>
      <c r="AE520">
        <f t="shared" si="123"/>
        <v>10.936287409780496</v>
      </c>
      <c r="AF520">
        <f t="shared" si="124"/>
        <v>-58.779723870232004</v>
      </c>
      <c r="AG520">
        <f t="shared" si="130"/>
        <v>54861.874507334214</v>
      </c>
      <c r="AH520" t="b">
        <f t="shared" si="125"/>
        <v>1</v>
      </c>
    </row>
    <row r="521" spans="4:34" hidden="1" x14ac:dyDescent="0.4">
      <c r="D521" t="s">
        <v>56</v>
      </c>
      <c r="E521" t="s">
        <v>37</v>
      </c>
      <c r="F521" s="9">
        <v>45908.166666666664</v>
      </c>
      <c r="G521" s="12">
        <v>4309.1899999999996</v>
      </c>
      <c r="H521" s="9">
        <v>45910.666666666664</v>
      </c>
      <c r="I521" s="12">
        <v>4402.6400000000003</v>
      </c>
      <c r="J521">
        <v>1.3255999999999999</v>
      </c>
      <c r="K521" s="12">
        <v>5712.59</v>
      </c>
      <c r="L521">
        <v>8.66</v>
      </c>
      <c r="M521">
        <v>115.22</v>
      </c>
      <c r="N521" s="13">
        <v>2.0199999999999999E-2</v>
      </c>
      <c r="O521" t="s">
        <v>57</v>
      </c>
      <c r="Q521">
        <f t="shared" si="126"/>
        <v>123.87732000000095</v>
      </c>
      <c r="R521">
        <f t="shared" si="127"/>
        <v>115.21732000000095</v>
      </c>
      <c r="S521">
        <f t="shared" si="128"/>
        <v>5836.1395839999996</v>
      </c>
      <c r="U521">
        <f t="shared" si="115"/>
        <v>0.38290299999999999</v>
      </c>
      <c r="V521">
        <f t="shared" si="129"/>
        <v>1650.0017785699997</v>
      </c>
      <c r="W521">
        <f t="shared" si="116"/>
        <v>35.782285350000279</v>
      </c>
      <c r="X521">
        <f t="shared" si="117"/>
        <v>3.3357858424900004</v>
      </c>
      <c r="Y521">
        <f t="shared" si="118"/>
        <v>32.446499507510282</v>
      </c>
      <c r="Z521">
        <f t="shared" si="119"/>
        <v>36712.00929427251</v>
      </c>
      <c r="AB521">
        <f t="shared" si="120"/>
        <v>1.2719990000000001</v>
      </c>
      <c r="AC521">
        <f t="shared" si="121"/>
        <v>5481.2853708100001</v>
      </c>
      <c r="AD521">
        <f t="shared" si="122"/>
        <v>118.86830655000094</v>
      </c>
      <c r="AE521">
        <f t="shared" si="123"/>
        <v>11.081439048170003</v>
      </c>
      <c r="AF521">
        <f t="shared" si="124"/>
        <v>107.78686750183094</v>
      </c>
      <c r="AG521">
        <f t="shared" si="130"/>
        <v>54920.654231204448</v>
      </c>
      <c r="AH521" t="b">
        <f t="shared" si="125"/>
        <v>1</v>
      </c>
    </row>
    <row r="522" spans="4:34" hidden="1" x14ac:dyDescent="0.4">
      <c r="D522" t="s">
        <v>60</v>
      </c>
      <c r="E522" t="s">
        <v>37</v>
      </c>
      <c r="F522" s="9">
        <v>45907.916666666664</v>
      </c>
      <c r="G522">
        <v>2.8803000000000001</v>
      </c>
      <c r="H522" s="9">
        <v>45910.416666666664</v>
      </c>
      <c r="I522">
        <v>2.9698000000000002</v>
      </c>
      <c r="J522">
        <v>787.7</v>
      </c>
      <c r="K522" s="12">
        <v>2268.87</v>
      </c>
      <c r="L522">
        <v>3.46</v>
      </c>
      <c r="M522">
        <v>67.040000000000006</v>
      </c>
      <c r="N522" s="13">
        <v>2.9499999999999998E-2</v>
      </c>
      <c r="O522" t="s">
        <v>57</v>
      </c>
      <c r="Q522">
        <f t="shared" si="126"/>
        <v>70.499150000000114</v>
      </c>
      <c r="R522">
        <f t="shared" si="127"/>
        <v>67.03915000000012</v>
      </c>
      <c r="S522">
        <f t="shared" si="128"/>
        <v>2339.3114600000004</v>
      </c>
      <c r="U522">
        <f t="shared" si="115"/>
        <v>572.85699399999999</v>
      </c>
      <c r="V522">
        <f t="shared" si="129"/>
        <v>1649.9999998182</v>
      </c>
      <c r="W522">
        <f t="shared" si="116"/>
        <v>51.270700963000074</v>
      </c>
      <c r="X522">
        <f t="shared" si="117"/>
        <v>3.3512707005994002</v>
      </c>
      <c r="Y522">
        <f t="shared" si="118"/>
        <v>47.919430262400674</v>
      </c>
      <c r="Z522">
        <f t="shared" si="119"/>
        <v>36679.562794764999</v>
      </c>
      <c r="AB522">
        <f t="shared" si="120"/>
        <v>1897.5155500000001</v>
      </c>
      <c r="AC522">
        <f t="shared" si="121"/>
        <v>5465.4140386650006</v>
      </c>
      <c r="AD522">
        <f t="shared" si="122"/>
        <v>169.82764172500026</v>
      </c>
      <c r="AE522">
        <f t="shared" si="123"/>
        <v>11.100655719055002</v>
      </c>
      <c r="AF522">
        <f t="shared" si="124"/>
        <v>158.72698600594526</v>
      </c>
      <c r="AG522">
        <f t="shared" si="130"/>
        <v>54812.867363702615</v>
      </c>
      <c r="AH522" t="b">
        <f t="shared" si="125"/>
        <v>1</v>
      </c>
    </row>
    <row r="523" spans="4:34" hidden="1" x14ac:dyDescent="0.4">
      <c r="D523" t="s">
        <v>59</v>
      </c>
      <c r="E523" t="s">
        <v>37</v>
      </c>
      <c r="F523" s="9">
        <v>45907.375</v>
      </c>
      <c r="G523" s="12">
        <v>110778</v>
      </c>
      <c r="H523" s="9">
        <v>45909.875</v>
      </c>
      <c r="I523" s="12">
        <v>111316</v>
      </c>
      <c r="J523" s="12">
        <v>9.4740000000000005E-2</v>
      </c>
      <c r="K523" s="12">
        <v>10496.05</v>
      </c>
      <c r="L523">
        <v>15.78</v>
      </c>
      <c r="M523">
        <v>35.19</v>
      </c>
      <c r="N523" s="13">
        <v>3.3999999999999998E-3</v>
      </c>
      <c r="O523" t="s">
        <v>57</v>
      </c>
      <c r="Q523">
        <f t="shared" si="126"/>
        <v>50.970120000000001</v>
      </c>
      <c r="R523">
        <f t="shared" si="127"/>
        <v>35.19012</v>
      </c>
      <c r="S523">
        <f t="shared" si="128"/>
        <v>10546.07784</v>
      </c>
      <c r="U523">
        <f t="shared" si="115"/>
        <v>1.4895E-2</v>
      </c>
      <c r="V523">
        <f t="shared" si="129"/>
        <v>1650.0383100000001</v>
      </c>
      <c r="W523">
        <f t="shared" si="116"/>
        <v>8.0135100000000001</v>
      </c>
      <c r="X523">
        <f t="shared" si="117"/>
        <v>3.3080901300000001</v>
      </c>
      <c r="Y523">
        <f t="shared" si="118"/>
        <v>4.7054198700000001</v>
      </c>
      <c r="Z523">
        <f t="shared" si="119"/>
        <v>36631.643364502597</v>
      </c>
      <c r="AB523">
        <f t="shared" si="120"/>
        <v>4.9322999999999999E-2</v>
      </c>
      <c r="AC523">
        <f t="shared" si="121"/>
        <v>5463.9032939999997</v>
      </c>
      <c r="AD523">
        <f t="shared" si="122"/>
        <v>26.535774</v>
      </c>
      <c r="AE523">
        <f t="shared" si="123"/>
        <v>10.954342362</v>
      </c>
      <c r="AF523">
        <f t="shared" si="124"/>
        <v>15.581431638</v>
      </c>
      <c r="AG523">
        <f t="shared" si="130"/>
        <v>54654.140377696669</v>
      </c>
      <c r="AH523" t="b">
        <f t="shared" si="125"/>
        <v>1</v>
      </c>
    </row>
    <row r="524" spans="4:34" hidden="1" x14ac:dyDescent="0.4">
      <c r="D524" t="s">
        <v>48</v>
      </c>
      <c r="E524" t="s">
        <v>37</v>
      </c>
      <c r="F524" s="9">
        <v>45907.625</v>
      </c>
      <c r="G524">
        <v>0.1139</v>
      </c>
      <c r="H524" s="9">
        <v>45909.625</v>
      </c>
      <c r="I524">
        <v>0.1229</v>
      </c>
      <c r="J524" s="12">
        <v>27115.599999999999</v>
      </c>
      <c r="K524" s="12">
        <v>3088.47</v>
      </c>
      <c r="L524">
        <v>4.82</v>
      </c>
      <c r="M524">
        <v>239.22</v>
      </c>
      <c r="N524" s="13">
        <v>7.7499999999999999E-2</v>
      </c>
      <c r="O524" t="s">
        <v>38</v>
      </c>
      <c r="Q524">
        <f t="shared" si="126"/>
        <v>244.04039999999983</v>
      </c>
      <c r="R524">
        <f t="shared" si="127"/>
        <v>239.22039999999984</v>
      </c>
      <c r="S524">
        <f t="shared" si="128"/>
        <v>3332.5072399999999</v>
      </c>
      <c r="U524">
        <f t="shared" si="115"/>
        <v>14486.391572</v>
      </c>
      <c r="V524">
        <f t="shared" si="129"/>
        <v>1650.0000000508001</v>
      </c>
      <c r="W524">
        <f t="shared" si="116"/>
        <v>130.37752414799991</v>
      </c>
      <c r="X524">
        <f t="shared" si="117"/>
        <v>3.4303775242496002</v>
      </c>
      <c r="Y524">
        <f t="shared" si="118"/>
        <v>126.94714662375031</v>
      </c>
      <c r="Z524">
        <f t="shared" si="119"/>
        <v>36626.937944632598</v>
      </c>
      <c r="AB524">
        <f t="shared" si="120"/>
        <v>47604.382983000003</v>
      </c>
      <c r="AC524">
        <f t="shared" si="121"/>
        <v>5422.1392217637003</v>
      </c>
      <c r="AD524">
        <f t="shared" si="122"/>
        <v>428.43944684699977</v>
      </c>
      <c r="AE524">
        <f t="shared" si="123"/>
        <v>11.272717890374402</v>
      </c>
      <c r="AF524">
        <f t="shared" si="124"/>
        <v>417.16672895662538</v>
      </c>
      <c r="AG524">
        <f t="shared" si="130"/>
        <v>54638.558946058671</v>
      </c>
      <c r="AH524" t="b">
        <f t="shared" si="125"/>
        <v>1</v>
      </c>
    </row>
    <row r="525" spans="4:34" hidden="1" x14ac:dyDescent="0.4">
      <c r="D525" t="s">
        <v>58</v>
      </c>
      <c r="E525" t="s">
        <v>37</v>
      </c>
      <c r="F525" s="9">
        <v>45907.625</v>
      </c>
      <c r="G525">
        <v>22.34</v>
      </c>
      <c r="H525" s="9">
        <v>45909.625</v>
      </c>
      <c r="I525">
        <v>23.6</v>
      </c>
      <c r="J525">
        <v>333.12</v>
      </c>
      <c r="K525" s="12">
        <v>7441.98</v>
      </c>
      <c r="L525">
        <v>11.48</v>
      </c>
      <c r="M525">
        <v>408.25</v>
      </c>
      <c r="N525" s="13">
        <v>5.4899999999999997E-2</v>
      </c>
      <c r="O525" t="s">
        <v>38</v>
      </c>
      <c r="Q525">
        <f t="shared" si="126"/>
        <v>419.73120000000051</v>
      </c>
      <c r="R525">
        <f t="shared" si="127"/>
        <v>408.25120000000049</v>
      </c>
      <c r="S525">
        <f t="shared" si="128"/>
        <v>7861.6320000000005</v>
      </c>
      <c r="U525">
        <f t="shared" ref="U525:U588" si="131">ROUND(($Q$2)/G525,6)</f>
        <v>73.858549999999994</v>
      </c>
      <c r="V525">
        <f t="shared" si="129"/>
        <v>1650.0000069999999</v>
      </c>
      <c r="W525">
        <f t="shared" ref="W525:W588" si="132">U525*(I525-G525)</f>
        <v>93.061773000000102</v>
      </c>
      <c r="X525">
        <f t="shared" ref="X525:X588" si="133">(G525+I525)*$R$2*U525</f>
        <v>3.3930617869999997</v>
      </c>
      <c r="Y525">
        <f t="shared" ref="Y525:Y588" si="134">W525-X525</f>
        <v>89.668711213000108</v>
      </c>
      <c r="Z525">
        <f t="shared" ref="Z525:Z588" si="135">Z526+Y525</f>
        <v>36499.990798008846</v>
      </c>
      <c r="AB525">
        <f t="shared" ref="AB525:AB588" si="136">ROUND(((AH525*AG526 +(1-AH525)*AI525)/$P$2)/G525,6)</f>
        <v>241.398033</v>
      </c>
      <c r="AC525">
        <f t="shared" ref="AC525:AC588" si="137">AB525*G525</f>
        <v>5392.83205722</v>
      </c>
      <c r="AD525">
        <f t="shared" ref="AD525:AD588" si="138">AB525*(I525-G525)</f>
        <v>304.1615215800004</v>
      </c>
      <c r="AE525">
        <f t="shared" ref="AE525:AE588" si="139">(G525+I525)*$R$2*AB525</f>
        <v>11.08982563602</v>
      </c>
      <c r="AF525">
        <f t="shared" ref="AF525:AF588" si="140">AD525-AE525</f>
        <v>293.07169594398039</v>
      </c>
      <c r="AG525">
        <f t="shared" si="130"/>
        <v>54221.392217102046</v>
      </c>
      <c r="AH525" t="b">
        <f t="shared" ref="AH525:AH588" si="141">ISBLANK(AI525)</f>
        <v>1</v>
      </c>
    </row>
    <row r="526" spans="4:34" hidden="1" x14ac:dyDescent="0.4">
      <c r="D526" t="s">
        <v>53</v>
      </c>
      <c r="E526" t="s">
        <v>37</v>
      </c>
      <c r="F526" s="9">
        <v>45907.625</v>
      </c>
      <c r="G526" s="12">
        <v>872.75</v>
      </c>
      <c r="H526" s="9">
        <v>45909.625</v>
      </c>
      <c r="I526" s="12">
        <v>880.19</v>
      </c>
      <c r="J526">
        <v>10.961</v>
      </c>
      <c r="K526" s="12">
        <v>9566.9500000000007</v>
      </c>
      <c r="L526">
        <v>14.41</v>
      </c>
      <c r="M526">
        <v>67.14</v>
      </c>
      <c r="N526" s="13">
        <v>7.0000000000000001E-3</v>
      </c>
      <c r="O526" t="s">
        <v>38</v>
      </c>
      <c r="Q526">
        <f t="shared" ref="Q526:Q589" si="142">(I526-G526)*J526</f>
        <v>81.5498400000006</v>
      </c>
      <c r="R526">
        <f t="shared" ref="R526:R589" si="143">Q526-L526</f>
        <v>67.139840000000603</v>
      </c>
      <c r="S526">
        <f t="shared" ref="S526:S589" si="144">I526*J526</f>
        <v>9647.7625900000003</v>
      </c>
      <c r="U526">
        <f t="shared" si="131"/>
        <v>1.890576</v>
      </c>
      <c r="V526">
        <f t="shared" ref="V526:V589" si="145">U526*G526</f>
        <v>1650.0002039999999</v>
      </c>
      <c r="W526">
        <f t="shared" si="132"/>
        <v>14.065885440000104</v>
      </c>
      <c r="X526">
        <f t="shared" si="133"/>
        <v>3.3140662934400003</v>
      </c>
      <c r="Y526">
        <f t="shared" si="134"/>
        <v>10.751819146560104</v>
      </c>
      <c r="Z526">
        <f t="shared" si="135"/>
        <v>36410.322086795844</v>
      </c>
      <c r="AB526">
        <f t="shared" si="136"/>
        <v>6.1751019999999999</v>
      </c>
      <c r="AC526">
        <f t="shared" si="137"/>
        <v>5389.3202705000003</v>
      </c>
      <c r="AD526">
        <f t="shared" si="138"/>
        <v>45.942758880000333</v>
      </c>
      <c r="AE526">
        <f t="shared" si="139"/>
        <v>10.82458329988</v>
      </c>
      <c r="AF526">
        <f t="shared" si="140"/>
        <v>35.118175580120337</v>
      </c>
      <c r="AG526">
        <f t="shared" si="130"/>
        <v>53928.320521158064</v>
      </c>
      <c r="AH526" t="b">
        <f t="shared" si="141"/>
        <v>1</v>
      </c>
    </row>
    <row r="527" spans="4:34" hidden="1" x14ac:dyDescent="0.4">
      <c r="D527" t="s">
        <v>43</v>
      </c>
      <c r="E527" t="s">
        <v>37</v>
      </c>
      <c r="F527" s="9">
        <v>45907.416666666664</v>
      </c>
      <c r="G527" s="12">
        <v>3.3883000000000001</v>
      </c>
      <c r="H527" s="9">
        <v>45909.416666666664</v>
      </c>
      <c r="I527" s="12">
        <v>3.5994000000000002</v>
      </c>
      <c r="J527">
        <v>560.29999999999995</v>
      </c>
      <c r="K527" s="12">
        <v>1898.61</v>
      </c>
      <c r="L527">
        <v>2.94</v>
      </c>
      <c r="M527">
        <v>115.34</v>
      </c>
      <c r="N527" s="13">
        <v>6.08E-2</v>
      </c>
      <c r="O527" t="s">
        <v>38</v>
      </c>
      <c r="Q527">
        <f t="shared" si="142"/>
        <v>118.27933000000003</v>
      </c>
      <c r="R527">
        <f t="shared" si="143"/>
        <v>115.33933000000003</v>
      </c>
      <c r="S527">
        <f t="shared" si="144"/>
        <v>2016.7438199999999</v>
      </c>
      <c r="U527">
        <f t="shared" si="131"/>
        <v>486.96986700000002</v>
      </c>
      <c r="V527">
        <f t="shared" si="145"/>
        <v>1650.0000003561001</v>
      </c>
      <c r="W527">
        <f t="shared" si="132"/>
        <v>102.79933892370003</v>
      </c>
      <c r="X527">
        <f t="shared" si="133"/>
        <v>3.4027993396359002</v>
      </c>
      <c r="Y527">
        <f t="shared" si="134"/>
        <v>99.396539584064129</v>
      </c>
      <c r="Z527">
        <f t="shared" si="135"/>
        <v>36399.570267649287</v>
      </c>
      <c r="AB527">
        <f t="shared" si="136"/>
        <v>1581.0433539999999</v>
      </c>
      <c r="AC527">
        <f t="shared" si="137"/>
        <v>5357.0491963581999</v>
      </c>
      <c r="AD527">
        <f t="shared" si="138"/>
        <v>333.75825202940007</v>
      </c>
      <c r="AE527">
        <f t="shared" si="139"/>
        <v>11.047856644745799</v>
      </c>
      <c r="AF527">
        <f t="shared" si="140"/>
        <v>322.71039538465425</v>
      </c>
      <c r="AG527">
        <f t="shared" si="130"/>
        <v>53893.202345577942</v>
      </c>
      <c r="AH527" t="b">
        <f t="shared" si="141"/>
        <v>1</v>
      </c>
    </row>
    <row r="528" spans="4:34" hidden="1" x14ac:dyDescent="0.4">
      <c r="D528" t="s">
        <v>52</v>
      </c>
      <c r="E528" t="s">
        <v>37</v>
      </c>
      <c r="F528" s="9">
        <v>45907.416666666664</v>
      </c>
      <c r="G528" s="12">
        <v>4.8079999999999998</v>
      </c>
      <c r="H528" s="9">
        <v>45909.416666666664</v>
      </c>
      <c r="I528" s="12">
        <v>5.0069999999999997</v>
      </c>
      <c r="J528">
        <v>487.22</v>
      </c>
      <c r="K528" s="12">
        <v>2342.58</v>
      </c>
      <c r="L528">
        <v>3.59</v>
      </c>
      <c r="M528">
        <v>93.37</v>
      </c>
      <c r="N528" s="13">
        <v>3.9899999999999998E-2</v>
      </c>
      <c r="O528" t="s">
        <v>38</v>
      </c>
      <c r="Q528">
        <f t="shared" si="142"/>
        <v>96.956779999999924</v>
      </c>
      <c r="R528">
        <f t="shared" si="143"/>
        <v>93.36677999999992</v>
      </c>
      <c r="S528">
        <f t="shared" si="144"/>
        <v>2439.5105399999998</v>
      </c>
      <c r="U528">
        <f t="shared" si="131"/>
        <v>343.17803700000002</v>
      </c>
      <c r="V528">
        <f t="shared" si="145"/>
        <v>1650.000001896</v>
      </c>
      <c r="W528">
        <f t="shared" si="132"/>
        <v>68.292429362999954</v>
      </c>
      <c r="X528">
        <f t="shared" si="133"/>
        <v>3.3682924331549997</v>
      </c>
      <c r="Y528">
        <f t="shared" si="134"/>
        <v>64.924136929844948</v>
      </c>
      <c r="Z528">
        <f t="shared" si="135"/>
        <v>36300.173728065223</v>
      </c>
      <c r="AB528">
        <f t="shared" si="136"/>
        <v>1109.8279769999999</v>
      </c>
      <c r="AC528">
        <f t="shared" si="137"/>
        <v>5336.0529134159997</v>
      </c>
      <c r="AD528">
        <f t="shared" si="138"/>
        <v>220.8557674229998</v>
      </c>
      <c r="AE528">
        <f t="shared" si="139"/>
        <v>10.892961594254999</v>
      </c>
      <c r="AF528">
        <f t="shared" si="140"/>
        <v>209.96280582874482</v>
      </c>
      <c r="AG528">
        <f t="shared" si="130"/>
        <v>53570.491950193289</v>
      </c>
      <c r="AH528" t="b">
        <f t="shared" si="141"/>
        <v>1</v>
      </c>
    </row>
    <row r="529" spans="4:34" hidden="1" x14ac:dyDescent="0.4">
      <c r="D529" t="s">
        <v>55</v>
      </c>
      <c r="E529" t="s">
        <v>37</v>
      </c>
      <c r="F529" s="9">
        <v>45907.416666666664</v>
      </c>
      <c r="G529">
        <v>5.9429999999999999E-5</v>
      </c>
      <c r="H529" s="9">
        <v>45909.416666666664</v>
      </c>
      <c r="I529">
        <v>6.0869999999999998E-5</v>
      </c>
      <c r="J529" s="12">
        <v>99506401.219999999</v>
      </c>
      <c r="K529" s="12">
        <v>5913.67</v>
      </c>
      <c r="L529">
        <v>8.98</v>
      </c>
      <c r="M529">
        <v>134.31</v>
      </c>
      <c r="N529" s="13">
        <v>2.2700000000000001E-2</v>
      </c>
      <c r="O529" t="s">
        <v>38</v>
      </c>
      <c r="Q529">
        <f t="shared" si="142"/>
        <v>143.28921775679999</v>
      </c>
      <c r="R529">
        <f t="shared" si="143"/>
        <v>134.3092177568</v>
      </c>
      <c r="S529">
        <f t="shared" si="144"/>
        <v>6056.9546422613994</v>
      </c>
      <c r="U529">
        <f t="shared" si="131"/>
        <v>27763755.678950001</v>
      </c>
      <c r="V529">
        <f t="shared" si="145"/>
        <v>1649.9999999999984</v>
      </c>
      <c r="W529">
        <f t="shared" si="132"/>
        <v>39.979808177687993</v>
      </c>
      <c r="X529">
        <f t="shared" si="133"/>
        <v>3.3399798081776852</v>
      </c>
      <c r="Y529">
        <f t="shared" si="134"/>
        <v>36.639828369510305</v>
      </c>
      <c r="Z529">
        <f t="shared" si="135"/>
        <v>36235.249591135376</v>
      </c>
      <c r="AB529">
        <f t="shared" si="136"/>
        <v>89588254.291059002</v>
      </c>
      <c r="AC529">
        <f t="shared" si="137"/>
        <v>5324.2299525176368</v>
      </c>
      <c r="AD529">
        <f t="shared" si="138"/>
        <v>129.00708617912494</v>
      </c>
      <c r="AE529">
        <f t="shared" si="139"/>
        <v>10.7774669912144</v>
      </c>
      <c r="AF529">
        <f t="shared" si="140"/>
        <v>118.22961918791054</v>
      </c>
      <c r="AG529">
        <f t="shared" si="130"/>
        <v>53360.529144364547</v>
      </c>
      <c r="AH529" t="b">
        <f t="shared" si="141"/>
        <v>1</v>
      </c>
    </row>
    <row r="530" spans="4:34" hidden="1" x14ac:dyDescent="0.4">
      <c r="D530" t="s">
        <v>50</v>
      </c>
      <c r="E530" t="s">
        <v>37</v>
      </c>
      <c r="F530" s="9">
        <v>45907.416666666664</v>
      </c>
      <c r="G530">
        <v>323.7</v>
      </c>
      <c r="H530" s="9">
        <v>45909.416666666664</v>
      </c>
      <c r="I530">
        <v>346.5</v>
      </c>
      <c r="J530">
        <v>40.329500000000003</v>
      </c>
      <c r="K530" s="12">
        <v>13054.67</v>
      </c>
      <c r="L530">
        <v>20.27</v>
      </c>
      <c r="M530">
        <v>899.24</v>
      </c>
      <c r="N530" s="13">
        <v>6.8900000000000003E-2</v>
      </c>
      <c r="O530" t="s">
        <v>38</v>
      </c>
      <c r="Q530">
        <f t="shared" si="142"/>
        <v>919.51260000000048</v>
      </c>
      <c r="R530">
        <f t="shared" si="143"/>
        <v>899.24260000000049</v>
      </c>
      <c r="S530">
        <f t="shared" si="144"/>
        <v>13974.171750000001</v>
      </c>
      <c r="U530">
        <f t="shared" si="131"/>
        <v>5.0973119999999996</v>
      </c>
      <c r="V530">
        <f t="shared" si="145"/>
        <v>1649.9998943999999</v>
      </c>
      <c r="W530">
        <f t="shared" si="132"/>
        <v>116.21871360000004</v>
      </c>
      <c r="X530">
        <f t="shared" si="133"/>
        <v>3.4162185024</v>
      </c>
      <c r="Y530">
        <f t="shared" si="134"/>
        <v>112.80249509760004</v>
      </c>
      <c r="Z530">
        <f t="shared" si="135"/>
        <v>36198.609762765867</v>
      </c>
      <c r="AB530">
        <f t="shared" si="136"/>
        <v>16.336354</v>
      </c>
      <c r="AC530">
        <f t="shared" si="137"/>
        <v>5288.0777897999997</v>
      </c>
      <c r="AD530">
        <f t="shared" si="138"/>
        <v>372.46887120000019</v>
      </c>
      <c r="AE530">
        <f t="shared" si="139"/>
        <v>10.948624450800001</v>
      </c>
      <c r="AF530">
        <f t="shared" si="140"/>
        <v>361.52024674920017</v>
      </c>
      <c r="AG530">
        <f t="shared" si="130"/>
        <v>53242.299525176633</v>
      </c>
      <c r="AH530" t="b">
        <f t="shared" si="141"/>
        <v>1</v>
      </c>
    </row>
    <row r="531" spans="4:34" hidden="1" x14ac:dyDescent="0.4">
      <c r="D531" t="s">
        <v>54</v>
      </c>
      <c r="E531" t="s">
        <v>37</v>
      </c>
      <c r="F531" s="9">
        <v>45907.375</v>
      </c>
      <c r="G531">
        <v>203.02</v>
      </c>
      <c r="H531" s="9">
        <v>45909.375</v>
      </c>
      <c r="I531">
        <v>219.26</v>
      </c>
      <c r="J531">
        <v>24.361000000000001</v>
      </c>
      <c r="K531" s="12">
        <v>4945.8999999999996</v>
      </c>
      <c r="L531">
        <v>7.72</v>
      </c>
      <c r="M531" s="12">
        <v>387.91</v>
      </c>
      <c r="N531" s="13">
        <v>7.8399999999999997E-2</v>
      </c>
      <c r="O531" t="s">
        <v>38</v>
      </c>
      <c r="Q531">
        <f t="shared" si="142"/>
        <v>395.62263999999954</v>
      </c>
      <c r="R531">
        <f t="shared" si="143"/>
        <v>387.90263999999951</v>
      </c>
      <c r="S531">
        <f t="shared" si="144"/>
        <v>5341.3928599999999</v>
      </c>
      <c r="U531">
        <f t="shared" si="131"/>
        <v>8.1272780000000004</v>
      </c>
      <c r="V531">
        <f t="shared" si="145"/>
        <v>1649.9999795600002</v>
      </c>
      <c r="W531">
        <f t="shared" si="132"/>
        <v>131.98699471999984</v>
      </c>
      <c r="X531">
        <f t="shared" si="133"/>
        <v>3.4319869538400001</v>
      </c>
      <c r="Y531">
        <f t="shared" si="134"/>
        <v>128.55500776615983</v>
      </c>
      <c r="Z531">
        <f t="shared" si="135"/>
        <v>36085.807267668264</v>
      </c>
      <c r="AB531">
        <f t="shared" si="136"/>
        <v>25.845708999999999</v>
      </c>
      <c r="AC531">
        <f t="shared" si="137"/>
        <v>5247.1958411800006</v>
      </c>
      <c r="AD531">
        <f t="shared" si="138"/>
        <v>419.73431415999949</v>
      </c>
      <c r="AE531">
        <f t="shared" si="139"/>
        <v>10.914125996519999</v>
      </c>
      <c r="AF531">
        <f t="shared" si="140"/>
        <v>408.82018816347949</v>
      </c>
      <c r="AG531">
        <f t="shared" si="130"/>
        <v>52880.779278427435</v>
      </c>
      <c r="AH531" t="b">
        <f t="shared" si="141"/>
        <v>1</v>
      </c>
    </row>
    <row r="532" spans="4:34" hidden="1" x14ac:dyDescent="0.4">
      <c r="D532" t="s">
        <v>61</v>
      </c>
      <c r="E532" t="s">
        <v>37</v>
      </c>
      <c r="F532" s="9">
        <v>45907.375</v>
      </c>
      <c r="G532">
        <v>0.82650000000000001</v>
      </c>
      <c r="H532" s="9">
        <v>45909.375</v>
      </c>
      <c r="I532">
        <v>0.88870000000000005</v>
      </c>
      <c r="J532" s="12">
        <v>10217.6</v>
      </c>
      <c r="K532" s="12">
        <v>8444.8799999999992</v>
      </c>
      <c r="L532">
        <v>13.14</v>
      </c>
      <c r="M532">
        <v>622.39</v>
      </c>
      <c r="N532" s="13">
        <v>7.3700000000000002E-2</v>
      </c>
      <c r="O532" t="s">
        <v>38</v>
      </c>
      <c r="Q532">
        <f t="shared" si="142"/>
        <v>635.53472000000033</v>
      </c>
      <c r="R532">
        <f t="shared" si="143"/>
        <v>622.39472000000035</v>
      </c>
      <c r="S532">
        <f t="shared" si="144"/>
        <v>9080.38112</v>
      </c>
      <c r="U532">
        <f t="shared" si="131"/>
        <v>1996.370236</v>
      </c>
      <c r="V532">
        <f t="shared" si="145"/>
        <v>1650.0000000540001</v>
      </c>
      <c r="W532">
        <f t="shared" si="132"/>
        <v>124.17422867920007</v>
      </c>
      <c r="X532">
        <f t="shared" si="133"/>
        <v>3.4241742287872001</v>
      </c>
      <c r="Y532">
        <f t="shared" si="134"/>
        <v>120.75005445041288</v>
      </c>
      <c r="Z532">
        <f t="shared" si="135"/>
        <v>35957.252259902103</v>
      </c>
      <c r="AB532">
        <f t="shared" si="136"/>
        <v>6302.571003</v>
      </c>
      <c r="AC532">
        <f t="shared" si="137"/>
        <v>5209.0749339795002</v>
      </c>
      <c r="AD532">
        <f t="shared" si="138"/>
        <v>392.01991638660019</v>
      </c>
      <c r="AE532">
        <f t="shared" si="139"/>
        <v>10.8101697843456</v>
      </c>
      <c r="AF532">
        <f t="shared" si="140"/>
        <v>381.2097466022546</v>
      </c>
      <c r="AG532">
        <f t="shared" si="130"/>
        <v>52471.959090263954</v>
      </c>
      <c r="AH532" t="b">
        <f t="shared" si="141"/>
        <v>1</v>
      </c>
    </row>
    <row r="533" spans="4:34" hidden="1" x14ac:dyDescent="0.4">
      <c r="D533" t="s">
        <v>60</v>
      </c>
      <c r="E533" t="s">
        <v>37</v>
      </c>
      <c r="F533" s="9">
        <v>45905.125</v>
      </c>
      <c r="G533">
        <v>2.8050000000000002</v>
      </c>
      <c r="H533" s="9">
        <v>45907.625</v>
      </c>
      <c r="I533">
        <v>2.8489</v>
      </c>
      <c r="J533">
        <v>807.7</v>
      </c>
      <c r="K533" s="12">
        <v>2265.67</v>
      </c>
      <c r="L533">
        <v>3.42</v>
      </c>
      <c r="M533">
        <v>32.03</v>
      </c>
      <c r="N533" s="13">
        <v>1.41E-2</v>
      </c>
      <c r="O533" t="s">
        <v>57</v>
      </c>
      <c r="Q533">
        <f t="shared" si="142"/>
        <v>35.458029999999866</v>
      </c>
      <c r="R533">
        <f t="shared" si="143"/>
        <v>32.038029999999864</v>
      </c>
      <c r="S533">
        <f t="shared" si="144"/>
        <v>2301.0565300000003</v>
      </c>
      <c r="U533">
        <f t="shared" si="131"/>
        <v>588.23529399999995</v>
      </c>
      <c r="V533">
        <f t="shared" si="145"/>
        <v>1649.9999996699999</v>
      </c>
      <c r="W533">
        <f t="shared" si="132"/>
        <v>25.823529406599896</v>
      </c>
      <c r="X533">
        <f t="shared" si="133"/>
        <v>3.3258235287465996</v>
      </c>
      <c r="Y533">
        <f t="shared" si="134"/>
        <v>22.497705877853296</v>
      </c>
      <c r="Z533">
        <f t="shared" si="135"/>
        <v>35836.502205451688</v>
      </c>
      <c r="AB533">
        <f t="shared" si="136"/>
        <v>1854.5390540000001</v>
      </c>
      <c r="AC533">
        <f t="shared" si="137"/>
        <v>5201.9820464700006</v>
      </c>
      <c r="AD533">
        <f t="shared" si="138"/>
        <v>81.41426447059969</v>
      </c>
      <c r="AE533">
        <f t="shared" si="139"/>
        <v>10.4853783574106</v>
      </c>
      <c r="AF533">
        <f t="shared" si="140"/>
        <v>70.928886113189094</v>
      </c>
      <c r="AG533">
        <f t="shared" si="130"/>
        <v>52090.749343661701</v>
      </c>
      <c r="AH533" t="b">
        <f t="shared" si="141"/>
        <v>1</v>
      </c>
    </row>
    <row r="534" spans="4:34" hidden="1" x14ac:dyDescent="0.4">
      <c r="D534" t="s">
        <v>43</v>
      </c>
      <c r="E534" t="s">
        <v>37</v>
      </c>
      <c r="F534" s="9">
        <v>45905.125</v>
      </c>
      <c r="G534">
        <v>3.3027000000000002</v>
      </c>
      <c r="H534" s="9">
        <v>45907.125</v>
      </c>
      <c r="I534">
        <v>3.3704000000000001</v>
      </c>
      <c r="J534" s="12">
        <v>573.70000000000005</v>
      </c>
      <c r="K534" s="12">
        <v>1895.02</v>
      </c>
      <c r="L534">
        <v>2.87</v>
      </c>
      <c r="M534">
        <v>35.97</v>
      </c>
      <c r="N534" s="13">
        <v>1.9E-2</v>
      </c>
      <c r="O534" t="s">
        <v>38</v>
      </c>
      <c r="Q534">
        <f t="shared" si="142"/>
        <v>38.839489999999927</v>
      </c>
      <c r="R534">
        <f t="shared" si="143"/>
        <v>35.969489999999929</v>
      </c>
      <c r="S534">
        <f t="shared" si="144"/>
        <v>1933.5984800000001</v>
      </c>
      <c r="U534">
        <f t="shared" si="131"/>
        <v>499.59124400000002</v>
      </c>
      <c r="V534">
        <f t="shared" si="145"/>
        <v>1650.0000015588002</v>
      </c>
      <c r="W534">
        <f t="shared" si="132"/>
        <v>33.822327218799934</v>
      </c>
      <c r="X534">
        <f t="shared" si="133"/>
        <v>3.3338223303364001</v>
      </c>
      <c r="Y534">
        <f t="shared" si="134"/>
        <v>30.488504888463535</v>
      </c>
      <c r="Z534">
        <f t="shared" si="135"/>
        <v>35814.004499573835</v>
      </c>
      <c r="AB534">
        <f t="shared" si="136"/>
        <v>1572.1644759999999</v>
      </c>
      <c r="AC534">
        <f t="shared" si="137"/>
        <v>5192.3876148852005</v>
      </c>
      <c r="AD534">
        <f t="shared" si="138"/>
        <v>106.4355350251998</v>
      </c>
      <c r="AE534">
        <f t="shared" si="139"/>
        <v>10.491210764795598</v>
      </c>
      <c r="AF534">
        <f t="shared" si="140"/>
        <v>95.944324260404201</v>
      </c>
      <c r="AG534">
        <f t="shared" si="130"/>
        <v>52019.820457548514</v>
      </c>
      <c r="AH534" t="b">
        <f t="shared" si="141"/>
        <v>1</v>
      </c>
    </row>
    <row r="535" spans="4:34" hidden="1" x14ac:dyDescent="0.4">
      <c r="D535" t="s">
        <v>52</v>
      </c>
      <c r="E535" t="s">
        <v>37</v>
      </c>
      <c r="F535" s="9">
        <v>45905.125</v>
      </c>
      <c r="G535">
        <v>4.7469999999999999</v>
      </c>
      <c r="H535" s="9">
        <v>45907.125</v>
      </c>
      <c r="I535">
        <v>4.7859999999999996</v>
      </c>
      <c r="J535" s="12">
        <v>493.15</v>
      </c>
      <c r="K535" s="12">
        <v>2341.0100000000002</v>
      </c>
      <c r="L535">
        <v>3.53</v>
      </c>
      <c r="M535">
        <v>15.71</v>
      </c>
      <c r="N535" s="13">
        <v>6.7000000000000002E-3</v>
      </c>
      <c r="O535" t="s">
        <v>38</v>
      </c>
      <c r="Q535">
        <f t="shared" si="142"/>
        <v>19.232849999999853</v>
      </c>
      <c r="R535">
        <f t="shared" si="143"/>
        <v>15.702849999999854</v>
      </c>
      <c r="S535">
        <f t="shared" si="144"/>
        <v>2360.2158999999997</v>
      </c>
      <c r="U535">
        <f t="shared" si="131"/>
        <v>347.58794999999998</v>
      </c>
      <c r="V535">
        <f t="shared" si="145"/>
        <v>1649.99999865</v>
      </c>
      <c r="W535">
        <f t="shared" si="132"/>
        <v>13.555930049999896</v>
      </c>
      <c r="X535">
        <f t="shared" si="133"/>
        <v>3.3135559273499999</v>
      </c>
      <c r="Y535">
        <f t="shared" si="134"/>
        <v>10.242374122649895</v>
      </c>
      <c r="Z535">
        <f t="shared" si="135"/>
        <v>35783.515994685375</v>
      </c>
      <c r="AB535">
        <f t="shared" si="136"/>
        <v>1093.1465009999999</v>
      </c>
      <c r="AC535">
        <f t="shared" si="137"/>
        <v>5189.1664402469996</v>
      </c>
      <c r="AD535">
        <f t="shared" si="138"/>
        <v>42.632713538999674</v>
      </c>
      <c r="AE535">
        <f t="shared" si="139"/>
        <v>10.420965594032999</v>
      </c>
      <c r="AF535">
        <f t="shared" si="140"/>
        <v>32.211747944966675</v>
      </c>
      <c r="AG535">
        <f t="shared" si="130"/>
        <v>51923.876133288111</v>
      </c>
      <c r="AH535" t="b">
        <f t="shared" si="141"/>
        <v>1</v>
      </c>
    </row>
    <row r="536" spans="4:34" hidden="1" x14ac:dyDescent="0.4">
      <c r="D536" t="s">
        <v>54</v>
      </c>
      <c r="E536" t="s">
        <v>37</v>
      </c>
      <c r="F536" s="9">
        <v>45905.125</v>
      </c>
      <c r="G536">
        <v>203.5</v>
      </c>
      <c r="H536" s="9">
        <v>45907.125</v>
      </c>
      <c r="I536">
        <v>202.75</v>
      </c>
      <c r="J536">
        <v>24.315999999999999</v>
      </c>
      <c r="K536" s="12">
        <v>4948.46</v>
      </c>
      <c r="L536">
        <v>7.41</v>
      </c>
      <c r="M536">
        <v>-25.65</v>
      </c>
      <c r="N536" s="13">
        <v>-5.1999999999999998E-3</v>
      </c>
      <c r="O536" t="s">
        <v>38</v>
      </c>
      <c r="Q536">
        <f t="shared" si="142"/>
        <v>-18.236999999999998</v>
      </c>
      <c r="R536">
        <f t="shared" si="143"/>
        <v>-25.646999999999998</v>
      </c>
      <c r="S536">
        <f t="shared" si="144"/>
        <v>4930.0689999999995</v>
      </c>
      <c r="U536">
        <f t="shared" si="131"/>
        <v>8.1081079999999996</v>
      </c>
      <c r="V536">
        <f t="shared" si="145"/>
        <v>1649.9999779999998</v>
      </c>
      <c r="W536">
        <f t="shared" si="132"/>
        <v>-6.0810809999999993</v>
      </c>
      <c r="X536">
        <f t="shared" si="133"/>
        <v>3.2939188749999997</v>
      </c>
      <c r="Y536">
        <f t="shared" si="134"/>
        <v>-9.3749998749999985</v>
      </c>
      <c r="Z536">
        <f t="shared" si="135"/>
        <v>35773.273620562722</v>
      </c>
      <c r="AB536">
        <f t="shared" si="136"/>
        <v>25.514085999999999</v>
      </c>
      <c r="AC536">
        <f t="shared" si="137"/>
        <v>5192.1165009999995</v>
      </c>
      <c r="AD536">
        <f t="shared" si="138"/>
        <v>-19.135564500000001</v>
      </c>
      <c r="AE536">
        <f t="shared" si="139"/>
        <v>10.365097437499999</v>
      </c>
      <c r="AF536">
        <f t="shared" si="140"/>
        <v>-29.500661937499999</v>
      </c>
      <c r="AG536">
        <f t="shared" si="130"/>
        <v>51891.664385343145</v>
      </c>
      <c r="AH536" t="b">
        <f t="shared" si="141"/>
        <v>1</v>
      </c>
    </row>
    <row r="537" spans="4:34" hidden="1" x14ac:dyDescent="0.4">
      <c r="D537" t="s">
        <v>61</v>
      </c>
      <c r="E537" t="s">
        <v>37</v>
      </c>
      <c r="F537" s="9">
        <v>45905.125</v>
      </c>
      <c r="G537" s="12">
        <v>0.81469999999999998</v>
      </c>
      <c r="H537" s="9">
        <v>45907.125</v>
      </c>
      <c r="I537" s="12">
        <v>0.82410000000000005</v>
      </c>
      <c r="J537" s="12">
        <v>10355.200000000001</v>
      </c>
      <c r="K537" s="12">
        <v>8436.41</v>
      </c>
      <c r="L537">
        <v>12.73</v>
      </c>
      <c r="M537">
        <v>84.61</v>
      </c>
      <c r="N537" s="13">
        <v>0.01</v>
      </c>
      <c r="O537" t="s">
        <v>38</v>
      </c>
      <c r="Q537">
        <f t="shared" si="142"/>
        <v>97.338880000000785</v>
      </c>
      <c r="R537">
        <f t="shared" si="143"/>
        <v>84.608880000000781</v>
      </c>
      <c r="S537">
        <f t="shared" si="144"/>
        <v>8533.7203200000004</v>
      </c>
      <c r="U537">
        <f t="shared" si="131"/>
        <v>2025.2853809999999</v>
      </c>
      <c r="V537">
        <f t="shared" si="145"/>
        <v>1649.9999999006998</v>
      </c>
      <c r="W537">
        <f t="shared" si="132"/>
        <v>19.037682581400151</v>
      </c>
      <c r="X537">
        <f t="shared" si="133"/>
        <v>3.3190376823828003</v>
      </c>
      <c r="Y537">
        <f t="shared" si="134"/>
        <v>15.718644899017351</v>
      </c>
      <c r="Z537">
        <f t="shared" si="135"/>
        <v>35782.648620437722</v>
      </c>
      <c r="AB537">
        <f t="shared" si="136"/>
        <v>6366.9755340000002</v>
      </c>
      <c r="AC537">
        <f t="shared" si="137"/>
        <v>5187.1749675498004</v>
      </c>
      <c r="AD537">
        <f t="shared" si="138"/>
        <v>59.849570019600478</v>
      </c>
      <c r="AE537">
        <f t="shared" si="139"/>
        <v>10.434199505119201</v>
      </c>
      <c r="AF537">
        <f t="shared" si="140"/>
        <v>49.415370514481275</v>
      </c>
      <c r="AG537">
        <f t="shared" si="130"/>
        <v>51921.165047280643</v>
      </c>
      <c r="AH537" t="b">
        <f t="shared" si="141"/>
        <v>1</v>
      </c>
    </row>
    <row r="538" spans="4:34" hidden="1" x14ac:dyDescent="0.4">
      <c r="D538" t="s">
        <v>53</v>
      </c>
      <c r="E538" t="s">
        <v>37</v>
      </c>
      <c r="F538" s="9">
        <v>45905.125</v>
      </c>
      <c r="G538">
        <v>846.72</v>
      </c>
      <c r="H538" s="9">
        <v>45907.125</v>
      </c>
      <c r="I538">
        <v>862.28</v>
      </c>
      <c r="J538">
        <v>11.279</v>
      </c>
      <c r="K538" s="12">
        <v>9550.85</v>
      </c>
      <c r="L538">
        <v>14.46</v>
      </c>
      <c r="M538">
        <v>161.04</v>
      </c>
      <c r="N538" s="13">
        <v>1.6899999999999998E-2</v>
      </c>
      <c r="O538" t="s">
        <v>38</v>
      </c>
      <c r="Q538">
        <f t="shared" si="142"/>
        <v>175.50123999999937</v>
      </c>
      <c r="R538">
        <f t="shared" si="143"/>
        <v>161.04123999999936</v>
      </c>
      <c r="S538">
        <f t="shared" si="144"/>
        <v>9725.6561199999996</v>
      </c>
      <c r="U538">
        <f t="shared" si="131"/>
        <v>1.948696</v>
      </c>
      <c r="V538">
        <f t="shared" si="145"/>
        <v>1649.9998771200001</v>
      </c>
      <c r="W538">
        <f t="shared" si="132"/>
        <v>30.321709759999894</v>
      </c>
      <c r="X538">
        <f t="shared" si="133"/>
        <v>3.3303214640000003</v>
      </c>
      <c r="Y538">
        <f t="shared" si="134"/>
        <v>26.991388295999894</v>
      </c>
      <c r="Z538">
        <f t="shared" si="135"/>
        <v>35766.929975538704</v>
      </c>
      <c r="AB538">
        <f t="shared" si="136"/>
        <v>6.1161940000000001</v>
      </c>
      <c r="AC538">
        <f t="shared" si="137"/>
        <v>5178.70378368</v>
      </c>
      <c r="AD538">
        <f t="shared" si="138"/>
        <v>95.167978639999674</v>
      </c>
      <c r="AE538">
        <f t="shared" si="139"/>
        <v>10.452575546</v>
      </c>
      <c r="AF538">
        <f t="shared" si="140"/>
        <v>84.715403093999669</v>
      </c>
      <c r="AG538">
        <f t="shared" si="130"/>
        <v>51871.749676766165</v>
      </c>
      <c r="AH538" t="b">
        <f t="shared" si="141"/>
        <v>1</v>
      </c>
    </row>
    <row r="539" spans="4:34" hidden="1" x14ac:dyDescent="0.4">
      <c r="D539" t="s">
        <v>50</v>
      </c>
      <c r="E539" t="s">
        <v>37</v>
      </c>
      <c r="F539" s="9">
        <v>45905.125</v>
      </c>
      <c r="G539">
        <v>316.5</v>
      </c>
      <c r="H539" s="9">
        <v>45907.125</v>
      </c>
      <c r="I539">
        <v>320.3</v>
      </c>
      <c r="J539">
        <v>41.203699999999998</v>
      </c>
      <c r="K539" s="12">
        <v>13040.98</v>
      </c>
      <c r="L539">
        <v>19.68</v>
      </c>
      <c r="M539">
        <v>136.9</v>
      </c>
      <c r="N539" s="13">
        <v>1.0500000000000001E-2</v>
      </c>
      <c r="O539" t="s">
        <v>38</v>
      </c>
      <c r="Q539">
        <f t="shared" si="142"/>
        <v>156.57406000000046</v>
      </c>
      <c r="R539">
        <f t="shared" si="143"/>
        <v>136.89406000000045</v>
      </c>
      <c r="S539">
        <f t="shared" si="144"/>
        <v>13197.545109999999</v>
      </c>
      <c r="U539">
        <f t="shared" si="131"/>
        <v>5.2132699999999996</v>
      </c>
      <c r="V539">
        <f t="shared" si="145"/>
        <v>1649.9999549999998</v>
      </c>
      <c r="W539">
        <f t="shared" si="132"/>
        <v>19.810426000000056</v>
      </c>
      <c r="X539">
        <f t="shared" si="133"/>
        <v>3.3198103359999993</v>
      </c>
      <c r="Y539">
        <f t="shared" si="134"/>
        <v>16.490615664000057</v>
      </c>
      <c r="Z539">
        <f t="shared" si="135"/>
        <v>35739.938587242701</v>
      </c>
      <c r="AB539">
        <f t="shared" si="136"/>
        <v>16.346074999999999</v>
      </c>
      <c r="AC539">
        <f t="shared" si="137"/>
        <v>5173.5327374999997</v>
      </c>
      <c r="AD539">
        <f t="shared" si="138"/>
        <v>62.115085000000185</v>
      </c>
      <c r="AE539">
        <f t="shared" si="139"/>
        <v>10.409180559999998</v>
      </c>
      <c r="AF539">
        <f t="shared" si="140"/>
        <v>51.705904440000189</v>
      </c>
      <c r="AG539">
        <f t="shared" si="130"/>
        <v>51787.034273672165</v>
      </c>
      <c r="AH539" t="b">
        <f t="shared" si="141"/>
        <v>1</v>
      </c>
    </row>
    <row r="540" spans="4:34" hidden="1" x14ac:dyDescent="0.4">
      <c r="D540" t="s">
        <v>48</v>
      </c>
      <c r="E540" t="s">
        <v>37</v>
      </c>
      <c r="F540" s="9">
        <v>45905.083333333336</v>
      </c>
      <c r="G540">
        <v>0.11169999999999999</v>
      </c>
      <c r="H540" s="9">
        <v>45907.083333333336</v>
      </c>
      <c r="I540">
        <v>0.1128</v>
      </c>
      <c r="J540" s="12">
        <v>27626.6</v>
      </c>
      <c r="K540" s="12">
        <v>3085.9</v>
      </c>
      <c r="L540">
        <v>4.6500000000000004</v>
      </c>
      <c r="M540">
        <v>25.74</v>
      </c>
      <c r="N540" s="13">
        <v>8.3000000000000001E-3</v>
      </c>
      <c r="O540" t="s">
        <v>38</v>
      </c>
      <c r="Q540">
        <f t="shared" si="142"/>
        <v>30.389260000000103</v>
      </c>
      <c r="R540">
        <f t="shared" si="143"/>
        <v>25.739260000000101</v>
      </c>
      <c r="S540">
        <f t="shared" si="144"/>
        <v>3116.2804799999999</v>
      </c>
      <c r="U540">
        <f t="shared" si="131"/>
        <v>14771.709937</v>
      </c>
      <c r="V540">
        <f t="shared" si="145"/>
        <v>1649.9999999628999</v>
      </c>
      <c r="W540">
        <f t="shared" si="132"/>
        <v>16.248880930700054</v>
      </c>
      <c r="X540">
        <f t="shared" si="133"/>
        <v>3.3162488808564996</v>
      </c>
      <c r="Y540">
        <f t="shared" si="134"/>
        <v>12.932632049843555</v>
      </c>
      <c r="Z540">
        <f t="shared" si="135"/>
        <v>35723.447971578702</v>
      </c>
      <c r="AB540">
        <f t="shared" si="136"/>
        <v>46280.044932999997</v>
      </c>
      <c r="AC540">
        <f t="shared" si="137"/>
        <v>5169.4810190160997</v>
      </c>
      <c r="AD540">
        <f t="shared" si="138"/>
        <v>50.908049426300174</v>
      </c>
      <c r="AE540">
        <f t="shared" si="139"/>
        <v>10.389870087458499</v>
      </c>
      <c r="AF540">
        <f t="shared" si="140"/>
        <v>40.518179338841676</v>
      </c>
      <c r="AG540">
        <f t="shared" si="130"/>
        <v>51735.328369232164</v>
      </c>
      <c r="AH540" t="b">
        <f t="shared" si="141"/>
        <v>1</v>
      </c>
    </row>
    <row r="541" spans="4:34" hidden="1" x14ac:dyDescent="0.4">
      <c r="D541" t="s">
        <v>55</v>
      </c>
      <c r="E541" t="s">
        <v>37</v>
      </c>
      <c r="F541" s="9">
        <v>45905.083333333336</v>
      </c>
      <c r="G541" s="12">
        <v>5.8489999999999997E-5</v>
      </c>
      <c r="H541" s="9">
        <v>45907.083333333336</v>
      </c>
      <c r="I541" s="12">
        <v>5.9110000000000002E-5</v>
      </c>
      <c r="J541" s="12">
        <v>101013737.63</v>
      </c>
      <c r="K541" s="12">
        <v>5908.29</v>
      </c>
      <c r="L541">
        <v>8.91</v>
      </c>
      <c r="M541">
        <v>53.72</v>
      </c>
      <c r="N541" s="13">
        <v>9.1000000000000004E-3</v>
      </c>
      <c r="O541" t="s">
        <v>38</v>
      </c>
      <c r="Q541">
        <f t="shared" si="142"/>
        <v>62.628517330600424</v>
      </c>
      <c r="R541">
        <f t="shared" si="143"/>
        <v>53.71851733060042</v>
      </c>
      <c r="S541">
        <f t="shared" si="144"/>
        <v>5970.9220313093001</v>
      </c>
      <c r="U541">
        <f t="shared" si="131"/>
        <v>28209950.418875001</v>
      </c>
      <c r="V541">
        <f t="shared" si="145"/>
        <v>1649.9999999999989</v>
      </c>
      <c r="W541">
        <f t="shared" si="132"/>
        <v>17.490169259702618</v>
      </c>
      <c r="X541">
        <f t="shared" si="133"/>
        <v>3.3174901692597003</v>
      </c>
      <c r="Y541">
        <f t="shared" si="134"/>
        <v>14.172679090442918</v>
      </c>
      <c r="Z541">
        <f t="shared" si="135"/>
        <v>35710.515339528858</v>
      </c>
      <c r="AB541">
        <f t="shared" si="136"/>
        <v>88306454.141448006</v>
      </c>
      <c r="AC541">
        <f t="shared" si="137"/>
        <v>5165.0445027332935</v>
      </c>
      <c r="AD541">
        <f t="shared" si="138"/>
        <v>54.750001567698135</v>
      </c>
      <c r="AE541">
        <f t="shared" si="139"/>
        <v>10.384839007034286</v>
      </c>
      <c r="AF541">
        <f t="shared" si="140"/>
        <v>44.365162560663848</v>
      </c>
      <c r="AG541">
        <f t="shared" si="130"/>
        <v>51694.810189893324</v>
      </c>
      <c r="AH541" t="b">
        <f t="shared" si="141"/>
        <v>1</v>
      </c>
    </row>
    <row r="542" spans="4:34" hidden="1" x14ac:dyDescent="0.4">
      <c r="D542" t="s">
        <v>59</v>
      </c>
      <c r="E542" t="s">
        <v>37</v>
      </c>
      <c r="F542" s="9">
        <v>45903.791666666664</v>
      </c>
      <c r="G542" s="12">
        <v>112346.01</v>
      </c>
      <c r="H542" s="9">
        <v>45906.291666666664</v>
      </c>
      <c r="I542" s="12">
        <v>110727.99</v>
      </c>
      <c r="J542" s="12">
        <v>9.357E-2</v>
      </c>
      <c r="K542" s="12">
        <v>10512.76</v>
      </c>
      <c r="L542">
        <v>15.65</v>
      </c>
      <c r="M542">
        <v>-167.05</v>
      </c>
      <c r="N542" s="13">
        <v>-1.5900000000000001E-2</v>
      </c>
      <c r="O542" t="s">
        <v>57</v>
      </c>
      <c r="Q542">
        <f t="shared" si="142"/>
        <v>-151.39813139999902</v>
      </c>
      <c r="R542">
        <f t="shared" si="143"/>
        <v>-167.04813139999902</v>
      </c>
      <c r="S542">
        <f t="shared" si="144"/>
        <v>10360.818024300001</v>
      </c>
      <c r="U542">
        <f t="shared" si="131"/>
        <v>1.4687E-2</v>
      </c>
      <c r="V542">
        <f t="shared" si="145"/>
        <v>1650.0258488699999</v>
      </c>
      <c r="W542">
        <f t="shared" si="132"/>
        <v>-23.763859739999848</v>
      </c>
      <c r="X542">
        <f t="shared" si="133"/>
        <v>3.2762878380000005</v>
      </c>
      <c r="Y542">
        <f t="shared" si="134"/>
        <v>-27.04014757799985</v>
      </c>
      <c r="Z542">
        <f t="shared" si="135"/>
        <v>35696.342660438415</v>
      </c>
      <c r="AB542">
        <f t="shared" si="136"/>
        <v>4.6050000000000001E-2</v>
      </c>
      <c r="AC542">
        <f t="shared" si="137"/>
        <v>5173.5337604999995</v>
      </c>
      <c r="AD542">
        <f t="shared" si="138"/>
        <v>-74.509820999999519</v>
      </c>
      <c r="AE542">
        <f t="shared" si="139"/>
        <v>10.2725577</v>
      </c>
      <c r="AF542">
        <f t="shared" si="140"/>
        <v>-84.782378699999526</v>
      </c>
      <c r="AG542">
        <f t="shared" si="130"/>
        <v>51650.445027332658</v>
      </c>
      <c r="AH542" t="b">
        <f t="shared" si="141"/>
        <v>1</v>
      </c>
    </row>
    <row r="543" spans="4:34" hidden="1" x14ac:dyDescent="0.4">
      <c r="D543" t="s">
        <v>56</v>
      </c>
      <c r="E543" t="s">
        <v>37</v>
      </c>
      <c r="F543" s="9">
        <v>45903.125</v>
      </c>
      <c r="G543" s="12">
        <v>4325.6400000000003</v>
      </c>
      <c r="H543" s="9">
        <v>45905.625</v>
      </c>
      <c r="I543" s="12">
        <v>4443.78</v>
      </c>
      <c r="J543" s="12">
        <v>1.3171999999999999</v>
      </c>
      <c r="K543" s="12">
        <v>5697.9</v>
      </c>
      <c r="L543">
        <v>8.66</v>
      </c>
      <c r="M543">
        <v>146.94999999999999</v>
      </c>
      <c r="N543" s="13">
        <v>2.58E-2</v>
      </c>
      <c r="O543" t="s">
        <v>57</v>
      </c>
      <c r="Q543">
        <f t="shared" si="142"/>
        <v>155.61400799999922</v>
      </c>
      <c r="R543">
        <f t="shared" si="143"/>
        <v>146.95400799999922</v>
      </c>
      <c r="S543">
        <f t="shared" si="144"/>
        <v>5853.3470159999997</v>
      </c>
      <c r="U543">
        <f t="shared" si="131"/>
        <v>0.38144600000000001</v>
      </c>
      <c r="V543">
        <f t="shared" si="145"/>
        <v>1649.9980754400001</v>
      </c>
      <c r="W543">
        <f t="shared" si="132"/>
        <v>45.064030439999776</v>
      </c>
      <c r="X543">
        <f t="shared" si="133"/>
        <v>3.34506018132</v>
      </c>
      <c r="Y543">
        <f t="shared" si="134"/>
        <v>41.718970258679775</v>
      </c>
      <c r="Z543">
        <f t="shared" si="135"/>
        <v>35723.382808016417</v>
      </c>
      <c r="AB543">
        <f t="shared" si="136"/>
        <v>1.1929970000000001</v>
      </c>
      <c r="AC543">
        <f t="shared" si="137"/>
        <v>5160.4755430800005</v>
      </c>
      <c r="AD543">
        <f t="shared" si="138"/>
        <v>140.94066557999932</v>
      </c>
      <c r="AE543">
        <f t="shared" si="139"/>
        <v>10.461891751740001</v>
      </c>
      <c r="AF543">
        <f t="shared" si="140"/>
        <v>130.47877382825931</v>
      </c>
      <c r="AG543">
        <f t="shared" si="130"/>
        <v>51735.22740603266</v>
      </c>
      <c r="AH543" t="b">
        <f t="shared" si="141"/>
        <v>1</v>
      </c>
    </row>
    <row r="544" spans="4:34" hidden="1" x14ac:dyDescent="0.4">
      <c r="D544" t="s">
        <v>53</v>
      </c>
      <c r="E544" t="s">
        <v>37</v>
      </c>
      <c r="F544" s="9">
        <v>45903.125</v>
      </c>
      <c r="G544">
        <v>852.2</v>
      </c>
      <c r="H544" s="9">
        <v>45905.125</v>
      </c>
      <c r="I544">
        <v>846.72</v>
      </c>
      <c r="J544">
        <v>11.215999999999999</v>
      </c>
      <c r="K544" s="12">
        <v>9558.42</v>
      </c>
      <c r="L544">
        <v>14.29</v>
      </c>
      <c r="M544">
        <v>-75.75</v>
      </c>
      <c r="N544" s="13">
        <v>-7.9000000000000008E-3</v>
      </c>
      <c r="O544" t="s">
        <v>38</v>
      </c>
      <c r="Q544">
        <f t="shared" si="142"/>
        <v>-61.463680000000203</v>
      </c>
      <c r="R544">
        <f t="shared" si="143"/>
        <v>-75.753680000000202</v>
      </c>
      <c r="S544">
        <f t="shared" si="144"/>
        <v>9496.8115199999993</v>
      </c>
      <c r="U544">
        <f t="shared" si="131"/>
        <v>1.9361649999999999</v>
      </c>
      <c r="V544">
        <f t="shared" si="145"/>
        <v>1649.9998129999999</v>
      </c>
      <c r="W544">
        <f t="shared" si="132"/>
        <v>-10.610184200000035</v>
      </c>
      <c r="X544">
        <f t="shared" si="133"/>
        <v>3.2893894418</v>
      </c>
      <c r="Y544">
        <f t="shared" si="134"/>
        <v>-13.899573641800036</v>
      </c>
      <c r="Z544">
        <f t="shared" si="135"/>
        <v>35681.66383775774</v>
      </c>
      <c r="AB544">
        <f t="shared" si="136"/>
        <v>6.0605789999999997</v>
      </c>
      <c r="AC544">
        <f t="shared" si="137"/>
        <v>5164.8254238</v>
      </c>
      <c r="AD544">
        <f t="shared" si="138"/>
        <v>-33.211972920000107</v>
      </c>
      <c r="AE544">
        <f t="shared" si="139"/>
        <v>10.296438874680002</v>
      </c>
      <c r="AF544">
        <f t="shared" si="140"/>
        <v>-43.508411794680107</v>
      </c>
      <c r="AG544">
        <f t="shared" si="130"/>
        <v>51604.748632204399</v>
      </c>
      <c r="AH544" t="b">
        <f t="shared" si="141"/>
        <v>1</v>
      </c>
    </row>
    <row r="545" spans="4:34" hidden="1" x14ac:dyDescent="0.4">
      <c r="D545" t="s">
        <v>60</v>
      </c>
      <c r="E545" t="s">
        <v>37</v>
      </c>
      <c r="F545" s="9">
        <v>45902.416666666664</v>
      </c>
      <c r="G545">
        <v>2.8062999999999998</v>
      </c>
      <c r="H545" s="9">
        <v>45904.916666666664</v>
      </c>
      <c r="I545">
        <v>2.802</v>
      </c>
      <c r="J545">
        <v>807.5</v>
      </c>
      <c r="K545" s="12">
        <v>2266.36</v>
      </c>
      <c r="L545">
        <v>3.4</v>
      </c>
      <c r="M545">
        <v>-6.87</v>
      </c>
      <c r="N545" s="13">
        <v>-3.0000000000000001E-3</v>
      </c>
      <c r="O545" t="s">
        <v>57</v>
      </c>
      <c r="Q545">
        <f t="shared" si="142"/>
        <v>-3.4722499999997969</v>
      </c>
      <c r="R545">
        <f t="shared" si="143"/>
        <v>-6.8722499999997968</v>
      </c>
      <c r="S545">
        <f t="shared" si="144"/>
        <v>2262.6150000000002</v>
      </c>
      <c r="U545">
        <f t="shared" si="131"/>
        <v>587.96279800000002</v>
      </c>
      <c r="V545">
        <f t="shared" si="145"/>
        <v>1650.0000000273999</v>
      </c>
      <c r="W545">
        <f t="shared" si="132"/>
        <v>-2.5282400313998523</v>
      </c>
      <c r="X545">
        <f t="shared" si="133"/>
        <v>3.2974717600234</v>
      </c>
      <c r="Y545">
        <f t="shared" si="134"/>
        <v>-5.8257117914232524</v>
      </c>
      <c r="Z545">
        <f t="shared" si="135"/>
        <v>35695.56341139954</v>
      </c>
      <c r="AB545">
        <f t="shared" si="136"/>
        <v>1841.089659</v>
      </c>
      <c r="AC545">
        <f t="shared" si="137"/>
        <v>5166.6499100516994</v>
      </c>
      <c r="AD545">
        <f t="shared" si="138"/>
        <v>-7.9166855336995372</v>
      </c>
      <c r="AE545">
        <f t="shared" si="139"/>
        <v>10.3253831345697</v>
      </c>
      <c r="AF545">
        <f t="shared" si="140"/>
        <v>-18.242068668269237</v>
      </c>
      <c r="AG545">
        <f t="shared" si="130"/>
        <v>51648.257043999081</v>
      </c>
      <c r="AH545" t="b">
        <f t="shared" si="141"/>
        <v>1</v>
      </c>
    </row>
    <row r="546" spans="4:34" hidden="1" x14ac:dyDescent="0.4">
      <c r="D546" t="s">
        <v>48</v>
      </c>
      <c r="E546" t="s">
        <v>37</v>
      </c>
      <c r="F546" s="9">
        <v>45902.625</v>
      </c>
      <c r="G546">
        <v>0.1145</v>
      </c>
      <c r="H546" s="9">
        <v>45904.625</v>
      </c>
      <c r="I546">
        <v>0.11219999999999999</v>
      </c>
      <c r="J546" s="12">
        <v>27009.3</v>
      </c>
      <c r="K546" s="12">
        <v>3092.57</v>
      </c>
      <c r="L546">
        <v>4.59</v>
      </c>
      <c r="M546">
        <v>-66.709999999999994</v>
      </c>
      <c r="N546" s="13">
        <v>-2.1600000000000001E-2</v>
      </c>
      <c r="O546" t="s">
        <v>38</v>
      </c>
      <c r="Q546">
        <f t="shared" si="142"/>
        <v>-62.121390000000275</v>
      </c>
      <c r="R546">
        <f t="shared" si="143"/>
        <v>-66.711390000000279</v>
      </c>
      <c r="S546">
        <f t="shared" si="144"/>
        <v>3030.44346</v>
      </c>
      <c r="U546">
        <f t="shared" si="131"/>
        <v>14410.480348999999</v>
      </c>
      <c r="V546">
        <f t="shared" si="145"/>
        <v>1649.9999999605</v>
      </c>
      <c r="W546">
        <f t="shared" si="132"/>
        <v>-33.144104802700149</v>
      </c>
      <c r="X546">
        <f t="shared" si="133"/>
        <v>3.2668558951183</v>
      </c>
      <c r="Y546">
        <f t="shared" si="134"/>
        <v>-36.410960697818446</v>
      </c>
      <c r="Z546">
        <f t="shared" si="135"/>
        <v>35701.389123190966</v>
      </c>
      <c r="AB546">
        <f t="shared" si="136"/>
        <v>45223.37556</v>
      </c>
      <c r="AC546">
        <f t="shared" si="137"/>
        <v>5178.0765016200003</v>
      </c>
      <c r="AD546">
        <f t="shared" si="138"/>
        <v>-104.01376378800047</v>
      </c>
      <c r="AE546">
        <f t="shared" si="139"/>
        <v>10.252139239452001</v>
      </c>
      <c r="AF546">
        <f t="shared" si="140"/>
        <v>-114.26590302745248</v>
      </c>
      <c r="AG546">
        <f t="shared" si="130"/>
        <v>51666.499112667349</v>
      </c>
      <c r="AH546" t="b">
        <f t="shared" si="141"/>
        <v>1</v>
      </c>
    </row>
    <row r="547" spans="4:34" hidden="1" x14ac:dyDescent="0.4">
      <c r="D547" t="s">
        <v>58</v>
      </c>
      <c r="E547" t="s">
        <v>37</v>
      </c>
      <c r="F547" s="9">
        <v>45902.625</v>
      </c>
      <c r="G547">
        <v>23.4</v>
      </c>
      <c r="H547" s="9">
        <v>45904.625</v>
      </c>
      <c r="I547">
        <v>23.16</v>
      </c>
      <c r="J547">
        <v>318.39999999999998</v>
      </c>
      <c r="K547" s="12">
        <v>7450.74</v>
      </c>
      <c r="L547">
        <v>11.12</v>
      </c>
      <c r="M547">
        <v>-87.53</v>
      </c>
      <c r="N547" s="13">
        <v>-1.17E-2</v>
      </c>
      <c r="O547" t="s">
        <v>38</v>
      </c>
      <c r="Q547">
        <f t="shared" si="142"/>
        <v>-76.415999999999499</v>
      </c>
      <c r="R547">
        <f t="shared" si="143"/>
        <v>-87.535999999999504</v>
      </c>
      <c r="S547">
        <f t="shared" si="144"/>
        <v>7374.1439999999993</v>
      </c>
      <c r="U547">
        <f t="shared" si="131"/>
        <v>70.512821000000002</v>
      </c>
      <c r="V547">
        <f t="shared" si="145"/>
        <v>1650.0000113999999</v>
      </c>
      <c r="W547">
        <f t="shared" si="132"/>
        <v>-16.923077039999889</v>
      </c>
      <c r="X547">
        <f t="shared" si="133"/>
        <v>3.2830769457600004</v>
      </c>
      <c r="Y547">
        <f t="shared" si="134"/>
        <v>-20.20615398575989</v>
      </c>
      <c r="Z547">
        <f t="shared" si="135"/>
        <v>35737.800083888782</v>
      </c>
      <c r="AB547">
        <f t="shared" si="136"/>
        <v>221.55664200000001</v>
      </c>
      <c r="AC547">
        <f t="shared" si="137"/>
        <v>5184.4254228</v>
      </c>
      <c r="AD547">
        <f t="shared" si="138"/>
        <v>-53.173594079999653</v>
      </c>
      <c r="AE547">
        <f t="shared" si="139"/>
        <v>10.315677251520002</v>
      </c>
      <c r="AF547">
        <f t="shared" si="140"/>
        <v>-63.489271331519653</v>
      </c>
      <c r="AG547">
        <f t="shared" si="130"/>
        <v>51780.7650156948</v>
      </c>
      <c r="AH547" t="b">
        <f t="shared" si="141"/>
        <v>1</v>
      </c>
    </row>
    <row r="548" spans="4:34" hidden="1" x14ac:dyDescent="0.4">
      <c r="D548" t="s">
        <v>50</v>
      </c>
      <c r="E548" t="s">
        <v>37</v>
      </c>
      <c r="F548" s="9">
        <v>45902.625</v>
      </c>
      <c r="G548">
        <v>318.2</v>
      </c>
      <c r="H548" s="9">
        <v>45904.625</v>
      </c>
      <c r="I548">
        <v>317.60000000000002</v>
      </c>
      <c r="J548">
        <v>40.997399999999999</v>
      </c>
      <c r="K548" s="12">
        <v>13045.39</v>
      </c>
      <c r="L548">
        <v>19.55</v>
      </c>
      <c r="M548">
        <v>-44.15</v>
      </c>
      <c r="N548" s="13">
        <v>-3.3999999999999998E-3</v>
      </c>
      <c r="O548" t="s">
        <v>38</v>
      </c>
      <c r="Q548">
        <f t="shared" si="142"/>
        <v>-24.5984399999986</v>
      </c>
      <c r="R548">
        <f t="shared" si="143"/>
        <v>-44.148439999998601</v>
      </c>
      <c r="S548">
        <f t="shared" si="144"/>
        <v>13020.774240000001</v>
      </c>
      <c r="U548">
        <f t="shared" si="131"/>
        <v>5.1854180000000003</v>
      </c>
      <c r="V548">
        <f t="shared" si="145"/>
        <v>1650.0000076000001</v>
      </c>
      <c r="W548">
        <f t="shared" si="132"/>
        <v>-3.1112507999998233</v>
      </c>
      <c r="X548">
        <f t="shared" si="133"/>
        <v>3.2968887643999998</v>
      </c>
      <c r="Y548">
        <f t="shared" si="134"/>
        <v>-6.4081395643998231</v>
      </c>
      <c r="Z548">
        <f t="shared" si="135"/>
        <v>35758.006237874542</v>
      </c>
      <c r="AB548">
        <f t="shared" si="136"/>
        <v>16.299308</v>
      </c>
      <c r="AC548">
        <f t="shared" si="137"/>
        <v>5186.4398056</v>
      </c>
      <c r="AD548">
        <f t="shared" si="138"/>
        <v>-9.7795847999994443</v>
      </c>
      <c r="AE548">
        <f t="shared" si="139"/>
        <v>10.363100026399998</v>
      </c>
      <c r="AF548">
        <f t="shared" si="140"/>
        <v>-20.142684826399442</v>
      </c>
      <c r="AG548">
        <f t="shared" si="130"/>
        <v>51844.254287026321</v>
      </c>
      <c r="AH548" t="b">
        <f t="shared" si="141"/>
        <v>1</v>
      </c>
    </row>
    <row r="549" spans="4:34" hidden="1" x14ac:dyDescent="0.4">
      <c r="D549" t="s">
        <v>43</v>
      </c>
      <c r="E549" t="s">
        <v>37</v>
      </c>
      <c r="F549" s="9">
        <v>45902.458333333336</v>
      </c>
      <c r="G549">
        <v>3.2902</v>
      </c>
      <c r="H549" s="9">
        <v>45904.458333333336</v>
      </c>
      <c r="I549">
        <v>3.3176000000000001</v>
      </c>
      <c r="J549">
        <v>575.5</v>
      </c>
      <c r="K549" s="12">
        <v>1893.73</v>
      </c>
      <c r="L549">
        <v>2.85</v>
      </c>
      <c r="M549">
        <v>12.92</v>
      </c>
      <c r="N549" s="13">
        <v>6.7999999999999996E-3</v>
      </c>
      <c r="O549" t="s">
        <v>38</v>
      </c>
      <c r="Q549">
        <f t="shared" si="142"/>
        <v>15.768700000000052</v>
      </c>
      <c r="R549">
        <f t="shared" si="143"/>
        <v>12.918700000000053</v>
      </c>
      <c r="S549">
        <f t="shared" si="144"/>
        <v>1909.2788</v>
      </c>
      <c r="U549">
        <f t="shared" si="131"/>
        <v>501.48927099999997</v>
      </c>
      <c r="V549">
        <f t="shared" si="145"/>
        <v>1649.9999994441998</v>
      </c>
      <c r="W549">
        <f t="shared" si="132"/>
        <v>13.740806025400046</v>
      </c>
      <c r="X549">
        <f t="shared" si="133"/>
        <v>3.3137408049138002</v>
      </c>
      <c r="Y549">
        <f t="shared" si="134"/>
        <v>10.427065220486245</v>
      </c>
      <c r="Z549">
        <f t="shared" si="135"/>
        <v>35764.414377438945</v>
      </c>
      <c r="AB549">
        <f t="shared" si="136"/>
        <v>1575.3340920000001</v>
      </c>
      <c r="AC549">
        <f t="shared" si="137"/>
        <v>5183.1642294984003</v>
      </c>
      <c r="AD549">
        <f t="shared" si="138"/>
        <v>43.164154120800141</v>
      </c>
      <c r="AE549">
        <f t="shared" si="139"/>
        <v>10.409492613117601</v>
      </c>
      <c r="AF549">
        <f t="shared" si="140"/>
        <v>32.754661507682542</v>
      </c>
      <c r="AG549">
        <f t="shared" si="130"/>
        <v>51864.396971852722</v>
      </c>
      <c r="AH549" t="b">
        <f t="shared" si="141"/>
        <v>1</v>
      </c>
    </row>
    <row r="550" spans="4:34" hidden="1" x14ac:dyDescent="0.4">
      <c r="D550" t="s">
        <v>52</v>
      </c>
      <c r="E550" t="s">
        <v>37</v>
      </c>
      <c r="F550" s="9">
        <v>45902.458333333336</v>
      </c>
      <c r="G550">
        <v>4.8330000000000002</v>
      </c>
      <c r="H550" s="9">
        <v>45904.458333333336</v>
      </c>
      <c r="I550">
        <v>4.8159999999999998</v>
      </c>
      <c r="J550">
        <v>484.62</v>
      </c>
      <c r="K550" s="12">
        <v>2342.1799999999998</v>
      </c>
      <c r="L550">
        <v>3.51</v>
      </c>
      <c r="M550">
        <v>-11.75</v>
      </c>
      <c r="N550" s="13">
        <v>-5.0000000000000001E-3</v>
      </c>
      <c r="O550" t="s">
        <v>38</v>
      </c>
      <c r="Q550">
        <f t="shared" si="142"/>
        <v>-8.2385400000001692</v>
      </c>
      <c r="R550">
        <f t="shared" si="143"/>
        <v>-11.748540000000169</v>
      </c>
      <c r="S550">
        <f t="shared" si="144"/>
        <v>2333.92992</v>
      </c>
      <c r="U550">
        <f t="shared" si="131"/>
        <v>341.40285499999999</v>
      </c>
      <c r="V550">
        <f t="shared" si="145"/>
        <v>1649.999998215</v>
      </c>
      <c r="W550">
        <f t="shared" si="132"/>
        <v>-5.8038485350001183</v>
      </c>
      <c r="X550">
        <f t="shared" si="133"/>
        <v>3.2941961478950001</v>
      </c>
      <c r="Y550">
        <f t="shared" si="134"/>
        <v>-9.098044682895118</v>
      </c>
      <c r="Z550">
        <f t="shared" si="135"/>
        <v>35753.987312218458</v>
      </c>
      <c r="AB550">
        <f t="shared" si="136"/>
        <v>1073.0444419999999</v>
      </c>
      <c r="AC550">
        <f t="shared" si="137"/>
        <v>5186.0237881859994</v>
      </c>
      <c r="AD550">
        <f t="shared" si="138"/>
        <v>-18.241755514000371</v>
      </c>
      <c r="AE550">
        <f t="shared" si="139"/>
        <v>10.353805820858</v>
      </c>
      <c r="AF550">
        <f t="shared" si="140"/>
        <v>-28.59556133485837</v>
      </c>
      <c r="AG550">
        <f t="shared" si="130"/>
        <v>51831.642310345043</v>
      </c>
      <c r="AH550" t="b">
        <f t="shared" si="141"/>
        <v>1</v>
      </c>
    </row>
    <row r="551" spans="4:34" hidden="1" x14ac:dyDescent="0.4">
      <c r="D551" t="s">
        <v>54</v>
      </c>
      <c r="E551" t="s">
        <v>37</v>
      </c>
      <c r="F551" s="9">
        <v>45902.416666666664</v>
      </c>
      <c r="G551" s="12">
        <v>203.14</v>
      </c>
      <c r="H551" s="9">
        <v>45904.416666666664</v>
      </c>
      <c r="I551" s="12">
        <v>207.13</v>
      </c>
      <c r="J551">
        <v>24.315000000000001</v>
      </c>
      <c r="K551" s="12">
        <v>4939.51</v>
      </c>
      <c r="L551">
        <v>7.48</v>
      </c>
      <c r="M551">
        <v>89.54</v>
      </c>
      <c r="N551" s="13">
        <v>1.8100000000000002E-2</v>
      </c>
      <c r="O551" t="s">
        <v>38</v>
      </c>
      <c r="Q551">
        <f t="shared" si="142"/>
        <v>97.016850000000233</v>
      </c>
      <c r="R551">
        <f t="shared" si="143"/>
        <v>89.536850000000229</v>
      </c>
      <c r="S551">
        <f t="shared" si="144"/>
        <v>5036.3659500000003</v>
      </c>
      <c r="U551">
        <f t="shared" si="131"/>
        <v>8.1224769999999999</v>
      </c>
      <c r="V551">
        <f t="shared" si="145"/>
        <v>1649.9999777799999</v>
      </c>
      <c r="W551">
        <f t="shared" si="132"/>
        <v>32.408683230000072</v>
      </c>
      <c r="X551">
        <f t="shared" si="133"/>
        <v>3.3324086387899996</v>
      </c>
      <c r="Y551">
        <f t="shared" si="134"/>
        <v>29.076274591210073</v>
      </c>
      <c r="Z551">
        <f t="shared" si="135"/>
        <v>35763.085356901356</v>
      </c>
      <c r="AB551">
        <f t="shared" si="136"/>
        <v>25.484400000000001</v>
      </c>
      <c r="AC551">
        <f t="shared" si="137"/>
        <v>5176.9010159999998</v>
      </c>
      <c r="AD551">
        <f t="shared" si="138"/>
        <v>101.68275600000024</v>
      </c>
      <c r="AE551">
        <f t="shared" si="139"/>
        <v>10.455484788</v>
      </c>
      <c r="AF551">
        <f t="shared" si="140"/>
        <v>91.227271212000232</v>
      </c>
      <c r="AG551">
        <f t="shared" si="130"/>
        <v>51860.237871679899</v>
      </c>
      <c r="AH551" t="b">
        <f t="shared" si="141"/>
        <v>1</v>
      </c>
    </row>
    <row r="552" spans="4:34" hidden="1" x14ac:dyDescent="0.4">
      <c r="D552" t="s">
        <v>61</v>
      </c>
      <c r="E552" t="s">
        <v>37</v>
      </c>
      <c r="F552" s="9">
        <v>45902.416666666664</v>
      </c>
      <c r="G552">
        <v>0.82189999999999996</v>
      </c>
      <c r="H552" s="9">
        <v>45904.416666666664</v>
      </c>
      <c r="I552">
        <v>0.81659999999999999</v>
      </c>
      <c r="J552" s="12">
        <v>10272.6</v>
      </c>
      <c r="K552" s="12">
        <v>8443.1200000000008</v>
      </c>
      <c r="L552">
        <v>12.62</v>
      </c>
      <c r="M552">
        <v>-67.069999999999993</v>
      </c>
      <c r="N552" s="13">
        <v>-7.9000000000000008E-3</v>
      </c>
      <c r="O552" t="s">
        <v>38</v>
      </c>
      <c r="Q552">
        <f t="shared" si="142"/>
        <v>-54.44477999999971</v>
      </c>
      <c r="R552">
        <f t="shared" si="143"/>
        <v>-67.064779999999715</v>
      </c>
      <c r="S552">
        <f t="shared" si="144"/>
        <v>8388.605160000001</v>
      </c>
      <c r="U552">
        <f t="shared" si="131"/>
        <v>2007.5434969999999</v>
      </c>
      <c r="V552">
        <f t="shared" si="145"/>
        <v>1650.0000001842998</v>
      </c>
      <c r="W552">
        <f t="shared" si="132"/>
        <v>-10.639980534099942</v>
      </c>
      <c r="X552">
        <f t="shared" si="133"/>
        <v>3.2893600198345001</v>
      </c>
      <c r="Y552">
        <f t="shared" si="134"/>
        <v>-13.929340553934443</v>
      </c>
      <c r="Z552">
        <f t="shared" si="135"/>
        <v>35734.009082310149</v>
      </c>
      <c r="AB552">
        <f t="shared" si="136"/>
        <v>6304.0212979999997</v>
      </c>
      <c r="AC552">
        <f t="shared" si="137"/>
        <v>5181.2751048261998</v>
      </c>
      <c r="AD552">
        <f t="shared" si="138"/>
        <v>-33.411312879399816</v>
      </c>
      <c r="AE552">
        <f t="shared" si="139"/>
        <v>10.329138896773001</v>
      </c>
      <c r="AF552">
        <f t="shared" si="140"/>
        <v>-43.740451776172819</v>
      </c>
      <c r="AG552">
        <f t="shared" si="130"/>
        <v>51769.010600467896</v>
      </c>
      <c r="AH552" t="b">
        <f t="shared" si="141"/>
        <v>1</v>
      </c>
    </row>
    <row r="553" spans="4:34" hidden="1" x14ac:dyDescent="0.4">
      <c r="D553" t="s">
        <v>55</v>
      </c>
      <c r="E553" t="s">
        <v>37</v>
      </c>
      <c r="F553" s="9">
        <v>45902.333333333336</v>
      </c>
      <c r="G553">
        <v>5.8959999999999998E-5</v>
      </c>
      <c r="H553" s="9">
        <v>45904.333333333336</v>
      </c>
      <c r="I553">
        <v>5.8189999999999997E-5</v>
      </c>
      <c r="J553" s="12">
        <v>100354520.90000001</v>
      </c>
      <c r="K553" s="12">
        <v>5916.9</v>
      </c>
      <c r="L553">
        <v>8.82</v>
      </c>
      <c r="M553">
        <v>-86.09</v>
      </c>
      <c r="N553" s="13">
        <v>-1.4500000000000001E-2</v>
      </c>
      <c r="O553" t="s">
        <v>38</v>
      </c>
      <c r="Q553">
        <f t="shared" si="142"/>
        <v>-77.272981093000112</v>
      </c>
      <c r="R553">
        <f t="shared" si="143"/>
        <v>-86.092981093000105</v>
      </c>
      <c r="S553">
        <f t="shared" si="144"/>
        <v>5839.629571171</v>
      </c>
      <c r="U553">
        <f t="shared" si="131"/>
        <v>27985074.626866002</v>
      </c>
      <c r="V553">
        <f t="shared" si="145"/>
        <v>1650.0000000000193</v>
      </c>
      <c r="W553">
        <f t="shared" si="132"/>
        <v>-21.548507462686853</v>
      </c>
      <c r="X553">
        <f t="shared" si="133"/>
        <v>3.2784514925373522</v>
      </c>
      <c r="Y553">
        <f t="shared" si="134"/>
        <v>-24.826958955224207</v>
      </c>
      <c r="Z553">
        <f t="shared" si="135"/>
        <v>35747.938422864085</v>
      </c>
      <c r="AB553">
        <f t="shared" si="136"/>
        <v>88010226.126784995</v>
      </c>
      <c r="AC553">
        <f t="shared" si="137"/>
        <v>5189.0829324352435</v>
      </c>
      <c r="AD553">
        <f t="shared" si="138"/>
        <v>-67.767874117624544</v>
      </c>
      <c r="AE553">
        <f t="shared" si="139"/>
        <v>10.310397990752863</v>
      </c>
      <c r="AF553">
        <f t="shared" si="140"/>
        <v>-78.078272108377405</v>
      </c>
      <c r="AG553">
        <f t="shared" si="130"/>
        <v>51812.751052244072</v>
      </c>
      <c r="AH553" t="b">
        <f t="shared" si="141"/>
        <v>1</v>
      </c>
    </row>
    <row r="554" spans="4:34" hidden="1" x14ac:dyDescent="0.4">
      <c r="D554" t="s">
        <v>59</v>
      </c>
      <c r="E554" t="s">
        <v>37</v>
      </c>
      <c r="F554" s="9">
        <v>45901.291666666664</v>
      </c>
      <c r="G554" s="12">
        <v>107880</v>
      </c>
      <c r="H554" s="9">
        <v>45903.791666666664</v>
      </c>
      <c r="I554" s="12">
        <v>112346.01</v>
      </c>
      <c r="J554">
        <v>9.7059999999999994E-2</v>
      </c>
      <c r="K554" s="12">
        <v>10471.01</v>
      </c>
      <c r="L554">
        <v>16.03</v>
      </c>
      <c r="M554">
        <v>417.44</v>
      </c>
      <c r="N554" s="13">
        <v>3.9899999999999998E-2</v>
      </c>
      <c r="O554" t="s">
        <v>57</v>
      </c>
      <c r="Q554">
        <f t="shared" si="142"/>
        <v>433.47093059999946</v>
      </c>
      <c r="R554">
        <f t="shared" si="143"/>
        <v>417.44093059999943</v>
      </c>
      <c r="S554">
        <f t="shared" si="144"/>
        <v>10904.303730599999</v>
      </c>
      <c r="U554">
        <f t="shared" si="131"/>
        <v>1.5295E-2</v>
      </c>
      <c r="V554">
        <f t="shared" si="145"/>
        <v>1650.0246</v>
      </c>
      <c r="W554">
        <f t="shared" si="132"/>
        <v>68.307622949999924</v>
      </c>
      <c r="X554">
        <f t="shared" si="133"/>
        <v>3.3683568229500001</v>
      </c>
      <c r="Y554">
        <f t="shared" si="134"/>
        <v>64.939266127049919</v>
      </c>
      <c r="Z554">
        <f t="shared" si="135"/>
        <v>35772.765381819307</v>
      </c>
      <c r="AB554">
        <f t="shared" si="136"/>
        <v>4.7912000000000003E-2</v>
      </c>
      <c r="AC554">
        <f t="shared" si="137"/>
        <v>5168.7465600000005</v>
      </c>
      <c r="AD554">
        <f t="shared" si="138"/>
        <v>213.97547111999975</v>
      </c>
      <c r="AE554">
        <f t="shared" si="139"/>
        <v>10.551468591120001</v>
      </c>
      <c r="AF554">
        <f t="shared" si="140"/>
        <v>203.42400252887975</v>
      </c>
      <c r="AG554">
        <f t="shared" ref="AG554:AG617" si="146">AG555*AH554 + (1-AH554)*AI554+AF554</f>
        <v>51890.829324352446</v>
      </c>
      <c r="AH554" t="b">
        <f t="shared" si="141"/>
        <v>1</v>
      </c>
    </row>
    <row r="555" spans="4:34" hidden="1" x14ac:dyDescent="0.4">
      <c r="D555" t="s">
        <v>58</v>
      </c>
      <c r="E555" t="s">
        <v>37</v>
      </c>
      <c r="F555" s="9">
        <v>45900.541666666664</v>
      </c>
      <c r="G555">
        <v>23.82</v>
      </c>
      <c r="H555" s="9">
        <v>45902.541666666664</v>
      </c>
      <c r="I555">
        <v>23.11</v>
      </c>
      <c r="J555" s="12">
        <v>313.77</v>
      </c>
      <c r="K555" s="12">
        <v>7474.12</v>
      </c>
      <c r="L555">
        <v>11.04</v>
      </c>
      <c r="M555">
        <v>-233.82</v>
      </c>
      <c r="N555" s="13">
        <v>-3.1300000000000001E-2</v>
      </c>
      <c r="O555" t="s">
        <v>38</v>
      </c>
      <c r="Q555">
        <f t="shared" si="142"/>
        <v>-222.77670000000026</v>
      </c>
      <c r="R555">
        <f t="shared" si="143"/>
        <v>-233.81670000000025</v>
      </c>
      <c r="S555">
        <f t="shared" si="144"/>
        <v>7251.2246999999998</v>
      </c>
      <c r="U555">
        <f t="shared" si="131"/>
        <v>69.269520999999997</v>
      </c>
      <c r="V555">
        <f t="shared" si="145"/>
        <v>1649.99999022</v>
      </c>
      <c r="W555">
        <f t="shared" si="132"/>
        <v>-49.181359910000054</v>
      </c>
      <c r="X555">
        <f t="shared" si="133"/>
        <v>3.25081862053</v>
      </c>
      <c r="Y555">
        <f t="shared" si="134"/>
        <v>-52.432178530530052</v>
      </c>
      <c r="Z555">
        <f t="shared" si="135"/>
        <v>35707.82611569226</v>
      </c>
      <c r="AB555">
        <f t="shared" si="136"/>
        <v>217.68335999999999</v>
      </c>
      <c r="AC555">
        <f t="shared" si="137"/>
        <v>5185.2176351999997</v>
      </c>
      <c r="AD555">
        <f t="shared" si="138"/>
        <v>-154.55518560000019</v>
      </c>
      <c r="AE555">
        <f t="shared" si="139"/>
        <v>10.2158800848</v>
      </c>
      <c r="AF555">
        <f t="shared" si="140"/>
        <v>-164.77106568480019</v>
      </c>
      <c r="AG555">
        <f t="shared" si="146"/>
        <v>51687.405321823564</v>
      </c>
      <c r="AH555" t="b">
        <f t="shared" si="141"/>
        <v>1</v>
      </c>
    </row>
    <row r="556" spans="4:34" hidden="1" x14ac:dyDescent="0.4">
      <c r="D556" t="s">
        <v>50</v>
      </c>
      <c r="E556" t="s">
        <v>37</v>
      </c>
      <c r="F556" s="9">
        <v>45900.416666666664</v>
      </c>
      <c r="G556">
        <v>327.8</v>
      </c>
      <c r="H556" s="9">
        <v>45902.416666666664</v>
      </c>
      <c r="I556">
        <v>317.5</v>
      </c>
      <c r="J556">
        <v>39.928100000000001</v>
      </c>
      <c r="K556" s="12">
        <v>13088.45</v>
      </c>
      <c r="L556">
        <v>19.32</v>
      </c>
      <c r="M556">
        <v>-430.58</v>
      </c>
      <c r="N556" s="13">
        <v>-3.2899999999999999E-2</v>
      </c>
      <c r="O556" t="s">
        <v>38</v>
      </c>
      <c r="Q556">
        <f t="shared" si="142"/>
        <v>-411.25943000000046</v>
      </c>
      <c r="R556">
        <f t="shared" si="143"/>
        <v>-430.57943000000046</v>
      </c>
      <c r="S556">
        <f t="shared" si="144"/>
        <v>12677.17175</v>
      </c>
      <c r="U556">
        <f t="shared" si="131"/>
        <v>5.0335570000000001</v>
      </c>
      <c r="V556">
        <f t="shared" si="145"/>
        <v>1649.9999846000001</v>
      </c>
      <c r="W556">
        <f t="shared" si="132"/>
        <v>-51.845637100000054</v>
      </c>
      <c r="X556">
        <f t="shared" si="133"/>
        <v>3.2481543320999999</v>
      </c>
      <c r="Y556">
        <f t="shared" si="134"/>
        <v>-55.093791432100055</v>
      </c>
      <c r="Z556">
        <f t="shared" si="135"/>
        <v>35760.258294222789</v>
      </c>
      <c r="AB556">
        <f t="shared" si="136"/>
        <v>15.871230000000001</v>
      </c>
      <c r="AC556">
        <f t="shared" si="137"/>
        <v>5202.5891940000001</v>
      </c>
      <c r="AD556">
        <f t="shared" si="138"/>
        <v>-163.4736690000002</v>
      </c>
      <c r="AE556">
        <f t="shared" si="139"/>
        <v>10.241704718999999</v>
      </c>
      <c r="AF556">
        <f t="shared" si="140"/>
        <v>-173.71537371900021</v>
      </c>
      <c r="AG556">
        <f t="shared" si="146"/>
        <v>51852.176387508363</v>
      </c>
      <c r="AH556" t="b">
        <f t="shared" si="141"/>
        <v>1</v>
      </c>
    </row>
    <row r="557" spans="4:34" hidden="1" x14ac:dyDescent="0.4">
      <c r="D557" t="s">
        <v>48</v>
      </c>
      <c r="E557" t="s">
        <v>37</v>
      </c>
      <c r="F557" s="9">
        <v>45899.708333333336</v>
      </c>
      <c r="G557">
        <v>0.1188</v>
      </c>
      <c r="H557" s="9">
        <v>45901.708333333336</v>
      </c>
      <c r="I557">
        <v>0.1139</v>
      </c>
      <c r="J557" s="12">
        <v>26143.3</v>
      </c>
      <c r="K557" s="12">
        <v>3105.83</v>
      </c>
      <c r="L557">
        <v>4.5599999999999996</v>
      </c>
      <c r="M557">
        <v>-132.66</v>
      </c>
      <c r="N557" s="13">
        <v>-4.2700000000000002E-2</v>
      </c>
      <c r="O557" t="s">
        <v>38</v>
      </c>
      <c r="Q557">
        <f t="shared" si="142"/>
        <v>-128.10217000000003</v>
      </c>
      <c r="R557">
        <f t="shared" si="143"/>
        <v>-132.66217000000003</v>
      </c>
      <c r="S557">
        <f t="shared" si="144"/>
        <v>2977.7218699999999</v>
      </c>
      <c r="U557">
        <f t="shared" si="131"/>
        <v>13888.888889</v>
      </c>
      <c r="V557">
        <f t="shared" si="145"/>
        <v>1650.0000000132</v>
      </c>
      <c r="W557">
        <f t="shared" si="132"/>
        <v>-68.055555556100018</v>
      </c>
      <c r="X557">
        <f t="shared" si="133"/>
        <v>3.2319444444703</v>
      </c>
      <c r="Y557">
        <f t="shared" si="134"/>
        <v>-71.287500000570319</v>
      </c>
      <c r="Z557">
        <f t="shared" si="135"/>
        <v>35815.352085654886</v>
      </c>
      <c r="AB557">
        <f t="shared" si="136"/>
        <v>43982.864148000001</v>
      </c>
      <c r="AC557">
        <f t="shared" si="137"/>
        <v>5225.1642607824006</v>
      </c>
      <c r="AD557">
        <f t="shared" si="138"/>
        <v>-215.51603432520008</v>
      </c>
      <c r="AE557">
        <f t="shared" si="139"/>
        <v>10.234812487239601</v>
      </c>
      <c r="AF557">
        <f t="shared" si="140"/>
        <v>-225.75084681243968</v>
      </c>
      <c r="AG557">
        <f t="shared" si="146"/>
        <v>52025.891761227365</v>
      </c>
      <c r="AH557" t="b">
        <f t="shared" si="141"/>
        <v>1</v>
      </c>
    </row>
    <row r="558" spans="4:34" hidden="1" x14ac:dyDescent="0.4">
      <c r="D558" t="s">
        <v>55</v>
      </c>
      <c r="E558" t="s">
        <v>37</v>
      </c>
      <c r="F558" s="9">
        <v>45899.708333333336</v>
      </c>
      <c r="G558" s="12">
        <v>5.8739999999999997E-5</v>
      </c>
      <c r="H558" s="9">
        <v>45901.708333333336</v>
      </c>
      <c r="I558" s="12">
        <v>5.8100000000000003E-5</v>
      </c>
      <c r="J558" s="12">
        <v>100855313.03</v>
      </c>
      <c r="K558" s="12">
        <v>5924.24</v>
      </c>
      <c r="L558">
        <v>8.84</v>
      </c>
      <c r="M558">
        <v>-73.39</v>
      </c>
      <c r="N558" s="13">
        <v>-1.24E-2</v>
      </c>
      <c r="O558" t="s">
        <v>38</v>
      </c>
      <c r="Q558">
        <f t="shared" si="142"/>
        <v>-64.547400339199385</v>
      </c>
      <c r="R558">
        <f t="shared" si="143"/>
        <v>-73.387400339199388</v>
      </c>
      <c r="S558">
        <f t="shared" si="144"/>
        <v>5859.693687043</v>
      </c>
      <c r="U558">
        <f t="shared" si="131"/>
        <v>28089887.640448999</v>
      </c>
      <c r="V558">
        <f t="shared" si="145"/>
        <v>1649.9999999999741</v>
      </c>
      <c r="W558">
        <f t="shared" si="132"/>
        <v>-17.977528089887187</v>
      </c>
      <c r="X558">
        <f t="shared" si="133"/>
        <v>3.2820224719100612</v>
      </c>
      <c r="Y558">
        <f t="shared" si="134"/>
        <v>-21.259550561797248</v>
      </c>
      <c r="Z558">
        <f t="shared" si="135"/>
        <v>35886.639585655459</v>
      </c>
      <c r="AB558">
        <f t="shared" si="136"/>
        <v>89068868.727694005</v>
      </c>
      <c r="AC558">
        <f t="shared" si="137"/>
        <v>5231.9053490647457</v>
      </c>
      <c r="AD558">
        <f t="shared" si="138"/>
        <v>-57.004075985723617</v>
      </c>
      <c r="AE558">
        <f t="shared" si="139"/>
        <v>10.406806622143767</v>
      </c>
      <c r="AF558">
        <f t="shared" si="140"/>
        <v>-67.410882607867379</v>
      </c>
      <c r="AG558">
        <f t="shared" si="146"/>
        <v>52251.642608039801</v>
      </c>
      <c r="AH558" t="b">
        <f t="shared" si="141"/>
        <v>1</v>
      </c>
    </row>
    <row r="559" spans="4:34" hidden="1" x14ac:dyDescent="0.4">
      <c r="D559" t="s">
        <v>56</v>
      </c>
      <c r="E559" t="s">
        <v>37</v>
      </c>
      <c r="F559" s="9">
        <v>45900.416666666664</v>
      </c>
      <c r="G559" s="12">
        <v>4471.97</v>
      </c>
      <c r="H559" s="9">
        <v>45901.041666666664</v>
      </c>
      <c r="I559" s="12">
        <v>4408.91</v>
      </c>
      <c r="J559">
        <v>1.2761</v>
      </c>
      <c r="K559" s="12">
        <v>5706.79</v>
      </c>
      <c r="L559">
        <v>8.5</v>
      </c>
      <c r="M559">
        <v>-88.97</v>
      </c>
      <c r="N559" s="13">
        <v>-1.5599999999999999E-2</v>
      </c>
      <c r="O559" t="s">
        <v>49</v>
      </c>
      <c r="Q559">
        <f t="shared" si="142"/>
        <v>-80.470866000000512</v>
      </c>
      <c r="R559">
        <f t="shared" si="143"/>
        <v>-88.970866000000512</v>
      </c>
      <c r="S559">
        <f t="shared" si="144"/>
        <v>5626.210051</v>
      </c>
      <c r="U559">
        <f t="shared" si="131"/>
        <v>0.36896499999999999</v>
      </c>
      <c r="V559">
        <f t="shared" si="145"/>
        <v>1650.0004110500001</v>
      </c>
      <c r="W559">
        <f t="shared" si="132"/>
        <v>-23.266932900000146</v>
      </c>
      <c r="X559">
        <f t="shared" si="133"/>
        <v>3.2767338892000004</v>
      </c>
      <c r="Y559">
        <f t="shared" si="134"/>
        <v>-26.543666789200145</v>
      </c>
      <c r="Z559">
        <f t="shared" si="135"/>
        <v>35907.899136217253</v>
      </c>
      <c r="AB559">
        <f t="shared" si="136"/>
        <v>1.171818</v>
      </c>
      <c r="AC559">
        <f t="shared" si="137"/>
        <v>5240.3349414600007</v>
      </c>
      <c r="AD559">
        <f t="shared" si="138"/>
        <v>-73.89484308000047</v>
      </c>
      <c r="AE559">
        <f t="shared" si="139"/>
        <v>10.406775039840001</v>
      </c>
      <c r="AF559">
        <f t="shared" si="140"/>
        <v>-84.301618119840469</v>
      </c>
      <c r="AG559">
        <f t="shared" si="146"/>
        <v>52319.053490647668</v>
      </c>
      <c r="AH559" t="b">
        <f t="shared" si="141"/>
        <v>1</v>
      </c>
    </row>
    <row r="560" spans="4:34" hidden="1" x14ac:dyDescent="0.4">
      <c r="D560" t="s">
        <v>52</v>
      </c>
      <c r="E560" t="s">
        <v>37</v>
      </c>
      <c r="F560" s="9">
        <v>45897.833333333336</v>
      </c>
      <c r="G560">
        <v>5.0679999999999996</v>
      </c>
      <c r="H560" s="9">
        <v>45899.833333333336</v>
      </c>
      <c r="I560">
        <v>4.8390000000000004</v>
      </c>
      <c r="J560">
        <v>464.31</v>
      </c>
      <c r="K560" s="12">
        <v>2353.16</v>
      </c>
      <c r="L560">
        <v>3.45</v>
      </c>
      <c r="M560">
        <v>-109.78</v>
      </c>
      <c r="N560" s="13">
        <v>-4.6699999999999998E-2</v>
      </c>
      <c r="O560" t="s">
        <v>38</v>
      </c>
      <c r="Q560">
        <f t="shared" si="142"/>
        <v>-106.32698999999963</v>
      </c>
      <c r="R560">
        <f t="shared" si="143"/>
        <v>-109.77698999999963</v>
      </c>
      <c r="S560">
        <f t="shared" si="144"/>
        <v>2246.7960900000003</v>
      </c>
      <c r="U560">
        <f t="shared" si="131"/>
        <v>325.57221800000002</v>
      </c>
      <c r="V560">
        <f t="shared" si="145"/>
        <v>1650.0000008239999</v>
      </c>
      <c r="W560">
        <f t="shared" si="132"/>
        <v>-74.556037921999746</v>
      </c>
      <c r="X560">
        <f t="shared" si="133"/>
        <v>3.2254439637260006</v>
      </c>
      <c r="Y560">
        <f t="shared" si="134"/>
        <v>-77.781481885725754</v>
      </c>
      <c r="Z560">
        <f t="shared" si="135"/>
        <v>35934.442803006452</v>
      </c>
      <c r="AB560">
        <f t="shared" si="136"/>
        <v>1038.9020539999999</v>
      </c>
      <c r="AC560">
        <f t="shared" si="137"/>
        <v>5265.1556096719987</v>
      </c>
      <c r="AD560">
        <f t="shared" si="138"/>
        <v>-237.90857036599914</v>
      </c>
      <c r="AE560">
        <f t="shared" si="139"/>
        <v>10.292402648977999</v>
      </c>
      <c r="AF560">
        <f t="shared" si="140"/>
        <v>-248.20097301497714</v>
      </c>
      <c r="AG560">
        <f t="shared" si="146"/>
        <v>52403.355108767508</v>
      </c>
      <c r="AH560" t="b">
        <f t="shared" si="141"/>
        <v>1</v>
      </c>
    </row>
    <row r="561" spans="4:34" hidden="1" x14ac:dyDescent="0.4">
      <c r="D561" t="s">
        <v>53</v>
      </c>
      <c r="E561" t="s">
        <v>37</v>
      </c>
      <c r="F561" s="9">
        <v>45897.791666666664</v>
      </c>
      <c r="G561">
        <v>876</v>
      </c>
      <c r="H561" s="9">
        <v>45899.791666666664</v>
      </c>
      <c r="I561">
        <v>858.32</v>
      </c>
      <c r="J561" s="12">
        <v>10.935</v>
      </c>
      <c r="K561" s="12">
        <v>9579.18</v>
      </c>
      <c r="L561">
        <v>14.22</v>
      </c>
      <c r="M561">
        <v>-207.55</v>
      </c>
      <c r="N561" s="13">
        <v>-2.1700000000000001E-2</v>
      </c>
      <c r="O561" t="s">
        <v>38</v>
      </c>
      <c r="Q561">
        <f t="shared" si="142"/>
        <v>-193.33079999999947</v>
      </c>
      <c r="R561">
        <f t="shared" si="143"/>
        <v>-207.55079999999947</v>
      </c>
      <c r="S561">
        <f t="shared" si="144"/>
        <v>9385.7292000000016</v>
      </c>
      <c r="U561">
        <f t="shared" si="131"/>
        <v>1.883562</v>
      </c>
      <c r="V561">
        <f t="shared" si="145"/>
        <v>1650.0003119999999</v>
      </c>
      <c r="W561">
        <f t="shared" si="132"/>
        <v>-33.301376159999904</v>
      </c>
      <c r="X561">
        <f t="shared" si="133"/>
        <v>3.2666992478400005</v>
      </c>
      <c r="Y561">
        <f t="shared" si="134"/>
        <v>-36.568075407839906</v>
      </c>
      <c r="Z561">
        <f t="shared" si="135"/>
        <v>36012.224284892174</v>
      </c>
      <c r="AB561">
        <f t="shared" si="136"/>
        <v>6.0238019999999999</v>
      </c>
      <c r="AC561">
        <f t="shared" si="137"/>
        <v>5276.8505519999999</v>
      </c>
      <c r="AD561">
        <f t="shared" si="138"/>
        <v>-106.5008193599997</v>
      </c>
      <c r="AE561">
        <f t="shared" si="139"/>
        <v>10.447200284640001</v>
      </c>
      <c r="AF561">
        <f t="shared" si="140"/>
        <v>-116.9480196446397</v>
      </c>
      <c r="AG561">
        <f t="shared" si="146"/>
        <v>52651.556081782488</v>
      </c>
      <c r="AH561" t="b">
        <f t="shared" si="141"/>
        <v>1</v>
      </c>
    </row>
    <row r="562" spans="4:34" hidden="1" x14ac:dyDescent="0.4">
      <c r="D562" t="s">
        <v>55</v>
      </c>
      <c r="E562" t="s">
        <v>37</v>
      </c>
      <c r="F562" s="9">
        <v>45897.625</v>
      </c>
      <c r="G562" s="12">
        <v>6.029E-5</v>
      </c>
      <c r="H562" s="9">
        <v>45899.625</v>
      </c>
      <c r="I562" s="12">
        <v>5.8359999999999997E-5</v>
      </c>
      <c r="J562" s="12">
        <v>98592582.620000005</v>
      </c>
      <c r="K562" s="12">
        <v>5944.15</v>
      </c>
      <c r="L562">
        <v>8.77</v>
      </c>
      <c r="M562">
        <v>-199.06</v>
      </c>
      <c r="N562" s="13">
        <v>-3.3500000000000002E-2</v>
      </c>
      <c r="O562" t="s">
        <v>38</v>
      </c>
      <c r="Q562">
        <f t="shared" si="142"/>
        <v>-190.28368445660035</v>
      </c>
      <c r="R562">
        <f t="shared" si="143"/>
        <v>-199.05368445660037</v>
      </c>
      <c r="S562">
        <f t="shared" si="144"/>
        <v>5753.8631217031998</v>
      </c>
      <c r="U562">
        <f t="shared" si="131"/>
        <v>27367722.673744</v>
      </c>
      <c r="V562">
        <f t="shared" si="145"/>
        <v>1650.0000000000257</v>
      </c>
      <c r="W562">
        <f t="shared" si="132"/>
        <v>-52.819704760326019</v>
      </c>
      <c r="X562">
        <f t="shared" si="133"/>
        <v>3.2471802952397253</v>
      </c>
      <c r="Y562">
        <f t="shared" si="134"/>
        <v>-56.066885055565741</v>
      </c>
      <c r="Z562">
        <f t="shared" si="135"/>
        <v>36048.792360300016</v>
      </c>
      <c r="AB562">
        <f t="shared" si="136"/>
        <v>87822893.468455002</v>
      </c>
      <c r="AC562">
        <f t="shared" si="137"/>
        <v>5294.8422472131524</v>
      </c>
      <c r="AD562">
        <f t="shared" si="138"/>
        <v>-169.49818439411845</v>
      </c>
      <c r="AE562">
        <f t="shared" si="139"/>
        <v>10.420186310032186</v>
      </c>
      <c r="AF562">
        <f t="shared" si="140"/>
        <v>-179.91837070415065</v>
      </c>
      <c r="AG562">
        <f t="shared" si="146"/>
        <v>52768.504101427126</v>
      </c>
      <c r="AH562" t="b">
        <f t="shared" si="141"/>
        <v>1</v>
      </c>
    </row>
    <row r="563" spans="4:34" hidden="1" x14ac:dyDescent="0.4">
      <c r="D563" t="s">
        <v>48</v>
      </c>
      <c r="E563" t="s">
        <v>37</v>
      </c>
      <c r="F563" s="9">
        <v>45897.583333333336</v>
      </c>
      <c r="G563">
        <v>0.1211</v>
      </c>
      <c r="H563" s="9">
        <v>45899.583333333336</v>
      </c>
      <c r="I563">
        <v>0.1172</v>
      </c>
      <c r="J563" s="12">
        <v>25733.5</v>
      </c>
      <c r="K563" s="12">
        <v>3116.33</v>
      </c>
      <c r="L563">
        <v>4.5999999999999996</v>
      </c>
      <c r="M563">
        <v>-104.96</v>
      </c>
      <c r="N563" s="13">
        <v>-3.3700000000000001E-2</v>
      </c>
      <c r="O563" t="s">
        <v>38</v>
      </c>
      <c r="Q563">
        <f t="shared" si="142"/>
        <v>-100.36065000000002</v>
      </c>
      <c r="R563">
        <f t="shared" si="143"/>
        <v>-104.96065000000002</v>
      </c>
      <c r="S563">
        <f t="shared" si="144"/>
        <v>3015.9661999999998</v>
      </c>
      <c r="U563">
        <f t="shared" si="131"/>
        <v>13625.103220000001</v>
      </c>
      <c r="V563">
        <f t="shared" si="145"/>
        <v>1649.9999999420002</v>
      </c>
      <c r="W563">
        <f t="shared" si="132"/>
        <v>-53.137902558000015</v>
      </c>
      <c r="X563">
        <f t="shared" si="133"/>
        <v>3.2468620973260003</v>
      </c>
      <c r="Y563">
        <f t="shared" si="134"/>
        <v>-56.384764655326016</v>
      </c>
      <c r="Z563">
        <f t="shared" si="135"/>
        <v>36104.859245355583</v>
      </c>
      <c r="AB563">
        <f t="shared" si="136"/>
        <v>43872.81697</v>
      </c>
      <c r="AC563">
        <f t="shared" si="137"/>
        <v>5312.9981350669996</v>
      </c>
      <c r="AD563">
        <f t="shared" si="138"/>
        <v>-171.10398618300002</v>
      </c>
      <c r="AE563">
        <f t="shared" si="139"/>
        <v>10.454892283951001</v>
      </c>
      <c r="AF563">
        <f t="shared" si="140"/>
        <v>-181.55887846695103</v>
      </c>
      <c r="AG563">
        <f t="shared" si="146"/>
        <v>52948.422472131278</v>
      </c>
      <c r="AH563" t="b">
        <f t="shared" si="141"/>
        <v>1</v>
      </c>
    </row>
    <row r="564" spans="4:34" hidden="1" x14ac:dyDescent="0.4">
      <c r="D564" t="s">
        <v>58</v>
      </c>
      <c r="E564" t="s">
        <v>37</v>
      </c>
      <c r="F564" s="9">
        <v>45897.583333333336</v>
      </c>
      <c r="G564">
        <v>24</v>
      </c>
      <c r="H564" s="9">
        <v>45899.583333333336</v>
      </c>
      <c r="I564">
        <v>23.16</v>
      </c>
      <c r="J564">
        <v>312.56</v>
      </c>
      <c r="K564" s="12">
        <v>7501.48</v>
      </c>
      <c r="L564">
        <v>11.06</v>
      </c>
      <c r="M564">
        <v>-273.61</v>
      </c>
      <c r="N564" s="13">
        <v>-3.6499999999999998E-2</v>
      </c>
      <c r="O564" t="s">
        <v>38</v>
      </c>
      <c r="Q564">
        <f t="shared" si="142"/>
        <v>-262.55039999999997</v>
      </c>
      <c r="R564">
        <f t="shared" si="143"/>
        <v>-273.61039999999997</v>
      </c>
      <c r="S564">
        <f t="shared" si="144"/>
        <v>7238.8896000000004</v>
      </c>
      <c r="U564">
        <f t="shared" si="131"/>
        <v>68.75</v>
      </c>
      <c r="V564">
        <f t="shared" si="145"/>
        <v>1650</v>
      </c>
      <c r="W564">
        <f t="shared" si="132"/>
        <v>-57.749999999999993</v>
      </c>
      <c r="X564">
        <f t="shared" si="133"/>
        <v>3.2422499999999999</v>
      </c>
      <c r="Y564">
        <f t="shared" si="134"/>
        <v>-60.992249999999991</v>
      </c>
      <c r="Z564">
        <f t="shared" si="135"/>
        <v>36161.244010010909</v>
      </c>
      <c r="AB564">
        <f t="shared" si="136"/>
        <v>222.196271</v>
      </c>
      <c r="AC564">
        <f t="shared" si="137"/>
        <v>5332.7105039999997</v>
      </c>
      <c r="AD564">
        <f t="shared" si="138"/>
        <v>-186.64486763999997</v>
      </c>
      <c r="AE564">
        <f t="shared" si="139"/>
        <v>10.478776140359999</v>
      </c>
      <c r="AF564">
        <f t="shared" si="140"/>
        <v>-197.12364378035997</v>
      </c>
      <c r="AG564">
        <f t="shared" si="146"/>
        <v>53129.981350598231</v>
      </c>
      <c r="AH564" t="b">
        <f t="shared" si="141"/>
        <v>1</v>
      </c>
    </row>
    <row r="565" spans="4:34" hidden="1" x14ac:dyDescent="0.4">
      <c r="D565" t="s">
        <v>43</v>
      </c>
      <c r="E565" t="s">
        <v>37</v>
      </c>
      <c r="F565" s="9">
        <v>45897.125</v>
      </c>
      <c r="G565">
        <v>3.4722</v>
      </c>
      <c r="H565" s="9">
        <v>45899.125</v>
      </c>
      <c r="I565">
        <v>3.2271999999999998</v>
      </c>
      <c r="J565">
        <v>549.29999999999995</v>
      </c>
      <c r="K565" s="12">
        <v>1907.46</v>
      </c>
      <c r="L565">
        <v>2.76</v>
      </c>
      <c r="M565">
        <v>-137.34</v>
      </c>
      <c r="N565" s="13">
        <v>-7.1999999999999995E-2</v>
      </c>
      <c r="O565" t="s">
        <v>38</v>
      </c>
      <c r="Q565">
        <f t="shared" si="142"/>
        <v>-134.57850000000005</v>
      </c>
      <c r="R565">
        <f t="shared" si="143"/>
        <v>-137.33850000000004</v>
      </c>
      <c r="S565">
        <f t="shared" si="144"/>
        <v>1772.7009599999997</v>
      </c>
      <c r="U565">
        <f t="shared" si="131"/>
        <v>475.20304099999998</v>
      </c>
      <c r="V565">
        <f t="shared" si="145"/>
        <v>1649.9999989601999</v>
      </c>
      <c r="W565">
        <f t="shared" si="132"/>
        <v>-116.42474504500005</v>
      </c>
      <c r="X565">
        <f t="shared" si="133"/>
        <v>3.1835752528754</v>
      </c>
      <c r="Y565">
        <f t="shared" si="134"/>
        <v>-119.60832029787545</v>
      </c>
      <c r="Z565">
        <f t="shared" si="135"/>
        <v>36222.236260010912</v>
      </c>
      <c r="AB565">
        <f t="shared" si="136"/>
        <v>1547.044965</v>
      </c>
      <c r="AC565">
        <f t="shared" si="137"/>
        <v>5371.6495274730005</v>
      </c>
      <c r="AD565">
        <f t="shared" si="138"/>
        <v>-379.02601642500019</v>
      </c>
      <c r="AE565">
        <f t="shared" si="139"/>
        <v>10.364273038521</v>
      </c>
      <c r="AF565">
        <f t="shared" si="140"/>
        <v>-389.39028946352119</v>
      </c>
      <c r="AG565">
        <f t="shared" si="146"/>
        <v>53327.104994378591</v>
      </c>
      <c r="AH565" t="b">
        <f t="shared" si="141"/>
        <v>1</v>
      </c>
    </row>
    <row r="566" spans="4:34" hidden="1" x14ac:dyDescent="0.4">
      <c r="D566" t="s">
        <v>61</v>
      </c>
      <c r="E566" t="s">
        <v>37</v>
      </c>
      <c r="F566" s="9">
        <v>45896.208333333336</v>
      </c>
      <c r="G566">
        <v>0.86929999999999996</v>
      </c>
      <c r="H566" s="9">
        <v>45898.208333333336</v>
      </c>
      <c r="I566">
        <v>0.8528</v>
      </c>
      <c r="J566" s="12">
        <v>9732.4</v>
      </c>
      <c r="K566" s="12">
        <v>8460.44</v>
      </c>
      <c r="L566">
        <v>12.57</v>
      </c>
      <c r="M566" s="12">
        <v>-173.15</v>
      </c>
      <c r="N566" s="13">
        <v>-2.0500000000000001E-2</v>
      </c>
      <c r="O566" t="s">
        <v>38</v>
      </c>
      <c r="Q566">
        <f t="shared" si="142"/>
        <v>-160.5845999999996</v>
      </c>
      <c r="R566">
        <f t="shared" si="143"/>
        <v>-173.15459999999959</v>
      </c>
      <c r="S566">
        <f t="shared" si="144"/>
        <v>8299.7907199999991</v>
      </c>
      <c r="U566">
        <f t="shared" si="131"/>
        <v>1898.0789139999999</v>
      </c>
      <c r="V566">
        <f t="shared" si="145"/>
        <v>1649.9999999401998</v>
      </c>
      <c r="W566">
        <f t="shared" si="132"/>
        <v>-31.318302080999921</v>
      </c>
      <c r="X566">
        <f t="shared" si="133"/>
        <v>3.2686816977994</v>
      </c>
      <c r="Y566">
        <f t="shared" si="134"/>
        <v>-34.586983778799322</v>
      </c>
      <c r="Z566">
        <f t="shared" si="135"/>
        <v>36341.844580308789</v>
      </c>
      <c r="AB566">
        <f t="shared" si="136"/>
        <v>6192.2617389999996</v>
      </c>
      <c r="AC566">
        <f t="shared" si="137"/>
        <v>5382.9331297126992</v>
      </c>
      <c r="AD566">
        <f t="shared" si="138"/>
        <v>-102.17231869349975</v>
      </c>
      <c r="AE566">
        <f t="shared" si="139"/>
        <v>10.6636939407319</v>
      </c>
      <c r="AF566">
        <f t="shared" si="140"/>
        <v>-112.83601263423165</v>
      </c>
      <c r="AG566">
        <f t="shared" si="146"/>
        <v>53716.495283842116</v>
      </c>
      <c r="AH566" t="b">
        <f t="shared" si="141"/>
        <v>1</v>
      </c>
    </row>
    <row r="567" spans="4:34" hidden="1" x14ac:dyDescent="0.4">
      <c r="D567" t="s">
        <v>50</v>
      </c>
      <c r="E567" t="s">
        <v>37</v>
      </c>
      <c r="F567" s="9">
        <v>45896.166666666664</v>
      </c>
      <c r="G567">
        <v>334.8</v>
      </c>
      <c r="H567" s="9">
        <v>45898.166666666664</v>
      </c>
      <c r="I567">
        <v>332.2</v>
      </c>
      <c r="J567">
        <v>39.1295</v>
      </c>
      <c r="K567" s="12">
        <v>13100.58</v>
      </c>
      <c r="L567">
        <v>19.57</v>
      </c>
      <c r="M567">
        <v>-121.31</v>
      </c>
      <c r="N567" s="13">
        <v>-9.2999999999999992E-3</v>
      </c>
      <c r="O567" t="s">
        <v>38</v>
      </c>
      <c r="Q567">
        <f t="shared" si="142"/>
        <v>-101.73670000000089</v>
      </c>
      <c r="R567">
        <f t="shared" si="143"/>
        <v>-121.30670000000089</v>
      </c>
      <c r="S567">
        <f t="shared" si="144"/>
        <v>12998.8199</v>
      </c>
      <c r="U567">
        <f t="shared" si="131"/>
        <v>4.9283149999999996</v>
      </c>
      <c r="V567">
        <f t="shared" si="145"/>
        <v>1649.9998619999999</v>
      </c>
      <c r="W567">
        <f t="shared" si="132"/>
        <v>-12.813619000000111</v>
      </c>
      <c r="X567">
        <f t="shared" si="133"/>
        <v>3.287186105</v>
      </c>
      <c r="Y567">
        <f t="shared" si="134"/>
        <v>-16.100805105000113</v>
      </c>
      <c r="Z567">
        <f t="shared" si="135"/>
        <v>36376.431564087587</v>
      </c>
      <c r="AB567">
        <f t="shared" si="136"/>
        <v>16.09376</v>
      </c>
      <c r="AC567">
        <f t="shared" si="137"/>
        <v>5388.1908480000002</v>
      </c>
      <c r="AD567">
        <f t="shared" si="138"/>
        <v>-41.843776000000368</v>
      </c>
      <c r="AE567">
        <f t="shared" si="139"/>
        <v>10.734537920000001</v>
      </c>
      <c r="AF567">
        <f t="shared" si="140"/>
        <v>-52.578313920000369</v>
      </c>
      <c r="AG567">
        <f t="shared" si="146"/>
        <v>53829.331296476346</v>
      </c>
      <c r="AH567" t="b">
        <f t="shared" si="141"/>
        <v>1</v>
      </c>
    </row>
    <row r="568" spans="4:34" hidden="1" x14ac:dyDescent="0.4">
      <c r="D568" t="s">
        <v>54</v>
      </c>
      <c r="E568" t="s">
        <v>37</v>
      </c>
      <c r="F568" s="9">
        <v>45896.125</v>
      </c>
      <c r="G568">
        <v>196.32</v>
      </c>
      <c r="H568" s="9">
        <v>45898.125</v>
      </c>
      <c r="I568">
        <v>213.53</v>
      </c>
      <c r="J568">
        <v>24.945</v>
      </c>
      <c r="K568" s="12">
        <v>4897.34</v>
      </c>
      <c r="L568">
        <v>7.67</v>
      </c>
      <c r="M568">
        <v>421.64</v>
      </c>
      <c r="N568" s="13">
        <v>8.6099999999999996E-2</v>
      </c>
      <c r="O568" t="s">
        <v>38</v>
      </c>
      <c r="Q568">
        <f t="shared" si="142"/>
        <v>429.30345000000023</v>
      </c>
      <c r="R568">
        <f t="shared" si="143"/>
        <v>421.63345000000021</v>
      </c>
      <c r="S568">
        <f t="shared" si="144"/>
        <v>5326.5058500000005</v>
      </c>
      <c r="U568">
        <f t="shared" si="131"/>
        <v>8.4046450000000004</v>
      </c>
      <c r="V568">
        <f t="shared" si="145"/>
        <v>1649.9999064000001</v>
      </c>
      <c r="W568">
        <f t="shared" si="132"/>
        <v>144.64394045000006</v>
      </c>
      <c r="X568">
        <f t="shared" si="133"/>
        <v>3.4446437532500007</v>
      </c>
      <c r="Y568">
        <f t="shared" si="134"/>
        <v>141.19929669675005</v>
      </c>
      <c r="Z568">
        <f t="shared" si="135"/>
        <v>36392.532369192588</v>
      </c>
      <c r="AB568">
        <f t="shared" si="136"/>
        <v>27.213083999999998</v>
      </c>
      <c r="AC568">
        <f t="shared" si="137"/>
        <v>5342.4726508799995</v>
      </c>
      <c r="AD568">
        <f t="shared" si="138"/>
        <v>468.33717564000017</v>
      </c>
      <c r="AE568">
        <f t="shared" si="139"/>
        <v>11.153282477400001</v>
      </c>
      <c r="AF568">
        <f t="shared" si="140"/>
        <v>457.18389316260016</v>
      </c>
      <c r="AG568">
        <f t="shared" si="146"/>
        <v>53881.909610396346</v>
      </c>
      <c r="AH568" t="b">
        <f t="shared" si="141"/>
        <v>1</v>
      </c>
    </row>
    <row r="569" spans="4:34" hidden="1" x14ac:dyDescent="0.4">
      <c r="D569" t="s">
        <v>60</v>
      </c>
      <c r="E569" t="s">
        <v>37</v>
      </c>
      <c r="F569" s="9">
        <v>45895.583333333336</v>
      </c>
      <c r="G569">
        <v>2.9182999999999999</v>
      </c>
      <c r="H569" s="9">
        <v>45898.083333333336</v>
      </c>
      <c r="I569">
        <v>2.9586000000000001</v>
      </c>
      <c r="J569">
        <v>775.6</v>
      </c>
      <c r="K569" s="12">
        <v>2263.5700000000002</v>
      </c>
      <c r="L569">
        <v>3.42</v>
      </c>
      <c r="M569">
        <v>27.84</v>
      </c>
      <c r="N569" s="13">
        <v>1.23E-2</v>
      </c>
      <c r="O569" t="s">
        <v>57</v>
      </c>
      <c r="Q569">
        <f t="shared" si="142"/>
        <v>31.256680000000173</v>
      </c>
      <c r="R569">
        <f t="shared" si="143"/>
        <v>27.836680000000172</v>
      </c>
      <c r="S569">
        <f t="shared" si="144"/>
        <v>2294.6901600000001</v>
      </c>
      <c r="U569">
        <f t="shared" si="131"/>
        <v>565.39766299999997</v>
      </c>
      <c r="V569">
        <f t="shared" si="145"/>
        <v>1649.9999999328998</v>
      </c>
      <c r="W569">
        <f t="shared" si="132"/>
        <v>22.785525818900126</v>
      </c>
      <c r="X569">
        <f t="shared" si="133"/>
        <v>3.3227855256846999</v>
      </c>
      <c r="Y569">
        <f t="shared" si="134"/>
        <v>19.462740293215425</v>
      </c>
      <c r="Z569">
        <f t="shared" si="135"/>
        <v>36251.333072495836</v>
      </c>
      <c r="AB569">
        <f t="shared" si="136"/>
        <v>1828.522849</v>
      </c>
      <c r="AC569">
        <f t="shared" si="137"/>
        <v>5336.1782302367001</v>
      </c>
      <c r="AD569">
        <f t="shared" si="138"/>
        <v>73.689470814700414</v>
      </c>
      <c r="AE569">
        <f t="shared" si="139"/>
        <v>10.7460459312881</v>
      </c>
      <c r="AF569">
        <f t="shared" si="140"/>
        <v>62.943424883412312</v>
      </c>
      <c r="AG569">
        <f t="shared" si="146"/>
        <v>53424.725717233749</v>
      </c>
      <c r="AH569" t="b">
        <f t="shared" si="141"/>
        <v>1</v>
      </c>
    </row>
    <row r="570" spans="4:34" hidden="1" x14ac:dyDescent="0.4">
      <c r="D570" t="s">
        <v>59</v>
      </c>
      <c r="E570" t="s">
        <v>37</v>
      </c>
      <c r="F570" s="9">
        <v>45895.583333333336</v>
      </c>
      <c r="G570" s="12">
        <v>110207.75</v>
      </c>
      <c r="H570" s="9">
        <v>45898.083333333336</v>
      </c>
      <c r="I570" s="12">
        <v>112221.99</v>
      </c>
      <c r="J570">
        <v>9.4850000000000004E-2</v>
      </c>
      <c r="K570" s="12">
        <v>10453.49</v>
      </c>
      <c r="L570">
        <v>15.82</v>
      </c>
      <c r="M570">
        <v>175.23</v>
      </c>
      <c r="N570" s="13">
        <v>1.6799999999999999E-2</v>
      </c>
      <c r="O570" t="s">
        <v>57</v>
      </c>
      <c r="Q570">
        <f t="shared" si="142"/>
        <v>191.05066400000049</v>
      </c>
      <c r="R570">
        <f t="shared" si="143"/>
        <v>175.2306640000005</v>
      </c>
      <c r="S570">
        <f t="shared" si="144"/>
        <v>10644.255751500001</v>
      </c>
      <c r="U570">
        <f t="shared" si="131"/>
        <v>1.4971999999999999E-2</v>
      </c>
      <c r="V570">
        <f t="shared" si="145"/>
        <v>1650.0304329999999</v>
      </c>
      <c r="W570">
        <f t="shared" si="132"/>
        <v>30.157201280000077</v>
      </c>
      <c r="X570">
        <f t="shared" si="133"/>
        <v>3.3302180672799997</v>
      </c>
      <c r="Y570">
        <f t="shared" si="134"/>
        <v>26.826983212720076</v>
      </c>
      <c r="Z570">
        <f t="shared" si="135"/>
        <v>36231.870332202619</v>
      </c>
      <c r="AB570">
        <f t="shared" si="136"/>
        <v>4.8341000000000002E-2</v>
      </c>
      <c r="AC570">
        <f t="shared" si="137"/>
        <v>5327.5528427500003</v>
      </c>
      <c r="AD570">
        <f t="shared" si="138"/>
        <v>97.370375840000264</v>
      </c>
      <c r="AE570">
        <f t="shared" si="139"/>
        <v>10.752476061339999</v>
      </c>
      <c r="AF570">
        <f t="shared" si="140"/>
        <v>86.617899778660259</v>
      </c>
      <c r="AG570">
        <f t="shared" si="146"/>
        <v>53361.782292350334</v>
      </c>
      <c r="AH570" t="b">
        <f t="shared" si="141"/>
        <v>1</v>
      </c>
    </row>
    <row r="571" spans="4:34" hidden="1" x14ac:dyDescent="0.4">
      <c r="D571" t="s">
        <v>56</v>
      </c>
      <c r="E571" t="s">
        <v>37</v>
      </c>
      <c r="F571" s="9">
        <v>45897.208333333336</v>
      </c>
      <c r="G571" s="12">
        <v>4542.5</v>
      </c>
      <c r="H571" s="9">
        <v>45897.875</v>
      </c>
      <c r="I571" s="12">
        <v>4438.74</v>
      </c>
      <c r="J571" s="12">
        <v>1.2593000000000001</v>
      </c>
      <c r="K571" s="12">
        <v>5720.71</v>
      </c>
      <c r="L571">
        <v>8.48</v>
      </c>
      <c r="M571" s="12">
        <v>-139.15</v>
      </c>
      <c r="N571" s="13">
        <v>-2.4299999999999999E-2</v>
      </c>
      <c r="O571" t="s">
        <v>49</v>
      </c>
      <c r="Q571">
        <f t="shared" si="142"/>
        <v>-130.66496800000027</v>
      </c>
      <c r="R571">
        <f t="shared" si="143"/>
        <v>-139.14496800000026</v>
      </c>
      <c r="S571">
        <f t="shared" si="144"/>
        <v>5589.7052819999999</v>
      </c>
      <c r="U571">
        <f t="shared" si="131"/>
        <v>0.363236</v>
      </c>
      <c r="V571">
        <f t="shared" si="145"/>
        <v>1649.99953</v>
      </c>
      <c r="W571">
        <f t="shared" si="132"/>
        <v>-37.689367360000077</v>
      </c>
      <c r="X571">
        <f t="shared" si="133"/>
        <v>3.2623096926399997</v>
      </c>
      <c r="Y571">
        <f t="shared" si="134"/>
        <v>-40.951677052640079</v>
      </c>
      <c r="Z571">
        <f t="shared" si="135"/>
        <v>36205.043348989901</v>
      </c>
      <c r="AB571">
        <f t="shared" si="136"/>
        <v>1.1757340000000001</v>
      </c>
      <c r="AC571">
        <f t="shared" si="137"/>
        <v>5340.7716950000004</v>
      </c>
      <c r="AD571">
        <f t="shared" si="138"/>
        <v>-121.99415984000026</v>
      </c>
      <c r="AE571">
        <f t="shared" si="139"/>
        <v>10.55954923016</v>
      </c>
      <c r="AF571">
        <f t="shared" si="140"/>
        <v>-132.55370907016027</v>
      </c>
      <c r="AG571">
        <f t="shared" si="146"/>
        <v>53275.164392571671</v>
      </c>
      <c r="AH571" t="b">
        <f t="shared" si="141"/>
        <v>1</v>
      </c>
    </row>
    <row r="572" spans="4:34" hidden="1" x14ac:dyDescent="0.4">
      <c r="D572" t="s">
        <v>52</v>
      </c>
      <c r="E572" t="s">
        <v>37</v>
      </c>
      <c r="F572" s="9">
        <v>45895.583333333336</v>
      </c>
      <c r="G572">
        <v>5.0179999999999998</v>
      </c>
      <c r="H572" s="9">
        <v>45897.583333333336</v>
      </c>
      <c r="I572">
        <v>5.0810000000000004</v>
      </c>
      <c r="J572" s="12">
        <v>468.42</v>
      </c>
      <c r="K572" s="12">
        <v>2350.5700000000002</v>
      </c>
      <c r="L572">
        <v>3.55</v>
      </c>
      <c r="M572">
        <v>25.96</v>
      </c>
      <c r="N572" s="13">
        <v>1.0999999999999999E-2</v>
      </c>
      <c r="O572" t="s">
        <v>38</v>
      </c>
      <c r="Q572">
        <f t="shared" si="142"/>
        <v>29.510460000000286</v>
      </c>
      <c r="R572">
        <f t="shared" si="143"/>
        <v>25.960460000000285</v>
      </c>
      <c r="S572">
        <f t="shared" si="144"/>
        <v>2380.0420200000003</v>
      </c>
      <c r="U572">
        <f t="shared" si="131"/>
        <v>328.816261</v>
      </c>
      <c r="V572">
        <f t="shared" si="145"/>
        <v>1649.999997698</v>
      </c>
      <c r="W572">
        <f t="shared" si="132"/>
        <v>20.715424443000202</v>
      </c>
      <c r="X572">
        <f t="shared" si="133"/>
        <v>3.3207154198389999</v>
      </c>
      <c r="Y572">
        <f t="shared" si="134"/>
        <v>17.394709023161202</v>
      </c>
      <c r="Z572">
        <f t="shared" si="135"/>
        <v>36245.995026042539</v>
      </c>
      <c r="AB572">
        <f t="shared" si="136"/>
        <v>1063.2019459999999</v>
      </c>
      <c r="AC572">
        <f t="shared" si="137"/>
        <v>5335.1473650279995</v>
      </c>
      <c r="AD572">
        <f t="shared" si="138"/>
        <v>66.981722598000644</v>
      </c>
      <c r="AE572">
        <f t="shared" si="139"/>
        <v>10.737276452653999</v>
      </c>
      <c r="AF572">
        <f t="shared" si="140"/>
        <v>56.244446145346643</v>
      </c>
      <c r="AG572">
        <f t="shared" si="146"/>
        <v>53407.718101641833</v>
      </c>
      <c r="AH572" t="b">
        <f t="shared" si="141"/>
        <v>1</v>
      </c>
    </row>
    <row r="573" spans="4:34" hidden="1" x14ac:dyDescent="0.4">
      <c r="D573" t="s">
        <v>48</v>
      </c>
      <c r="E573" t="s">
        <v>37</v>
      </c>
      <c r="F573" s="9">
        <v>45895.583333333336</v>
      </c>
      <c r="G573" s="12">
        <v>0.1167</v>
      </c>
      <c r="H573" s="9">
        <v>45897.583333333336</v>
      </c>
      <c r="I573" s="12">
        <v>0.1211</v>
      </c>
      <c r="J573" s="12">
        <v>26607.5</v>
      </c>
      <c r="K573" s="12">
        <v>3105.1</v>
      </c>
      <c r="L573">
        <v>4.75</v>
      </c>
      <c r="M573">
        <v>112.33</v>
      </c>
      <c r="N573" s="13">
        <v>3.6200000000000003E-2</v>
      </c>
      <c r="O573" t="s">
        <v>38</v>
      </c>
      <c r="Q573">
        <f t="shared" si="142"/>
        <v>117.07300000000004</v>
      </c>
      <c r="R573">
        <f t="shared" si="143"/>
        <v>112.32300000000004</v>
      </c>
      <c r="S573">
        <f t="shared" si="144"/>
        <v>3222.1682500000002</v>
      </c>
      <c r="U573">
        <f t="shared" si="131"/>
        <v>14138.817481</v>
      </c>
      <c r="V573">
        <f t="shared" si="145"/>
        <v>1650.0000000327</v>
      </c>
      <c r="W573">
        <f t="shared" si="132"/>
        <v>62.210796916400014</v>
      </c>
      <c r="X573">
        <f t="shared" si="133"/>
        <v>3.3622107969818003</v>
      </c>
      <c r="Y573">
        <f t="shared" si="134"/>
        <v>58.848586119418215</v>
      </c>
      <c r="Z573">
        <f t="shared" si="135"/>
        <v>36228.60031701938</v>
      </c>
      <c r="AB573">
        <f t="shared" si="136"/>
        <v>45554.299529000004</v>
      </c>
      <c r="AC573">
        <f t="shared" si="137"/>
        <v>5316.1867550343004</v>
      </c>
      <c r="AD573">
        <f t="shared" si="138"/>
        <v>200.43891792760007</v>
      </c>
      <c r="AE573">
        <f t="shared" si="139"/>
        <v>10.832812427996201</v>
      </c>
      <c r="AF573">
        <f t="shared" si="140"/>
        <v>189.60610549960387</v>
      </c>
      <c r="AG573">
        <f t="shared" si="146"/>
        <v>53351.473655496484</v>
      </c>
      <c r="AH573" t="b">
        <f t="shared" si="141"/>
        <v>1</v>
      </c>
    </row>
    <row r="574" spans="4:34" hidden="1" x14ac:dyDescent="0.4">
      <c r="D574" t="s">
        <v>55</v>
      </c>
      <c r="E574" t="s">
        <v>37</v>
      </c>
      <c r="F574" s="9">
        <v>45895.583333333336</v>
      </c>
      <c r="G574">
        <v>5.8669999999999999E-5</v>
      </c>
      <c r="H574" s="9">
        <v>45897.583333333336</v>
      </c>
      <c r="I574">
        <v>6.0239999999999999E-5</v>
      </c>
      <c r="J574" s="12">
        <v>101059854.89</v>
      </c>
      <c r="K574" s="12">
        <v>5929.18</v>
      </c>
      <c r="L574">
        <v>9.01</v>
      </c>
      <c r="M574">
        <v>149.65</v>
      </c>
      <c r="N574" s="13">
        <v>2.52E-2</v>
      </c>
      <c r="O574" t="s">
        <v>38</v>
      </c>
      <c r="Q574">
        <f t="shared" si="142"/>
        <v>158.66397217730002</v>
      </c>
      <c r="R574">
        <f t="shared" si="143"/>
        <v>149.65397217730003</v>
      </c>
      <c r="S574">
        <f t="shared" si="144"/>
        <v>6087.8456585736003</v>
      </c>
      <c r="U574">
        <f t="shared" si="131"/>
        <v>28123402.079427</v>
      </c>
      <c r="V574">
        <f t="shared" si="145"/>
        <v>1649.999999999982</v>
      </c>
      <c r="W574">
        <f t="shared" si="132"/>
        <v>44.153741264700393</v>
      </c>
      <c r="X574">
        <f t="shared" si="133"/>
        <v>3.3441537412646647</v>
      </c>
      <c r="Y574">
        <f t="shared" si="134"/>
        <v>40.809587523435731</v>
      </c>
      <c r="Z574">
        <f t="shared" si="135"/>
        <v>36169.75173089996</v>
      </c>
      <c r="AB574">
        <f t="shared" si="136"/>
        <v>90388113.622295007</v>
      </c>
      <c r="AC574">
        <f t="shared" si="137"/>
        <v>5303.0706262200483</v>
      </c>
      <c r="AD574">
        <f t="shared" si="138"/>
        <v>141.90933838700317</v>
      </c>
      <c r="AE574">
        <f t="shared" si="139"/>
        <v>10.748050590827098</v>
      </c>
      <c r="AF574">
        <f t="shared" si="140"/>
        <v>131.16128779617608</v>
      </c>
      <c r="AG574">
        <f t="shared" si="146"/>
        <v>53161.867549996881</v>
      </c>
      <c r="AH574" t="b">
        <f t="shared" si="141"/>
        <v>1</v>
      </c>
    </row>
    <row r="575" spans="4:34" hidden="1" x14ac:dyDescent="0.4">
      <c r="D575" t="s">
        <v>53</v>
      </c>
      <c r="E575" t="s">
        <v>37</v>
      </c>
      <c r="F575" s="9">
        <v>45895.583333333336</v>
      </c>
      <c r="G575" s="12">
        <v>847.01</v>
      </c>
      <c r="H575" s="9">
        <v>45897.583333333336</v>
      </c>
      <c r="I575" s="12">
        <v>877.01</v>
      </c>
      <c r="J575">
        <v>11.271000000000001</v>
      </c>
      <c r="K575" s="12">
        <v>9546.82</v>
      </c>
      <c r="L575">
        <v>14.57</v>
      </c>
      <c r="M575">
        <v>323.56</v>
      </c>
      <c r="N575" s="13">
        <v>3.39E-2</v>
      </c>
      <c r="O575" t="s">
        <v>38</v>
      </c>
      <c r="Q575">
        <f t="shared" si="142"/>
        <v>338.13</v>
      </c>
      <c r="R575">
        <f t="shared" si="143"/>
        <v>323.56</v>
      </c>
      <c r="S575">
        <f t="shared" si="144"/>
        <v>9884.7797100000007</v>
      </c>
      <c r="U575">
        <f t="shared" si="131"/>
        <v>1.948029</v>
      </c>
      <c r="V575">
        <f t="shared" si="145"/>
        <v>1650.0000432899999</v>
      </c>
      <c r="W575">
        <f t="shared" si="132"/>
        <v>58.440870000000004</v>
      </c>
      <c r="X575">
        <f t="shared" si="133"/>
        <v>3.3584409565800004</v>
      </c>
      <c r="Y575">
        <f t="shared" si="134"/>
        <v>55.082429043420007</v>
      </c>
      <c r="Z575">
        <f t="shared" si="135"/>
        <v>36128.942143376524</v>
      </c>
      <c r="AB575">
        <f t="shared" si="136"/>
        <v>6.2400989999999998</v>
      </c>
      <c r="AC575">
        <f t="shared" si="137"/>
        <v>5285.4262539900001</v>
      </c>
      <c r="AD575">
        <f t="shared" si="138"/>
        <v>187.20296999999999</v>
      </c>
      <c r="AE575">
        <f t="shared" si="139"/>
        <v>10.758055477980001</v>
      </c>
      <c r="AF575">
        <f t="shared" si="140"/>
        <v>176.44491452201999</v>
      </c>
      <c r="AG575">
        <f t="shared" si="146"/>
        <v>53030.706262200707</v>
      </c>
      <c r="AH575" t="b">
        <f t="shared" si="141"/>
        <v>1</v>
      </c>
    </row>
    <row r="576" spans="4:34" hidden="1" x14ac:dyDescent="0.4">
      <c r="D576" t="s">
        <v>56</v>
      </c>
      <c r="E576" t="s">
        <v>37</v>
      </c>
      <c r="F576" s="9">
        <v>45896.208333333336</v>
      </c>
      <c r="G576" s="12">
        <v>4603.97</v>
      </c>
      <c r="H576" s="9">
        <v>45897</v>
      </c>
      <c r="I576" s="12">
        <v>4492.21</v>
      </c>
      <c r="J576">
        <v>1.2457</v>
      </c>
      <c r="K576" s="12">
        <v>5735.48</v>
      </c>
      <c r="L576">
        <v>8.5</v>
      </c>
      <c r="M576">
        <v>-147.71</v>
      </c>
      <c r="N576" s="13">
        <v>-2.58E-2</v>
      </c>
      <c r="O576" t="s">
        <v>49</v>
      </c>
      <c r="Q576">
        <f t="shared" si="142"/>
        <v>-139.21943200000027</v>
      </c>
      <c r="R576">
        <f t="shared" si="143"/>
        <v>-147.71943200000027</v>
      </c>
      <c r="S576">
        <f t="shared" si="144"/>
        <v>5595.9459969999998</v>
      </c>
      <c r="U576">
        <f t="shared" si="131"/>
        <v>0.35838599999999998</v>
      </c>
      <c r="V576">
        <f t="shared" si="145"/>
        <v>1649.9983924200001</v>
      </c>
      <c r="W576">
        <f t="shared" si="132"/>
        <v>-40.053219360000078</v>
      </c>
      <c r="X576">
        <f t="shared" si="133"/>
        <v>3.25994356548</v>
      </c>
      <c r="Y576">
        <f t="shared" si="134"/>
        <v>-43.313162925480079</v>
      </c>
      <c r="Z576">
        <f t="shared" si="135"/>
        <v>36073.859714333106</v>
      </c>
      <c r="AB576">
        <f t="shared" si="136"/>
        <v>1.1510359999999999</v>
      </c>
      <c r="AC576">
        <f t="shared" si="137"/>
        <v>5299.3352129200002</v>
      </c>
      <c r="AD576">
        <f t="shared" si="138"/>
        <v>-128.63978336000025</v>
      </c>
      <c r="AE576">
        <f t="shared" si="139"/>
        <v>10.470030642479999</v>
      </c>
      <c r="AF576">
        <f t="shared" si="140"/>
        <v>-139.10981400248025</v>
      </c>
      <c r="AG576">
        <f t="shared" si="146"/>
        <v>52854.261347678686</v>
      </c>
      <c r="AH576" t="b">
        <f t="shared" si="141"/>
        <v>1</v>
      </c>
    </row>
    <row r="577" spans="4:34" hidden="1" x14ac:dyDescent="0.4">
      <c r="D577" t="s">
        <v>43</v>
      </c>
      <c r="E577" t="s">
        <v>37</v>
      </c>
      <c r="F577" s="9">
        <v>45893.666666666664</v>
      </c>
      <c r="G577">
        <v>3.6412</v>
      </c>
      <c r="H577" s="9">
        <v>45895.666666666664</v>
      </c>
      <c r="I577">
        <v>3.4380000000000002</v>
      </c>
      <c r="J577">
        <v>526.79999999999995</v>
      </c>
      <c r="K577" s="12">
        <v>1918.44</v>
      </c>
      <c r="L577">
        <v>2.8</v>
      </c>
      <c r="M577">
        <v>-109.84</v>
      </c>
      <c r="N577" s="13">
        <v>-5.7299999999999997E-2</v>
      </c>
      <c r="O577" t="s">
        <v>38</v>
      </c>
      <c r="Q577">
        <f t="shared" si="142"/>
        <v>-107.0457599999999</v>
      </c>
      <c r="R577">
        <f t="shared" si="143"/>
        <v>-109.8457599999999</v>
      </c>
      <c r="S577">
        <f t="shared" si="144"/>
        <v>1811.1383999999998</v>
      </c>
      <c r="U577">
        <f t="shared" si="131"/>
        <v>453.14731399999999</v>
      </c>
      <c r="V577">
        <f t="shared" si="145"/>
        <v>1649.9999997368</v>
      </c>
      <c r="W577">
        <f t="shared" si="132"/>
        <v>-92.079534204799913</v>
      </c>
      <c r="X577">
        <f t="shared" si="133"/>
        <v>3.2079204652688</v>
      </c>
      <c r="Y577">
        <f t="shared" si="134"/>
        <v>-95.287454670068712</v>
      </c>
      <c r="Z577">
        <f t="shared" si="135"/>
        <v>36117.172877258585</v>
      </c>
      <c r="AB577">
        <f t="shared" si="136"/>
        <v>1463.8356960000001</v>
      </c>
      <c r="AC577">
        <f t="shared" si="137"/>
        <v>5330.1185362752003</v>
      </c>
      <c r="AD577">
        <f t="shared" si="138"/>
        <v>-297.45141342719978</v>
      </c>
      <c r="AE577">
        <f t="shared" si="139"/>
        <v>10.362785659123201</v>
      </c>
      <c r="AF577">
        <f t="shared" si="140"/>
        <v>-307.81419908632296</v>
      </c>
      <c r="AG577">
        <f t="shared" si="146"/>
        <v>52993.371161681163</v>
      </c>
      <c r="AH577" t="b">
        <f t="shared" si="141"/>
        <v>1</v>
      </c>
    </row>
    <row r="578" spans="4:34" hidden="1" x14ac:dyDescent="0.4">
      <c r="D578" t="s">
        <v>54</v>
      </c>
      <c r="E578" t="s">
        <v>37</v>
      </c>
      <c r="F578" s="9">
        <v>45893.666666666664</v>
      </c>
      <c r="G578">
        <v>206.05</v>
      </c>
      <c r="H578" s="9">
        <v>45895.666666666664</v>
      </c>
      <c r="I578">
        <v>191.59</v>
      </c>
      <c r="J578">
        <v>23.939</v>
      </c>
      <c r="K578" s="12">
        <v>4932.67</v>
      </c>
      <c r="L578">
        <v>7.14</v>
      </c>
      <c r="M578">
        <v>-353.3</v>
      </c>
      <c r="N578" s="13">
        <v>-7.1599999999999997E-2</v>
      </c>
      <c r="O578" t="s">
        <v>38</v>
      </c>
      <c r="Q578">
        <f t="shared" si="142"/>
        <v>-346.15794000000017</v>
      </c>
      <c r="R578">
        <f t="shared" si="143"/>
        <v>-353.29794000000015</v>
      </c>
      <c r="S578">
        <f t="shared" si="144"/>
        <v>4586.4730099999997</v>
      </c>
      <c r="U578">
        <f t="shared" si="131"/>
        <v>8.0077649999999991</v>
      </c>
      <c r="V578">
        <f t="shared" si="145"/>
        <v>1649.9999782499999</v>
      </c>
      <c r="W578">
        <f t="shared" si="132"/>
        <v>-115.79228190000005</v>
      </c>
      <c r="X578">
        <f t="shared" si="133"/>
        <v>3.1842076745999996</v>
      </c>
      <c r="Y578">
        <f t="shared" si="134"/>
        <v>-118.97648957460005</v>
      </c>
      <c r="Z578">
        <f t="shared" si="135"/>
        <v>36212.460331928654</v>
      </c>
      <c r="AB578">
        <f t="shared" si="136"/>
        <v>26.055965</v>
      </c>
      <c r="AC578">
        <f t="shared" si="137"/>
        <v>5368.8315882500001</v>
      </c>
      <c r="AD578">
        <f t="shared" si="138"/>
        <v>-376.76925390000019</v>
      </c>
      <c r="AE578">
        <f t="shared" si="139"/>
        <v>10.360893922600001</v>
      </c>
      <c r="AF578">
        <f t="shared" si="140"/>
        <v>-387.13014782260018</v>
      </c>
      <c r="AG578">
        <f t="shared" si="146"/>
        <v>53301.185360767486</v>
      </c>
      <c r="AH578" t="b">
        <f t="shared" si="141"/>
        <v>1</v>
      </c>
    </row>
    <row r="579" spans="4:34" hidden="1" x14ac:dyDescent="0.4">
      <c r="D579" t="s">
        <v>61</v>
      </c>
      <c r="E579" t="s">
        <v>37</v>
      </c>
      <c r="F579" s="9">
        <v>45893.666666666664</v>
      </c>
      <c r="G579">
        <v>0.90059999999999996</v>
      </c>
      <c r="H579" s="9">
        <v>45895.666666666664</v>
      </c>
      <c r="I579">
        <v>0.85499999999999998</v>
      </c>
      <c r="J579" s="12">
        <v>9443.4</v>
      </c>
      <c r="K579" s="12">
        <v>8504.74</v>
      </c>
      <c r="L579">
        <v>12.43</v>
      </c>
      <c r="M579">
        <v>-443.05</v>
      </c>
      <c r="N579" s="13">
        <v>-5.21E-2</v>
      </c>
      <c r="O579" t="s">
        <v>38</v>
      </c>
      <c r="Q579">
        <f t="shared" si="142"/>
        <v>-430.61903999999976</v>
      </c>
      <c r="R579">
        <f t="shared" si="143"/>
        <v>-443.04903999999976</v>
      </c>
      <c r="S579">
        <f t="shared" si="144"/>
        <v>8074.107</v>
      </c>
      <c r="U579">
        <f t="shared" si="131"/>
        <v>1832.1119249999999</v>
      </c>
      <c r="V579">
        <f t="shared" si="145"/>
        <v>1649.9999996549998</v>
      </c>
      <c r="W579">
        <f t="shared" si="132"/>
        <v>-83.54430377999995</v>
      </c>
      <c r="X579">
        <f t="shared" si="133"/>
        <v>3.2164556955299997</v>
      </c>
      <c r="Y579">
        <f t="shared" si="134"/>
        <v>-86.760759475529952</v>
      </c>
      <c r="Z579">
        <f t="shared" si="135"/>
        <v>36331.436821503252</v>
      </c>
      <c r="AB579">
        <f t="shared" si="136"/>
        <v>5992.9061929999998</v>
      </c>
      <c r="AC579">
        <f t="shared" si="137"/>
        <v>5397.2113174157994</v>
      </c>
      <c r="AD579">
        <f t="shared" si="138"/>
        <v>-273.27652240079982</v>
      </c>
      <c r="AE579">
        <f t="shared" si="139"/>
        <v>10.521146112430799</v>
      </c>
      <c r="AF579">
        <f t="shared" si="140"/>
        <v>-283.79766851323063</v>
      </c>
      <c r="AG579">
        <f t="shared" si="146"/>
        <v>53688.315508590087</v>
      </c>
      <c r="AH579" t="b">
        <f t="shared" si="141"/>
        <v>1</v>
      </c>
    </row>
    <row r="580" spans="4:34" hidden="1" x14ac:dyDescent="0.4">
      <c r="D580" t="s">
        <v>60</v>
      </c>
      <c r="E580" t="s">
        <v>37</v>
      </c>
      <c r="F580" s="9">
        <v>45892.25</v>
      </c>
      <c r="G580">
        <v>3.032</v>
      </c>
      <c r="H580" s="9">
        <v>45894.75</v>
      </c>
      <c r="I580">
        <v>2.9496000000000002</v>
      </c>
      <c r="J580">
        <v>748.7</v>
      </c>
      <c r="K580" s="12">
        <v>2270.08</v>
      </c>
      <c r="L580">
        <v>3.36</v>
      </c>
      <c r="M580">
        <v>-65.05</v>
      </c>
      <c r="N580" s="13">
        <v>-2.87E-2</v>
      </c>
      <c r="O580" t="s">
        <v>57</v>
      </c>
      <c r="Q580">
        <f t="shared" si="142"/>
        <v>-61.69287999999986</v>
      </c>
      <c r="R580">
        <f t="shared" si="143"/>
        <v>-65.05287999999986</v>
      </c>
      <c r="S580">
        <f t="shared" si="144"/>
        <v>2208.3655200000003</v>
      </c>
      <c r="U580">
        <f t="shared" si="131"/>
        <v>544.19525099999998</v>
      </c>
      <c r="V580">
        <f t="shared" si="145"/>
        <v>1650.000001032</v>
      </c>
      <c r="W580">
        <f t="shared" si="132"/>
        <v>-44.841688682399891</v>
      </c>
      <c r="X580">
        <f t="shared" si="133"/>
        <v>3.2551583133816</v>
      </c>
      <c r="Y580">
        <f t="shared" si="134"/>
        <v>-48.09684699578149</v>
      </c>
      <c r="Z580">
        <f t="shared" si="135"/>
        <v>36418.197580978784</v>
      </c>
      <c r="AB580">
        <f t="shared" si="136"/>
        <v>1785.2869290000001</v>
      </c>
      <c r="AC580">
        <f t="shared" si="137"/>
        <v>5412.9899687280003</v>
      </c>
      <c r="AD580">
        <f t="shared" si="138"/>
        <v>-147.10764294959966</v>
      </c>
      <c r="AE580">
        <f t="shared" si="139"/>
        <v>10.678872294506402</v>
      </c>
      <c r="AF580">
        <f t="shared" si="140"/>
        <v>-157.78651524410606</v>
      </c>
      <c r="AG580">
        <f t="shared" si="146"/>
        <v>53972.113177103318</v>
      </c>
      <c r="AH580" t="b">
        <f t="shared" si="141"/>
        <v>1</v>
      </c>
    </row>
    <row r="581" spans="4:34" hidden="1" x14ac:dyDescent="0.4">
      <c r="D581" t="s">
        <v>58</v>
      </c>
      <c r="E581" t="s">
        <v>37</v>
      </c>
      <c r="F581" s="9">
        <v>45892.666666666664</v>
      </c>
      <c r="G581">
        <v>25.91</v>
      </c>
      <c r="H581" s="9">
        <v>45894.666666666664</v>
      </c>
      <c r="I581">
        <v>24.59</v>
      </c>
      <c r="J581">
        <v>291.04000000000002</v>
      </c>
      <c r="K581" s="12">
        <v>7541</v>
      </c>
      <c r="L581">
        <v>11.02</v>
      </c>
      <c r="M581">
        <v>-395.2</v>
      </c>
      <c r="N581" s="13">
        <v>-5.2400000000000002E-2</v>
      </c>
      <c r="O581" t="s">
        <v>38</v>
      </c>
      <c r="Q581">
        <f t="shared" si="142"/>
        <v>-384.17280000000011</v>
      </c>
      <c r="R581">
        <f t="shared" si="143"/>
        <v>-395.19280000000009</v>
      </c>
      <c r="S581">
        <f t="shared" si="144"/>
        <v>7156.6736000000001</v>
      </c>
      <c r="U581">
        <f t="shared" si="131"/>
        <v>63.681975999999999</v>
      </c>
      <c r="V581">
        <f t="shared" si="145"/>
        <v>1649.9999981599999</v>
      </c>
      <c r="W581">
        <f t="shared" si="132"/>
        <v>-84.060208320000015</v>
      </c>
      <c r="X581">
        <f t="shared" si="133"/>
        <v>3.215939788</v>
      </c>
      <c r="Y581">
        <f t="shared" si="134"/>
        <v>-87.276148108000015</v>
      </c>
      <c r="Z581">
        <f t="shared" si="135"/>
        <v>36466.294427974564</v>
      </c>
      <c r="AB581">
        <f t="shared" si="136"/>
        <v>210.026014</v>
      </c>
      <c r="AC581">
        <f t="shared" si="137"/>
        <v>5441.77402274</v>
      </c>
      <c r="AD581">
        <f t="shared" si="138"/>
        <v>-277.23433848000008</v>
      </c>
      <c r="AE581">
        <f t="shared" si="139"/>
        <v>10.606313707</v>
      </c>
      <c r="AF581">
        <f t="shared" si="140"/>
        <v>-287.8406521870001</v>
      </c>
      <c r="AG581">
        <f t="shared" si="146"/>
        <v>54129.899692347426</v>
      </c>
      <c r="AH581" t="b">
        <f t="shared" si="141"/>
        <v>1</v>
      </c>
    </row>
    <row r="582" spans="4:34" hidden="1" x14ac:dyDescent="0.4">
      <c r="D582" t="s">
        <v>56</v>
      </c>
      <c r="E582" t="s">
        <v>37</v>
      </c>
      <c r="F582" s="9">
        <v>45892.666666666664</v>
      </c>
      <c r="G582" s="12">
        <v>4725.3900000000003</v>
      </c>
      <c r="H582" s="9">
        <v>45894.333333333336</v>
      </c>
      <c r="I582" s="12">
        <v>4623.29</v>
      </c>
      <c r="J582">
        <v>1.2164999999999999</v>
      </c>
      <c r="K582" s="12">
        <v>5748.75</v>
      </c>
      <c r="L582">
        <v>8.5299999999999994</v>
      </c>
      <c r="M582">
        <v>-132.72999999999999</v>
      </c>
      <c r="N582" s="13">
        <v>-2.3099999999999999E-2</v>
      </c>
      <c r="O582" t="s">
        <v>49</v>
      </c>
      <c r="Q582">
        <f t="shared" si="142"/>
        <v>-124.20465000000043</v>
      </c>
      <c r="R582">
        <f t="shared" si="143"/>
        <v>-132.73465000000041</v>
      </c>
      <c r="S582">
        <f t="shared" si="144"/>
        <v>5624.2322849999991</v>
      </c>
      <c r="U582">
        <f t="shared" si="131"/>
        <v>0.34917799999999999</v>
      </c>
      <c r="V582">
        <f t="shared" si="145"/>
        <v>1650.00222942</v>
      </c>
      <c r="W582">
        <f t="shared" si="132"/>
        <v>-35.651073800000127</v>
      </c>
      <c r="X582">
        <f t="shared" si="133"/>
        <v>3.2643533850399997</v>
      </c>
      <c r="Y582">
        <f t="shared" si="134"/>
        <v>-38.91542718504013</v>
      </c>
      <c r="Z582">
        <f t="shared" si="135"/>
        <v>36553.570576082566</v>
      </c>
      <c r="AB582">
        <f t="shared" si="136"/>
        <v>1.154326</v>
      </c>
      <c r="AC582">
        <f t="shared" si="137"/>
        <v>5454.6405371400006</v>
      </c>
      <c r="AD582">
        <f t="shared" si="138"/>
        <v>-117.85668460000042</v>
      </c>
      <c r="AE582">
        <f t="shared" si="139"/>
        <v>10.79142438968</v>
      </c>
      <c r="AF582">
        <f t="shared" si="140"/>
        <v>-128.64810898968042</v>
      </c>
      <c r="AG582">
        <f t="shared" si="146"/>
        <v>54417.740344534424</v>
      </c>
      <c r="AH582" t="b">
        <f t="shared" si="141"/>
        <v>1</v>
      </c>
    </row>
    <row r="583" spans="4:34" hidden="1" x14ac:dyDescent="0.4">
      <c r="D583" t="s">
        <v>52</v>
      </c>
      <c r="E583" t="s">
        <v>37</v>
      </c>
      <c r="F583" s="9">
        <v>45892.25</v>
      </c>
      <c r="G583">
        <v>5.4180000000000001</v>
      </c>
      <c r="H583" s="9">
        <v>45894.25</v>
      </c>
      <c r="I583">
        <v>5.2480000000000002</v>
      </c>
      <c r="J583" s="12">
        <v>435.27</v>
      </c>
      <c r="K583" s="12">
        <v>2358.31</v>
      </c>
      <c r="L583">
        <v>3.48</v>
      </c>
      <c r="M583">
        <v>-77.48</v>
      </c>
      <c r="N583" s="13">
        <v>-3.2899999999999999E-2</v>
      </c>
      <c r="O583" t="s">
        <v>38</v>
      </c>
      <c r="Q583">
        <f t="shared" si="142"/>
        <v>-73.995899999999963</v>
      </c>
      <c r="R583">
        <f t="shared" si="143"/>
        <v>-77.475899999999967</v>
      </c>
      <c r="S583">
        <f t="shared" si="144"/>
        <v>2284.2969600000001</v>
      </c>
      <c r="U583">
        <f t="shared" si="131"/>
        <v>304.54042099999998</v>
      </c>
      <c r="V583">
        <f t="shared" si="145"/>
        <v>1650.0000009779999</v>
      </c>
      <c r="W583">
        <f t="shared" si="132"/>
        <v>-51.771871569999973</v>
      </c>
      <c r="X583">
        <f t="shared" si="133"/>
        <v>3.2482281303859999</v>
      </c>
      <c r="Y583">
        <f t="shared" si="134"/>
        <v>-55.02009970038597</v>
      </c>
      <c r="Z583">
        <f t="shared" si="135"/>
        <v>36592.486003267608</v>
      </c>
      <c r="AB583">
        <f t="shared" si="136"/>
        <v>1010.130763</v>
      </c>
      <c r="AC583">
        <f t="shared" si="137"/>
        <v>5472.8884739340001</v>
      </c>
      <c r="AD583">
        <f t="shared" si="138"/>
        <v>-171.72222970999994</v>
      </c>
      <c r="AE583">
        <f t="shared" si="139"/>
        <v>10.774054718158</v>
      </c>
      <c r="AF583">
        <f t="shared" si="140"/>
        <v>-182.49628442815794</v>
      </c>
      <c r="AG583">
        <f t="shared" si="146"/>
        <v>54546.388453524101</v>
      </c>
      <c r="AH583" t="b">
        <f t="shared" si="141"/>
        <v>1</v>
      </c>
    </row>
    <row r="584" spans="4:34" hidden="1" x14ac:dyDescent="0.4">
      <c r="D584" t="s">
        <v>55</v>
      </c>
      <c r="E584" t="s">
        <v>37</v>
      </c>
      <c r="F584" s="9">
        <v>45892.25</v>
      </c>
      <c r="G584" s="12">
        <v>6.2399999999999999E-5</v>
      </c>
      <c r="H584" s="9">
        <v>45894.25</v>
      </c>
      <c r="I584" s="12">
        <v>6.0170000000000002E-5</v>
      </c>
      <c r="J584" s="12">
        <v>95373826.879999995</v>
      </c>
      <c r="K584" s="12">
        <v>5951.33</v>
      </c>
      <c r="L584">
        <v>8.77</v>
      </c>
      <c r="M584">
        <v>-221.45</v>
      </c>
      <c r="N584" s="13">
        <v>-3.7199999999999997E-2</v>
      </c>
      <c r="O584" t="s">
        <v>38</v>
      </c>
      <c r="Q584">
        <f t="shared" si="142"/>
        <v>-212.68363394239972</v>
      </c>
      <c r="R584">
        <f t="shared" si="143"/>
        <v>-221.45363394239973</v>
      </c>
      <c r="S584">
        <f t="shared" si="144"/>
        <v>5738.6431633696002</v>
      </c>
      <c r="U584">
        <f t="shared" si="131"/>
        <v>26442307.692308001</v>
      </c>
      <c r="V584">
        <f t="shared" si="145"/>
        <v>1650.0000000000193</v>
      </c>
      <c r="W584">
        <f t="shared" si="132"/>
        <v>-58.966346153846771</v>
      </c>
      <c r="X584">
        <f t="shared" si="133"/>
        <v>3.2410336538461921</v>
      </c>
      <c r="Y584">
        <f t="shared" si="134"/>
        <v>-62.207379807692966</v>
      </c>
      <c r="Z584">
        <f t="shared" si="135"/>
        <v>36647.506102967993</v>
      </c>
      <c r="AB584">
        <f t="shared" si="136"/>
        <v>88038463.760644004</v>
      </c>
      <c r="AC584">
        <f t="shared" si="137"/>
        <v>5493.6001386641856</v>
      </c>
      <c r="AD584">
        <f t="shared" si="138"/>
        <v>-196.32577418623589</v>
      </c>
      <c r="AE584">
        <f t="shared" si="139"/>
        <v>10.790874503142136</v>
      </c>
      <c r="AF584">
        <f t="shared" si="140"/>
        <v>-207.11664868937802</v>
      </c>
      <c r="AG584">
        <f t="shared" si="146"/>
        <v>54728.884737952256</v>
      </c>
      <c r="AH584" t="b">
        <f t="shared" si="141"/>
        <v>1</v>
      </c>
    </row>
    <row r="585" spans="4:34" hidden="1" x14ac:dyDescent="0.4">
      <c r="D585" t="s">
        <v>53</v>
      </c>
      <c r="E585" t="s">
        <v>37</v>
      </c>
      <c r="F585" s="9">
        <v>45892.25</v>
      </c>
      <c r="G585">
        <v>887.22</v>
      </c>
      <c r="H585" s="9">
        <v>45894.25</v>
      </c>
      <c r="I585">
        <v>877.26</v>
      </c>
      <c r="J585">
        <v>10.773999999999999</v>
      </c>
      <c r="K585" s="12">
        <v>9558.98</v>
      </c>
      <c r="L585">
        <v>14.26</v>
      </c>
      <c r="M585">
        <v>-121.57</v>
      </c>
      <c r="N585" s="13">
        <v>-1.2699999999999999E-2</v>
      </c>
      <c r="O585" t="s">
        <v>38</v>
      </c>
      <c r="Q585">
        <f t="shared" si="142"/>
        <v>-107.30904000000038</v>
      </c>
      <c r="R585">
        <f t="shared" si="143"/>
        <v>-121.56904000000038</v>
      </c>
      <c r="S585">
        <f t="shared" si="144"/>
        <v>9451.5992399999996</v>
      </c>
      <c r="U585">
        <f t="shared" si="131"/>
        <v>1.859742</v>
      </c>
      <c r="V585">
        <f t="shared" si="145"/>
        <v>1650.00029724</v>
      </c>
      <c r="W585">
        <f t="shared" si="132"/>
        <v>-18.523030320000068</v>
      </c>
      <c r="X585">
        <f t="shared" si="133"/>
        <v>3.2814775641600002</v>
      </c>
      <c r="Y585">
        <f t="shared" si="134"/>
        <v>-21.804507884160067</v>
      </c>
      <c r="Z585">
        <f t="shared" si="135"/>
        <v>36709.713482775689</v>
      </c>
      <c r="AB585">
        <f t="shared" si="136"/>
        <v>6.2001189999999999</v>
      </c>
      <c r="AC585">
        <f t="shared" si="137"/>
        <v>5500.8695791800001</v>
      </c>
      <c r="AD585">
        <f t="shared" si="138"/>
        <v>-61.753185240000228</v>
      </c>
      <c r="AE585">
        <f t="shared" si="139"/>
        <v>10.939985973120001</v>
      </c>
      <c r="AF585">
        <f t="shared" si="140"/>
        <v>-72.693171213120223</v>
      </c>
      <c r="AG585">
        <f t="shared" si="146"/>
        <v>54936.001386641634</v>
      </c>
      <c r="AH585" t="b">
        <f t="shared" si="141"/>
        <v>1</v>
      </c>
    </row>
    <row r="586" spans="4:34" hidden="1" x14ac:dyDescent="0.4">
      <c r="D586" t="s">
        <v>59</v>
      </c>
      <c r="E586" t="s">
        <v>37</v>
      </c>
      <c r="F586" s="9">
        <v>45891.666666666664</v>
      </c>
      <c r="G586" s="12">
        <v>115805.18</v>
      </c>
      <c r="H586" s="9">
        <v>45894.166666666664</v>
      </c>
      <c r="I586" s="12">
        <v>113409.45</v>
      </c>
      <c r="J586" s="12">
        <v>9.0459999999999999E-2</v>
      </c>
      <c r="K586" s="12">
        <v>10476.719999999999</v>
      </c>
      <c r="L586">
        <v>15.55</v>
      </c>
      <c r="M586">
        <v>-232.27</v>
      </c>
      <c r="N586" s="13">
        <v>-2.2200000000000001E-2</v>
      </c>
      <c r="O586" t="s">
        <v>57</v>
      </c>
      <c r="Q586">
        <f t="shared" si="142"/>
        <v>-216.71773579999962</v>
      </c>
      <c r="R586">
        <f t="shared" si="143"/>
        <v>-232.26773579999963</v>
      </c>
      <c r="S586">
        <f t="shared" si="144"/>
        <v>10259.018846999999</v>
      </c>
      <c r="U586">
        <f t="shared" si="131"/>
        <v>1.4248E-2</v>
      </c>
      <c r="V586">
        <f t="shared" si="145"/>
        <v>1649.99220464</v>
      </c>
      <c r="W586">
        <f t="shared" si="132"/>
        <v>-34.134361039999945</v>
      </c>
      <c r="X586">
        <f t="shared" si="133"/>
        <v>3.2658500482399999</v>
      </c>
      <c r="Y586">
        <f t="shared" si="134"/>
        <v>-37.400211088239942</v>
      </c>
      <c r="Z586">
        <f t="shared" si="135"/>
        <v>36731.51799065985</v>
      </c>
      <c r="AB586">
        <f t="shared" si="136"/>
        <v>4.7608999999999999E-2</v>
      </c>
      <c r="AC586">
        <f t="shared" si="137"/>
        <v>5513.3688146199993</v>
      </c>
      <c r="AD586">
        <f t="shared" si="138"/>
        <v>-114.05830956999981</v>
      </c>
      <c r="AE586">
        <f t="shared" si="139"/>
        <v>10.91267931967</v>
      </c>
      <c r="AF586">
        <f t="shared" si="140"/>
        <v>-124.97098888966981</v>
      </c>
      <c r="AG586">
        <f t="shared" si="146"/>
        <v>55008.694557854753</v>
      </c>
      <c r="AH586" t="b">
        <f t="shared" si="141"/>
        <v>1</v>
      </c>
    </row>
    <row r="587" spans="4:34" hidden="1" x14ac:dyDescent="0.4">
      <c r="D587" t="s">
        <v>48</v>
      </c>
      <c r="E587" t="s">
        <v>37</v>
      </c>
      <c r="F587" s="9">
        <v>45891.666666666664</v>
      </c>
      <c r="G587">
        <v>0.12609999999999999</v>
      </c>
      <c r="H587" s="9">
        <v>45893.666666666664</v>
      </c>
      <c r="I587">
        <v>0.12520000000000001</v>
      </c>
      <c r="J587" s="12">
        <v>24645.3</v>
      </c>
      <c r="K587" s="12">
        <v>3107.78</v>
      </c>
      <c r="L587">
        <v>4.6500000000000004</v>
      </c>
      <c r="M587">
        <v>-26.83</v>
      </c>
      <c r="N587" s="13">
        <v>-8.6E-3</v>
      </c>
      <c r="O587" t="s">
        <v>38</v>
      </c>
      <c r="Q587">
        <f t="shared" si="142"/>
        <v>-22.180769999999608</v>
      </c>
      <c r="R587">
        <f t="shared" si="143"/>
        <v>-26.83076999999961</v>
      </c>
      <c r="S587">
        <f t="shared" si="144"/>
        <v>3085.5915599999998</v>
      </c>
      <c r="U587">
        <f t="shared" si="131"/>
        <v>13084.853290999999</v>
      </c>
      <c r="V587">
        <f t="shared" si="145"/>
        <v>1649.9999999950999</v>
      </c>
      <c r="W587">
        <f t="shared" si="132"/>
        <v>-11.776367961899792</v>
      </c>
      <c r="X587">
        <f t="shared" si="133"/>
        <v>3.2882236320282998</v>
      </c>
      <c r="Y587">
        <f t="shared" si="134"/>
        <v>-15.064591593928093</v>
      </c>
      <c r="Z587">
        <f t="shared" si="135"/>
        <v>36768.918201748093</v>
      </c>
      <c r="AB587">
        <f t="shared" si="136"/>
        <v>43762.132346999999</v>
      </c>
      <c r="AC587">
        <f t="shared" si="137"/>
        <v>5518.4048889566993</v>
      </c>
      <c r="AD587">
        <f t="shared" si="138"/>
        <v>-39.385919112299305</v>
      </c>
      <c r="AE587">
        <f t="shared" si="139"/>
        <v>10.997423858801099</v>
      </c>
      <c r="AF587">
        <f t="shared" si="140"/>
        <v>-50.383342971100404</v>
      </c>
      <c r="AG587">
        <f t="shared" si="146"/>
        <v>55133.665546744422</v>
      </c>
      <c r="AH587" t="b">
        <f t="shared" si="141"/>
        <v>1</v>
      </c>
    </row>
    <row r="588" spans="4:34" hidden="1" x14ac:dyDescent="0.4">
      <c r="D588" t="s">
        <v>61</v>
      </c>
      <c r="E588" t="s">
        <v>37</v>
      </c>
      <c r="F588" s="9">
        <v>45891.666666666664</v>
      </c>
      <c r="G588" s="12">
        <v>0.90359999999999996</v>
      </c>
      <c r="H588" s="9">
        <v>45893.666666666664</v>
      </c>
      <c r="I588" s="12">
        <v>0.90059999999999996</v>
      </c>
      <c r="J588" s="12">
        <v>9416.6</v>
      </c>
      <c r="K588" s="12">
        <v>8508.84</v>
      </c>
      <c r="L588">
        <v>12.74</v>
      </c>
      <c r="M588">
        <v>-40.99</v>
      </c>
      <c r="N588" s="13">
        <v>-4.7999999999999996E-3</v>
      </c>
      <c r="O588" t="s">
        <v>38</v>
      </c>
      <c r="Q588">
        <f t="shared" si="142"/>
        <v>-28.249800000000025</v>
      </c>
      <c r="R588">
        <f t="shared" si="143"/>
        <v>-40.989800000000024</v>
      </c>
      <c r="S588">
        <f t="shared" si="144"/>
        <v>8480.5899599999993</v>
      </c>
      <c r="U588">
        <f t="shared" si="131"/>
        <v>1826.0292159999999</v>
      </c>
      <c r="V588">
        <f t="shared" si="145"/>
        <v>1649.9999995775997</v>
      </c>
      <c r="W588">
        <f t="shared" si="132"/>
        <v>-5.4780876480000043</v>
      </c>
      <c r="X588">
        <f t="shared" si="133"/>
        <v>3.2945219115071995</v>
      </c>
      <c r="Y588">
        <f t="shared" si="134"/>
        <v>-8.7726095595072042</v>
      </c>
      <c r="Z588">
        <f t="shared" si="135"/>
        <v>36783.982793342024</v>
      </c>
      <c r="AB588">
        <f t="shared" si="136"/>
        <v>6110.3811839999998</v>
      </c>
      <c r="AC588">
        <f t="shared" si="137"/>
        <v>5521.3404378624</v>
      </c>
      <c r="AD588">
        <f t="shared" si="138"/>
        <v>-18.331143552000015</v>
      </c>
      <c r="AE588">
        <f t="shared" si="139"/>
        <v>11.0243497321728</v>
      </c>
      <c r="AF588">
        <f t="shared" si="140"/>
        <v>-29.355493284172816</v>
      </c>
      <c r="AG588">
        <f t="shared" si="146"/>
        <v>55184.048889715523</v>
      </c>
      <c r="AH588" t="b">
        <f t="shared" si="141"/>
        <v>1</v>
      </c>
    </row>
    <row r="589" spans="4:34" hidden="1" x14ac:dyDescent="0.4">
      <c r="D589" t="s">
        <v>50</v>
      </c>
      <c r="E589" t="s">
        <v>37</v>
      </c>
      <c r="F589" s="9">
        <v>45891.666666666664</v>
      </c>
      <c r="G589">
        <v>355.9</v>
      </c>
      <c r="H589" s="9">
        <v>45893.666666666664</v>
      </c>
      <c r="I589">
        <v>354.8</v>
      </c>
      <c r="J589">
        <v>36.826599999999999</v>
      </c>
      <c r="K589" s="12">
        <v>13106.6</v>
      </c>
      <c r="L589">
        <v>19.63</v>
      </c>
      <c r="M589">
        <v>-60.14</v>
      </c>
      <c r="N589" s="13">
        <v>-4.5999999999999999E-3</v>
      </c>
      <c r="O589" t="s">
        <v>38</v>
      </c>
      <c r="Q589">
        <f t="shared" si="142"/>
        <v>-40.50925999999874</v>
      </c>
      <c r="R589">
        <f t="shared" si="143"/>
        <v>-60.139259999998743</v>
      </c>
      <c r="S589">
        <f t="shared" si="144"/>
        <v>13066.07768</v>
      </c>
      <c r="U589">
        <f t="shared" ref="U589:U652" si="147">ROUND(($Q$2)/G589,6)</f>
        <v>4.6361340000000002</v>
      </c>
      <c r="V589">
        <f t="shared" si="145"/>
        <v>1650.0000906</v>
      </c>
      <c r="W589">
        <f t="shared" ref="W589:W652" si="148">U589*(I589-G589)</f>
        <v>-5.0997473999998419</v>
      </c>
      <c r="X589">
        <f t="shared" ref="X589:X652" si="149">(G589+I589)*$R$2*U589</f>
        <v>3.2949004338000005</v>
      </c>
      <c r="Y589">
        <f t="shared" ref="Y589:Y652" si="150">W589-X589</f>
        <v>-8.3946478337998425</v>
      </c>
      <c r="Z589">
        <f t="shared" ref="Z589:Z652" si="151">Z590+Y589</f>
        <v>36792.75540290153</v>
      </c>
      <c r="AB589">
        <f t="shared" ref="AB589:AB652" si="152">ROUND(((AH589*AG590 +(1-AH589)*AI589)/$P$2)/G589,6)</f>
        <v>15.521637999999999</v>
      </c>
      <c r="AC589">
        <f t="shared" ref="AC589:AC652" si="153">AB589*G589</f>
        <v>5524.1509641999992</v>
      </c>
      <c r="AD589">
        <f t="shared" ref="AD589:AD652" si="154">AB589*(I589-G589)</f>
        <v>-17.073801799999469</v>
      </c>
      <c r="AE589">
        <f t="shared" ref="AE589:AE652" si="155">(G589+I589)*$R$2*AB589</f>
        <v>11.031228126600002</v>
      </c>
      <c r="AF589">
        <f t="shared" ref="AF589:AF652" si="156">AD589-AE589</f>
        <v>-28.105029926599471</v>
      </c>
      <c r="AG589">
        <f t="shared" si="146"/>
        <v>55213.404382999695</v>
      </c>
      <c r="AH589" t="b">
        <f t="shared" ref="AH589:AH652" si="157">ISBLANK(AI589)</f>
        <v>1</v>
      </c>
    </row>
    <row r="590" spans="4:34" hidden="1" x14ac:dyDescent="0.4">
      <c r="D590" t="s">
        <v>43</v>
      </c>
      <c r="E590" t="s">
        <v>37</v>
      </c>
      <c r="F590" s="9">
        <v>45891.625</v>
      </c>
      <c r="G590">
        <v>3.3649</v>
      </c>
      <c r="H590" s="9">
        <v>45893.625</v>
      </c>
      <c r="I590">
        <v>3.6227999999999998</v>
      </c>
      <c r="J590">
        <v>565.79999999999995</v>
      </c>
      <c r="K590" s="12">
        <v>1904.15</v>
      </c>
      <c r="L590">
        <v>2.97</v>
      </c>
      <c r="M590">
        <v>142.94999999999999</v>
      </c>
      <c r="N590" s="13">
        <v>7.51E-2</v>
      </c>
      <c r="O590" t="s">
        <v>38</v>
      </c>
      <c r="Q590">
        <f t="shared" ref="Q590:Q653" si="158">(I590-G590)*J590</f>
        <v>145.91981999999987</v>
      </c>
      <c r="R590">
        <f t="shared" ref="R590:R653" si="159">Q590-L590</f>
        <v>142.94981999999987</v>
      </c>
      <c r="S590">
        <f t="shared" ref="S590:S653" si="160">I590*J590</f>
        <v>2049.7802399999996</v>
      </c>
      <c r="U590">
        <f t="shared" si="147"/>
        <v>490.35632600000002</v>
      </c>
      <c r="V590">
        <f t="shared" ref="V590:V653" si="161">U590*G590</f>
        <v>1650.0000013574002</v>
      </c>
      <c r="W590">
        <f t="shared" si="148"/>
        <v>126.4628964753999</v>
      </c>
      <c r="X590">
        <f t="shared" si="149"/>
        <v>3.4264628991902004</v>
      </c>
      <c r="Y590">
        <f t="shared" si="150"/>
        <v>123.0364335762097</v>
      </c>
      <c r="Z590">
        <f t="shared" si="151"/>
        <v>36801.150050735327</v>
      </c>
      <c r="AB590">
        <f t="shared" si="152"/>
        <v>1629.547266</v>
      </c>
      <c r="AC590">
        <f t="shared" si="153"/>
        <v>5483.2635953633999</v>
      </c>
      <c r="AD590">
        <f t="shared" si="154"/>
        <v>420.2602399013997</v>
      </c>
      <c r="AE590">
        <f t="shared" si="155"/>
        <v>11.386787430628202</v>
      </c>
      <c r="AF590">
        <f t="shared" si="156"/>
        <v>408.8734524707715</v>
      </c>
      <c r="AG590">
        <f t="shared" si="146"/>
        <v>55241.509412926294</v>
      </c>
      <c r="AH590" t="b">
        <f t="shared" si="157"/>
        <v>1</v>
      </c>
    </row>
    <row r="591" spans="4:34" hidden="1" x14ac:dyDescent="0.4">
      <c r="D591" t="s">
        <v>54</v>
      </c>
      <c r="E591" t="s">
        <v>37</v>
      </c>
      <c r="F591" s="9">
        <v>45891.625</v>
      </c>
      <c r="G591">
        <v>180.25</v>
      </c>
      <c r="H591" s="9">
        <v>45893.625</v>
      </c>
      <c r="I591">
        <v>204.69</v>
      </c>
      <c r="J591">
        <v>27.003</v>
      </c>
      <c r="K591" s="12">
        <v>4867.46</v>
      </c>
      <c r="L591">
        <v>7.8</v>
      </c>
      <c r="M591">
        <v>652.16</v>
      </c>
      <c r="N591" s="13">
        <v>0.13400000000000001</v>
      </c>
      <c r="O591" t="s">
        <v>38</v>
      </c>
      <c r="Q591">
        <f t="shared" si="158"/>
        <v>659.95331999999996</v>
      </c>
      <c r="R591">
        <f t="shared" si="159"/>
        <v>652.15332000000001</v>
      </c>
      <c r="S591">
        <f t="shared" si="160"/>
        <v>5527.2440699999997</v>
      </c>
      <c r="U591">
        <f t="shared" si="147"/>
        <v>9.1539529999999996</v>
      </c>
      <c r="V591">
        <f t="shared" si="161"/>
        <v>1650.00002825</v>
      </c>
      <c r="W591">
        <f t="shared" si="148"/>
        <v>223.72261131999997</v>
      </c>
      <c r="X591">
        <f t="shared" si="149"/>
        <v>3.52372266782</v>
      </c>
      <c r="Y591">
        <f t="shared" si="150"/>
        <v>220.19888865217996</v>
      </c>
      <c r="Z591">
        <f t="shared" si="151"/>
        <v>36678.113617159113</v>
      </c>
      <c r="AB591">
        <f t="shared" si="152"/>
        <v>30.019701000000001</v>
      </c>
      <c r="AC591">
        <f t="shared" si="153"/>
        <v>5411.0511052500005</v>
      </c>
      <c r="AD591">
        <f t="shared" si="154"/>
        <v>733.68149243999994</v>
      </c>
      <c r="AE591">
        <f t="shared" si="155"/>
        <v>11.555783702940001</v>
      </c>
      <c r="AF591">
        <f t="shared" si="156"/>
        <v>722.12570873705999</v>
      </c>
      <c r="AG591">
        <f t="shared" si="146"/>
        <v>54832.635960455525</v>
      </c>
      <c r="AH591" t="b">
        <f t="shared" si="157"/>
        <v>1</v>
      </c>
    </row>
    <row r="592" spans="4:34" hidden="1" x14ac:dyDescent="0.4">
      <c r="D592" t="s">
        <v>58</v>
      </c>
      <c r="E592" t="s">
        <v>37</v>
      </c>
      <c r="F592" s="9">
        <v>45890.458333333336</v>
      </c>
      <c r="G592" s="12">
        <v>26.09</v>
      </c>
      <c r="H592" s="9">
        <v>45892.458333333336</v>
      </c>
      <c r="I592" s="12">
        <v>25.85</v>
      </c>
      <c r="J592">
        <v>289.33999999999997</v>
      </c>
      <c r="K592" s="12">
        <v>7549.07</v>
      </c>
      <c r="L592">
        <v>11.27</v>
      </c>
      <c r="M592">
        <v>-80.709999999999994</v>
      </c>
      <c r="N592" s="13">
        <v>-1.0699999999999999E-2</v>
      </c>
      <c r="O592" t="s">
        <v>38</v>
      </c>
      <c r="Q592">
        <f t="shared" si="158"/>
        <v>-69.441599999999539</v>
      </c>
      <c r="R592">
        <f t="shared" si="159"/>
        <v>-80.711599999999535</v>
      </c>
      <c r="S592">
        <f t="shared" si="160"/>
        <v>7479.4389999999994</v>
      </c>
      <c r="U592">
        <f t="shared" si="147"/>
        <v>63.242621999999997</v>
      </c>
      <c r="V592">
        <f t="shared" si="161"/>
        <v>1650.00000798</v>
      </c>
      <c r="W592">
        <f t="shared" si="148"/>
        <v>-15.178229279999901</v>
      </c>
      <c r="X592">
        <f t="shared" si="149"/>
        <v>3.2848217866799998</v>
      </c>
      <c r="Y592">
        <f t="shared" si="150"/>
        <v>-18.463051066679899</v>
      </c>
      <c r="Z592">
        <f t="shared" si="151"/>
        <v>36457.914728506934</v>
      </c>
      <c r="AB592">
        <f t="shared" si="152"/>
        <v>207.63176000000001</v>
      </c>
      <c r="AC592">
        <f t="shared" si="153"/>
        <v>5417.1126184000004</v>
      </c>
      <c r="AD592">
        <f t="shared" si="154"/>
        <v>-49.831622399999681</v>
      </c>
      <c r="AE592">
        <f t="shared" si="155"/>
        <v>10.784393614400001</v>
      </c>
      <c r="AF592">
        <f t="shared" si="156"/>
        <v>-60.616016014399683</v>
      </c>
      <c r="AG592">
        <f t="shared" si="146"/>
        <v>54110.510251718464</v>
      </c>
      <c r="AH592" t="b">
        <f t="shared" si="157"/>
        <v>1</v>
      </c>
    </row>
    <row r="593" spans="4:34" hidden="1" x14ac:dyDescent="0.4">
      <c r="D593" t="s">
        <v>56</v>
      </c>
      <c r="E593" t="s">
        <v>37</v>
      </c>
      <c r="F593" s="9">
        <v>45889.666666666664</v>
      </c>
      <c r="G593" s="12">
        <v>4213.5</v>
      </c>
      <c r="H593" s="9">
        <v>45892.166666666664</v>
      </c>
      <c r="I593" s="12">
        <v>4713.01</v>
      </c>
      <c r="J593">
        <v>1.3485</v>
      </c>
      <c r="K593" s="12">
        <v>5682.3</v>
      </c>
      <c r="L593">
        <v>9.0299999999999994</v>
      </c>
      <c r="M593">
        <v>664.56</v>
      </c>
      <c r="N593" s="13">
        <v>0.11700000000000001</v>
      </c>
      <c r="O593" t="s">
        <v>57</v>
      </c>
      <c r="Q593">
        <f t="shared" si="158"/>
        <v>673.58923500000026</v>
      </c>
      <c r="R593">
        <f t="shared" si="159"/>
        <v>664.55923500000029</v>
      </c>
      <c r="S593">
        <f t="shared" si="160"/>
        <v>6355.4939850000001</v>
      </c>
      <c r="U593">
        <f t="shared" si="147"/>
        <v>0.391598</v>
      </c>
      <c r="V593">
        <f t="shared" si="161"/>
        <v>1649.998173</v>
      </c>
      <c r="W593">
        <f t="shared" si="148"/>
        <v>195.60711698000009</v>
      </c>
      <c r="X593">
        <f t="shared" si="149"/>
        <v>3.4956034629800001</v>
      </c>
      <c r="Y593">
        <f t="shared" si="150"/>
        <v>192.11151351702009</v>
      </c>
      <c r="Z593">
        <f t="shared" si="151"/>
        <v>36476.377779573617</v>
      </c>
      <c r="AB593">
        <f t="shared" si="152"/>
        <v>1.270859</v>
      </c>
      <c r="AC593">
        <f t="shared" si="153"/>
        <v>5354.7643964999997</v>
      </c>
      <c r="AD593">
        <f t="shared" si="154"/>
        <v>634.8067790900003</v>
      </c>
      <c r="AE593">
        <f t="shared" si="155"/>
        <v>11.344335572089999</v>
      </c>
      <c r="AF593">
        <f t="shared" si="156"/>
        <v>623.46244351791029</v>
      </c>
      <c r="AG593">
        <f t="shared" si="146"/>
        <v>54171.126267732863</v>
      </c>
      <c r="AH593" t="b">
        <f t="shared" si="157"/>
        <v>1</v>
      </c>
    </row>
    <row r="594" spans="4:34" hidden="1" x14ac:dyDescent="0.4">
      <c r="D594" t="s">
        <v>55</v>
      </c>
      <c r="E594" t="s">
        <v>37</v>
      </c>
      <c r="F594" s="9">
        <v>45890.125</v>
      </c>
      <c r="G594">
        <v>6.0309999999999997E-5</v>
      </c>
      <c r="H594" s="9">
        <v>45892.125</v>
      </c>
      <c r="I594">
        <v>6.245E-5</v>
      </c>
      <c r="J594" s="12">
        <v>98344991.400000006</v>
      </c>
      <c r="K594" s="12">
        <v>5931.19</v>
      </c>
      <c r="L594">
        <v>9.0500000000000007</v>
      </c>
      <c r="M594">
        <v>201.4</v>
      </c>
      <c r="N594" s="13">
        <v>3.4000000000000002E-2</v>
      </c>
      <c r="O594" t="s">
        <v>38</v>
      </c>
      <c r="Q594">
        <f t="shared" si="158"/>
        <v>210.45828159600032</v>
      </c>
      <c r="R594">
        <f t="shared" si="159"/>
        <v>201.40828159600031</v>
      </c>
      <c r="S594">
        <f t="shared" si="160"/>
        <v>6141.6447129300004</v>
      </c>
      <c r="U594">
        <f t="shared" si="147"/>
        <v>27358646.990549002</v>
      </c>
      <c r="V594">
        <f t="shared" si="161"/>
        <v>1650.0000000000102</v>
      </c>
      <c r="W594">
        <f t="shared" si="148"/>
        <v>58.54750455977495</v>
      </c>
      <c r="X594">
        <f t="shared" si="149"/>
        <v>3.3585475045597954</v>
      </c>
      <c r="Y594">
        <f t="shared" si="150"/>
        <v>55.188957055215155</v>
      </c>
      <c r="Z594">
        <f t="shared" si="151"/>
        <v>36284.266266056598</v>
      </c>
      <c r="AB594">
        <f t="shared" si="152"/>
        <v>88491386.932249993</v>
      </c>
      <c r="AC594">
        <f t="shared" si="153"/>
        <v>5336.9155458839969</v>
      </c>
      <c r="AD594">
        <f t="shared" si="154"/>
        <v>189.37156803501526</v>
      </c>
      <c r="AE594">
        <f t="shared" si="155"/>
        <v>10.863202659803008</v>
      </c>
      <c r="AF594">
        <f t="shared" si="156"/>
        <v>178.50836537521224</v>
      </c>
      <c r="AG594">
        <f t="shared" si="146"/>
        <v>53547.663824214957</v>
      </c>
      <c r="AH594" t="b">
        <f t="shared" si="157"/>
        <v>1</v>
      </c>
    </row>
    <row r="595" spans="4:34" hidden="1" x14ac:dyDescent="0.4">
      <c r="D595" t="s">
        <v>60</v>
      </c>
      <c r="E595" t="s">
        <v>37</v>
      </c>
      <c r="F595" s="9">
        <v>45889.583333333336</v>
      </c>
      <c r="G595">
        <v>2.8935</v>
      </c>
      <c r="H595" s="9">
        <v>45892.083333333336</v>
      </c>
      <c r="I595">
        <v>3.0383</v>
      </c>
      <c r="J595">
        <v>780.7</v>
      </c>
      <c r="K595" s="12">
        <v>2259.12</v>
      </c>
      <c r="L595">
        <v>3.47</v>
      </c>
      <c r="M595">
        <v>109.57</v>
      </c>
      <c r="N595" s="13">
        <v>4.8500000000000001E-2</v>
      </c>
      <c r="O595" t="s">
        <v>57</v>
      </c>
      <c r="Q595">
        <f t="shared" si="158"/>
        <v>113.04536000000003</v>
      </c>
      <c r="R595">
        <f t="shared" si="159"/>
        <v>109.57536000000003</v>
      </c>
      <c r="S595">
        <f t="shared" si="160"/>
        <v>2372.00081</v>
      </c>
      <c r="U595">
        <f t="shared" si="147"/>
        <v>570.24365</v>
      </c>
      <c r="V595">
        <f t="shared" si="161"/>
        <v>1650.0000012749999</v>
      </c>
      <c r="W595">
        <f t="shared" si="148"/>
        <v>82.571280520000016</v>
      </c>
      <c r="X595">
        <f t="shared" si="149"/>
        <v>3.3825712830699999</v>
      </c>
      <c r="Y595">
        <f t="shared" si="150"/>
        <v>79.188709236930009</v>
      </c>
      <c r="Z595">
        <f t="shared" si="151"/>
        <v>36229.077309001383</v>
      </c>
      <c r="AB595">
        <f t="shared" si="152"/>
        <v>1835.640001</v>
      </c>
      <c r="AC595">
        <f t="shared" si="153"/>
        <v>5311.4243428934997</v>
      </c>
      <c r="AD595">
        <f t="shared" si="154"/>
        <v>265.80067214480005</v>
      </c>
      <c r="AE595">
        <f t="shared" si="155"/>
        <v>10.888649357931801</v>
      </c>
      <c r="AF595">
        <f t="shared" si="156"/>
        <v>254.91202278686825</v>
      </c>
      <c r="AG595">
        <f t="shared" si="146"/>
        <v>53369.155458839741</v>
      </c>
      <c r="AH595" t="b">
        <f t="shared" si="157"/>
        <v>1</v>
      </c>
    </row>
    <row r="596" spans="4:34" hidden="1" x14ac:dyDescent="0.4">
      <c r="D596" t="s">
        <v>52</v>
      </c>
      <c r="E596" t="s">
        <v>37</v>
      </c>
      <c r="F596" s="9">
        <v>45889.666666666664</v>
      </c>
      <c r="G596">
        <v>5.1210000000000004</v>
      </c>
      <c r="H596" s="9">
        <v>45891.666666666664</v>
      </c>
      <c r="I596">
        <v>5.2729999999999997</v>
      </c>
      <c r="J596" s="12">
        <v>459.22</v>
      </c>
      <c r="K596" s="12">
        <v>2351.69</v>
      </c>
      <c r="L596">
        <v>3.58</v>
      </c>
      <c r="M596">
        <v>66.22</v>
      </c>
      <c r="N596" s="13">
        <v>2.8199999999999999E-2</v>
      </c>
      <c r="O596" t="s">
        <v>38</v>
      </c>
      <c r="Q596">
        <f t="shared" si="158"/>
        <v>69.801439999999658</v>
      </c>
      <c r="R596">
        <f t="shared" si="159"/>
        <v>66.22143999999966</v>
      </c>
      <c r="S596">
        <f t="shared" si="160"/>
        <v>2421.4670599999999</v>
      </c>
      <c r="U596">
        <f t="shared" si="147"/>
        <v>322.20269500000001</v>
      </c>
      <c r="V596">
        <f t="shared" si="161"/>
        <v>1650.0000010950002</v>
      </c>
      <c r="W596">
        <f t="shared" si="148"/>
        <v>48.974809639999755</v>
      </c>
      <c r="X596">
        <f t="shared" si="149"/>
        <v>3.3489748118300002</v>
      </c>
      <c r="Y596">
        <f t="shared" si="150"/>
        <v>45.625834828169758</v>
      </c>
      <c r="Z596">
        <f t="shared" si="151"/>
        <v>36149.888599764454</v>
      </c>
      <c r="AB596">
        <f t="shared" si="152"/>
        <v>1034.324875</v>
      </c>
      <c r="AC596">
        <f t="shared" si="153"/>
        <v>5296.7776848750009</v>
      </c>
      <c r="AD596">
        <f t="shared" si="154"/>
        <v>157.21738099999922</v>
      </c>
      <c r="AE596">
        <f t="shared" si="155"/>
        <v>10.75077275075</v>
      </c>
      <c r="AF596">
        <f t="shared" si="156"/>
        <v>146.46660824924922</v>
      </c>
      <c r="AG596">
        <f t="shared" si="146"/>
        <v>53114.243436052871</v>
      </c>
      <c r="AH596" t="b">
        <f t="shared" si="157"/>
        <v>1</v>
      </c>
    </row>
    <row r="597" spans="4:34" hidden="1" x14ac:dyDescent="0.4">
      <c r="D597" t="s">
        <v>48</v>
      </c>
      <c r="E597" t="s">
        <v>37</v>
      </c>
      <c r="F597" s="9">
        <v>45889.666666666664</v>
      </c>
      <c r="G597">
        <v>0.1221</v>
      </c>
      <c r="H597" s="9">
        <v>45891.666666666664</v>
      </c>
      <c r="I597">
        <v>0.12609999999999999</v>
      </c>
      <c r="J597" s="12">
        <v>25373.4</v>
      </c>
      <c r="K597" s="12">
        <v>3098.1</v>
      </c>
      <c r="L597">
        <v>4.72</v>
      </c>
      <c r="M597">
        <v>96.77</v>
      </c>
      <c r="N597" s="13">
        <v>3.1199999999999999E-2</v>
      </c>
      <c r="O597" t="s">
        <v>38</v>
      </c>
      <c r="Q597">
        <f t="shared" si="158"/>
        <v>101.49359999999974</v>
      </c>
      <c r="R597">
        <f t="shared" si="159"/>
        <v>96.773599999999746</v>
      </c>
      <c r="S597">
        <f t="shared" si="160"/>
        <v>3199.58574</v>
      </c>
      <c r="U597">
        <f t="shared" si="147"/>
        <v>13513.513514</v>
      </c>
      <c r="V597">
        <f t="shared" si="161"/>
        <v>1650.0000000594</v>
      </c>
      <c r="W597">
        <f t="shared" si="148"/>
        <v>54.054054055999863</v>
      </c>
      <c r="X597">
        <f t="shared" si="149"/>
        <v>3.3540540541747994</v>
      </c>
      <c r="Y597">
        <f t="shared" si="150"/>
        <v>50.70000000182506</v>
      </c>
      <c r="Z597">
        <f t="shared" si="151"/>
        <v>36104.262764936284</v>
      </c>
      <c r="AB597">
        <f t="shared" si="152"/>
        <v>43247.764019000002</v>
      </c>
      <c r="AC597">
        <f t="shared" si="153"/>
        <v>5280.5519867199</v>
      </c>
      <c r="AD597">
        <f t="shared" si="154"/>
        <v>172.99105607599955</v>
      </c>
      <c r="AE597">
        <f t="shared" si="155"/>
        <v>10.7340950295158</v>
      </c>
      <c r="AF597">
        <f t="shared" si="156"/>
        <v>162.25696104648375</v>
      </c>
      <c r="AG597">
        <f t="shared" si="146"/>
        <v>52967.776827803624</v>
      </c>
      <c r="AH597" t="b">
        <f t="shared" si="157"/>
        <v>1</v>
      </c>
    </row>
    <row r="598" spans="4:34" hidden="1" x14ac:dyDescent="0.4">
      <c r="D598" t="s">
        <v>53</v>
      </c>
      <c r="E598" t="s">
        <v>37</v>
      </c>
      <c r="F598" s="9">
        <v>45889.666666666664</v>
      </c>
      <c r="G598">
        <v>828.69</v>
      </c>
      <c r="H598" s="9">
        <v>45891.666666666664</v>
      </c>
      <c r="I598">
        <v>872.24</v>
      </c>
      <c r="J598" s="12">
        <v>11.476000000000001</v>
      </c>
      <c r="K598" s="12">
        <v>9510.4599999999991</v>
      </c>
      <c r="L598">
        <v>14.64</v>
      </c>
      <c r="M598">
        <v>485.14</v>
      </c>
      <c r="N598" s="13">
        <v>5.0999999999999997E-2</v>
      </c>
      <c r="O598" t="s">
        <v>38</v>
      </c>
      <c r="Q598">
        <f t="shared" si="158"/>
        <v>499.77979999999951</v>
      </c>
      <c r="R598">
        <f t="shared" si="159"/>
        <v>485.13979999999952</v>
      </c>
      <c r="S598">
        <f t="shared" si="160"/>
        <v>10009.82624</v>
      </c>
      <c r="U598">
        <f t="shared" si="147"/>
        <v>1.9910939999999999</v>
      </c>
      <c r="V598">
        <f t="shared" si="161"/>
        <v>1649.9996868600001</v>
      </c>
      <c r="W598">
        <f t="shared" si="148"/>
        <v>86.712143699999899</v>
      </c>
      <c r="X598">
        <f t="shared" si="149"/>
        <v>3.3867115174199998</v>
      </c>
      <c r="Y598">
        <f t="shared" si="150"/>
        <v>83.325432182579902</v>
      </c>
      <c r="Z598">
        <f t="shared" si="151"/>
        <v>36053.562764934461</v>
      </c>
      <c r="AB598">
        <f t="shared" si="152"/>
        <v>6.3401500000000004</v>
      </c>
      <c r="AC598">
        <f t="shared" si="153"/>
        <v>5254.0189035000003</v>
      </c>
      <c r="AD598">
        <f t="shared" si="154"/>
        <v>276.11353249999974</v>
      </c>
      <c r="AE598">
        <f t="shared" si="155"/>
        <v>10.784151339500001</v>
      </c>
      <c r="AF598">
        <f t="shared" si="156"/>
        <v>265.32938116049974</v>
      </c>
      <c r="AG598">
        <f t="shared" si="146"/>
        <v>52805.519866757139</v>
      </c>
      <c r="AH598" t="b">
        <f t="shared" si="157"/>
        <v>1</v>
      </c>
    </row>
    <row r="599" spans="4:34" hidden="1" x14ac:dyDescent="0.4">
      <c r="D599" t="s">
        <v>50</v>
      </c>
      <c r="E599" t="s">
        <v>37</v>
      </c>
      <c r="F599" s="9">
        <v>45889.666666666664</v>
      </c>
      <c r="G599">
        <v>343.8</v>
      </c>
      <c r="H599" s="9">
        <v>45891.666666666664</v>
      </c>
      <c r="I599">
        <v>355.9</v>
      </c>
      <c r="J599">
        <v>37.994799999999998</v>
      </c>
      <c r="K599" s="12">
        <v>13062.62</v>
      </c>
      <c r="L599">
        <v>19.940000000000001</v>
      </c>
      <c r="M599">
        <v>439.8</v>
      </c>
      <c r="N599" s="13">
        <v>3.3700000000000001E-2</v>
      </c>
      <c r="O599" t="s">
        <v>38</v>
      </c>
      <c r="Q599">
        <f t="shared" si="158"/>
        <v>459.73707999999868</v>
      </c>
      <c r="R599">
        <f t="shared" si="159"/>
        <v>439.79707999999869</v>
      </c>
      <c r="S599">
        <f t="shared" si="160"/>
        <v>13522.349319999998</v>
      </c>
      <c r="U599">
        <f t="shared" si="147"/>
        <v>4.799302</v>
      </c>
      <c r="V599">
        <f t="shared" si="161"/>
        <v>1650.0000276000001</v>
      </c>
      <c r="W599">
        <f t="shared" si="148"/>
        <v>58.071554199999838</v>
      </c>
      <c r="X599">
        <f t="shared" si="149"/>
        <v>3.3580716094000005</v>
      </c>
      <c r="Y599">
        <f t="shared" si="150"/>
        <v>54.713482590599838</v>
      </c>
      <c r="Z599">
        <f t="shared" si="151"/>
        <v>35970.23733275188</v>
      </c>
      <c r="AB599">
        <f t="shared" si="152"/>
        <v>15.231688</v>
      </c>
      <c r="AC599">
        <f t="shared" si="153"/>
        <v>5236.6543344000002</v>
      </c>
      <c r="AD599">
        <f t="shared" si="154"/>
        <v>184.30342479999948</v>
      </c>
      <c r="AE599">
        <f t="shared" si="155"/>
        <v>10.657612093600001</v>
      </c>
      <c r="AF599">
        <f t="shared" si="156"/>
        <v>173.64581270639948</v>
      </c>
      <c r="AG599">
        <f t="shared" si="146"/>
        <v>52540.190485596642</v>
      </c>
      <c r="AH599" t="b">
        <f t="shared" si="157"/>
        <v>1</v>
      </c>
    </row>
    <row r="600" spans="4:34" hidden="1" x14ac:dyDescent="0.4">
      <c r="D600" t="s">
        <v>43</v>
      </c>
      <c r="E600" t="s">
        <v>37</v>
      </c>
      <c r="F600" s="9">
        <v>45889.583333333336</v>
      </c>
      <c r="G600">
        <v>3.4786000000000001</v>
      </c>
      <c r="H600" s="9">
        <v>45891.583333333336</v>
      </c>
      <c r="I600">
        <v>3.3334999999999999</v>
      </c>
      <c r="J600" s="12">
        <v>549.70000000000005</v>
      </c>
      <c r="K600" s="12">
        <v>1912.4</v>
      </c>
      <c r="L600">
        <v>2.81</v>
      </c>
      <c r="M600">
        <v>-82.57</v>
      </c>
      <c r="N600" s="13">
        <v>-4.3200000000000002E-2</v>
      </c>
      <c r="O600" t="s">
        <v>38</v>
      </c>
      <c r="Q600">
        <f t="shared" si="158"/>
        <v>-79.761470000000131</v>
      </c>
      <c r="R600">
        <f t="shared" si="159"/>
        <v>-82.571470000000133</v>
      </c>
      <c r="S600">
        <f t="shared" si="160"/>
        <v>1832.4249500000001</v>
      </c>
      <c r="U600">
        <f t="shared" si="147"/>
        <v>474.32875300000001</v>
      </c>
      <c r="V600">
        <f t="shared" si="161"/>
        <v>1650.0000001858</v>
      </c>
      <c r="W600">
        <f t="shared" si="148"/>
        <v>-68.825102060300111</v>
      </c>
      <c r="X600">
        <f t="shared" si="149"/>
        <v>3.2311748983112998</v>
      </c>
      <c r="Y600">
        <f t="shared" si="150"/>
        <v>-72.056276958611406</v>
      </c>
      <c r="Z600">
        <f t="shared" si="151"/>
        <v>35915.523850161277</v>
      </c>
      <c r="AB600">
        <f t="shared" si="152"/>
        <v>1511.994334</v>
      </c>
      <c r="AC600">
        <f t="shared" si="153"/>
        <v>5259.6234902524002</v>
      </c>
      <c r="AD600">
        <f t="shared" si="154"/>
        <v>-219.39037786340035</v>
      </c>
      <c r="AE600">
        <f t="shared" si="155"/>
        <v>10.2998566026414</v>
      </c>
      <c r="AF600">
        <f t="shared" si="156"/>
        <v>-229.69023446604174</v>
      </c>
      <c r="AG600">
        <f t="shared" si="146"/>
        <v>52366.544672890246</v>
      </c>
      <c r="AH600" t="b">
        <f t="shared" si="157"/>
        <v>1</v>
      </c>
    </row>
    <row r="601" spans="4:34" hidden="1" x14ac:dyDescent="0.4">
      <c r="D601" t="s">
        <v>54</v>
      </c>
      <c r="E601" t="s">
        <v>37</v>
      </c>
      <c r="F601" s="9">
        <v>45889.583333333336</v>
      </c>
      <c r="G601">
        <v>181.93</v>
      </c>
      <c r="H601" s="9">
        <v>45891.583333333336</v>
      </c>
      <c r="I601">
        <v>178.44</v>
      </c>
      <c r="J601">
        <v>26.809000000000001</v>
      </c>
      <c r="K601" s="12">
        <v>4877.54</v>
      </c>
      <c r="L601">
        <v>7.25</v>
      </c>
      <c r="M601">
        <v>-100.81</v>
      </c>
      <c r="N601" s="13">
        <v>-2.07E-2</v>
      </c>
      <c r="O601" t="s">
        <v>38</v>
      </c>
      <c r="Q601">
        <f t="shared" si="158"/>
        <v>-93.563410000000246</v>
      </c>
      <c r="R601">
        <f t="shared" si="159"/>
        <v>-100.81341000000025</v>
      </c>
      <c r="S601">
        <f t="shared" si="160"/>
        <v>4783.7979599999999</v>
      </c>
      <c r="U601">
        <f t="shared" si="147"/>
        <v>9.0694219999999994</v>
      </c>
      <c r="V601">
        <f t="shared" si="161"/>
        <v>1649.9999444600001</v>
      </c>
      <c r="W601">
        <f t="shared" si="148"/>
        <v>-31.652282780000082</v>
      </c>
      <c r="X601">
        <f t="shared" si="149"/>
        <v>3.2683476061399999</v>
      </c>
      <c r="Y601">
        <f t="shared" si="150"/>
        <v>-34.920630386140083</v>
      </c>
      <c r="Z601">
        <f t="shared" si="151"/>
        <v>35987.580127119887</v>
      </c>
      <c r="AB601">
        <f t="shared" si="152"/>
        <v>28.971464999999998</v>
      </c>
      <c r="AC601">
        <f t="shared" si="153"/>
        <v>5270.7786274499995</v>
      </c>
      <c r="AD601">
        <f t="shared" si="154"/>
        <v>-101.11041285000026</v>
      </c>
      <c r="AE601">
        <f t="shared" si="155"/>
        <v>10.440446842050001</v>
      </c>
      <c r="AF601">
        <f t="shared" si="156"/>
        <v>-111.55085969205027</v>
      </c>
      <c r="AG601">
        <f t="shared" si="146"/>
        <v>52596.234907356287</v>
      </c>
      <c r="AH601" t="b">
        <f t="shared" si="157"/>
        <v>1</v>
      </c>
    </row>
    <row r="602" spans="4:34" hidden="1" x14ac:dyDescent="0.4">
      <c r="D602" t="s">
        <v>55</v>
      </c>
      <c r="E602" t="s">
        <v>37</v>
      </c>
      <c r="F602" s="9">
        <v>45888.083333333336</v>
      </c>
      <c r="G602">
        <v>5.927E-5</v>
      </c>
      <c r="H602" s="9">
        <v>45890.083333333336</v>
      </c>
      <c r="I602">
        <v>5.9960000000000002E-5</v>
      </c>
      <c r="J602" s="12">
        <v>99969335.219999999</v>
      </c>
      <c r="K602" s="12">
        <v>5925.18</v>
      </c>
      <c r="L602">
        <v>8.94</v>
      </c>
      <c r="M602">
        <v>60.04</v>
      </c>
      <c r="N602" s="13">
        <v>1.01E-2</v>
      </c>
      <c r="O602" t="s">
        <v>38</v>
      </c>
      <c r="Q602">
        <f t="shared" si="158"/>
        <v>68.978841301800188</v>
      </c>
      <c r="R602">
        <f t="shared" si="159"/>
        <v>60.03884130180019</v>
      </c>
      <c r="S602">
        <f t="shared" si="160"/>
        <v>5994.1613397911997</v>
      </c>
      <c r="U602">
        <f t="shared" si="147"/>
        <v>27838704.234857</v>
      </c>
      <c r="V602">
        <f t="shared" si="161"/>
        <v>1649.9999999999743</v>
      </c>
      <c r="W602">
        <f t="shared" si="148"/>
        <v>19.208705922051383</v>
      </c>
      <c r="X602">
        <f t="shared" si="149"/>
        <v>3.3192087059220006</v>
      </c>
      <c r="Y602">
        <f t="shared" si="150"/>
        <v>15.889497216129381</v>
      </c>
      <c r="Z602">
        <f t="shared" si="151"/>
        <v>36022.50075750603</v>
      </c>
      <c r="AB602">
        <f t="shared" si="152"/>
        <v>88842714.713634998</v>
      </c>
      <c r="AC602">
        <f t="shared" si="153"/>
        <v>5265.7077010771463</v>
      </c>
      <c r="AD602">
        <f t="shared" si="154"/>
        <v>61.301473152408313</v>
      </c>
      <c r="AE602">
        <f t="shared" si="155"/>
        <v>10.592716875306703</v>
      </c>
      <c r="AF602">
        <f t="shared" si="156"/>
        <v>50.708756277101614</v>
      </c>
      <c r="AG602">
        <f t="shared" si="146"/>
        <v>52707.785767048335</v>
      </c>
      <c r="AH602" t="b">
        <f t="shared" si="157"/>
        <v>1</v>
      </c>
    </row>
    <row r="603" spans="4:34" hidden="1" x14ac:dyDescent="0.4">
      <c r="D603" t="s">
        <v>58</v>
      </c>
      <c r="E603" t="s">
        <v>37</v>
      </c>
      <c r="F603" s="9">
        <v>45887.791666666664</v>
      </c>
      <c r="G603">
        <v>25.2</v>
      </c>
      <c r="H603" s="9">
        <v>45889.791666666664</v>
      </c>
      <c r="I603">
        <v>25.97</v>
      </c>
      <c r="J603">
        <v>298.69</v>
      </c>
      <c r="K603" s="12">
        <v>7527.22</v>
      </c>
      <c r="L603">
        <v>11.46</v>
      </c>
      <c r="M603">
        <v>218.53</v>
      </c>
      <c r="N603" s="13">
        <v>2.9000000000000001E-2</v>
      </c>
      <c r="O603" t="s">
        <v>38</v>
      </c>
      <c r="Q603">
        <f t="shared" si="158"/>
        <v>229.99129999999988</v>
      </c>
      <c r="R603">
        <f t="shared" si="159"/>
        <v>218.53129999999987</v>
      </c>
      <c r="S603">
        <f t="shared" si="160"/>
        <v>7756.9793</v>
      </c>
      <c r="U603">
        <f t="shared" si="147"/>
        <v>65.476190000000003</v>
      </c>
      <c r="V603">
        <f t="shared" si="161"/>
        <v>1649.999988</v>
      </c>
      <c r="W603">
        <f t="shared" si="148"/>
        <v>50.416666299999974</v>
      </c>
      <c r="X603">
        <f t="shared" si="149"/>
        <v>3.3504166423000004</v>
      </c>
      <c r="Y603">
        <f t="shared" si="150"/>
        <v>47.066249657699977</v>
      </c>
      <c r="Z603">
        <f t="shared" si="151"/>
        <v>36006.611260289901</v>
      </c>
      <c r="AB603">
        <f t="shared" si="152"/>
        <v>208.362301</v>
      </c>
      <c r="AC603">
        <f t="shared" si="153"/>
        <v>5250.7299851999996</v>
      </c>
      <c r="AD603">
        <f t="shared" si="154"/>
        <v>160.43897176999991</v>
      </c>
      <c r="AE603">
        <f t="shared" si="155"/>
        <v>10.66189894217</v>
      </c>
      <c r="AF603">
        <f t="shared" si="156"/>
        <v>149.7770728278299</v>
      </c>
      <c r="AG603">
        <f t="shared" si="146"/>
        <v>52657.077010771231</v>
      </c>
      <c r="AH603" t="b">
        <f t="shared" si="157"/>
        <v>1</v>
      </c>
    </row>
    <row r="604" spans="4:34" hidden="1" x14ac:dyDescent="0.4">
      <c r="D604" t="s">
        <v>53</v>
      </c>
      <c r="E604" t="s">
        <v>37</v>
      </c>
      <c r="F604" s="9">
        <v>45887.666666666664</v>
      </c>
      <c r="G604">
        <v>839.06</v>
      </c>
      <c r="H604" s="9">
        <v>45889.666666666664</v>
      </c>
      <c r="I604">
        <v>828.69</v>
      </c>
      <c r="J604">
        <v>11.35</v>
      </c>
      <c r="K604" s="12">
        <v>9523.65</v>
      </c>
      <c r="L604">
        <v>14.2</v>
      </c>
      <c r="M604">
        <v>-131.9</v>
      </c>
      <c r="N604" s="13">
        <v>-1.38E-2</v>
      </c>
      <c r="O604" t="s">
        <v>38</v>
      </c>
      <c r="Q604">
        <f t="shared" si="158"/>
        <v>-117.69949999999876</v>
      </c>
      <c r="R604">
        <f t="shared" si="159"/>
        <v>-131.89949999999877</v>
      </c>
      <c r="S604">
        <f t="shared" si="160"/>
        <v>9405.6314999999995</v>
      </c>
      <c r="U604">
        <f t="shared" si="147"/>
        <v>1.966486</v>
      </c>
      <c r="V604">
        <f t="shared" si="161"/>
        <v>1649.9997431599998</v>
      </c>
      <c r="W604">
        <f t="shared" si="148"/>
        <v>-20.392459819999786</v>
      </c>
      <c r="X604">
        <f t="shared" si="149"/>
        <v>3.2796070264999999</v>
      </c>
      <c r="Y604">
        <f t="shared" si="150"/>
        <v>-23.672066846499785</v>
      </c>
      <c r="Z604">
        <f t="shared" si="151"/>
        <v>35959.545010632202</v>
      </c>
      <c r="AB604">
        <f t="shared" si="152"/>
        <v>6.2668629999999999</v>
      </c>
      <c r="AC604">
        <f t="shared" si="153"/>
        <v>5258.2740687799997</v>
      </c>
      <c r="AD604">
        <f t="shared" si="154"/>
        <v>-64.987369309999309</v>
      </c>
      <c r="AE604">
        <f t="shared" si="155"/>
        <v>10.451560768249999</v>
      </c>
      <c r="AF604">
        <f t="shared" si="156"/>
        <v>-75.438930078249314</v>
      </c>
      <c r="AG604">
        <f t="shared" si="146"/>
        <v>52507.299937943404</v>
      </c>
      <c r="AH604" t="b">
        <f t="shared" si="157"/>
        <v>1</v>
      </c>
    </row>
    <row r="605" spans="4:34" hidden="1" x14ac:dyDescent="0.4">
      <c r="D605" t="s">
        <v>60</v>
      </c>
      <c r="E605" t="s">
        <v>37</v>
      </c>
      <c r="F605" s="9">
        <v>45886.125</v>
      </c>
      <c r="G605">
        <v>3.1070000000000002</v>
      </c>
      <c r="H605" s="9">
        <v>45888.625</v>
      </c>
      <c r="I605">
        <v>3.0013000000000001</v>
      </c>
      <c r="J605">
        <v>729.6</v>
      </c>
      <c r="K605" s="12">
        <v>2267.17</v>
      </c>
      <c r="L605">
        <v>3.34</v>
      </c>
      <c r="M605">
        <v>-80.459999999999994</v>
      </c>
      <c r="N605" s="13">
        <v>-3.5499999999999997E-2</v>
      </c>
      <c r="O605" t="s">
        <v>57</v>
      </c>
      <c r="Q605">
        <f t="shared" si="158"/>
        <v>-77.118720000000096</v>
      </c>
      <c r="R605">
        <f t="shared" si="159"/>
        <v>-80.458720000000099</v>
      </c>
      <c r="S605">
        <f t="shared" si="160"/>
        <v>2189.7484800000002</v>
      </c>
      <c r="U605">
        <f t="shared" si="147"/>
        <v>531.058899</v>
      </c>
      <c r="V605">
        <f t="shared" si="161"/>
        <v>1649.9999991930001</v>
      </c>
      <c r="W605">
        <f t="shared" si="148"/>
        <v>-56.132925624300064</v>
      </c>
      <c r="X605">
        <f t="shared" si="149"/>
        <v>3.2438670727616996</v>
      </c>
      <c r="Y605">
        <f t="shared" si="150"/>
        <v>-59.376792697061767</v>
      </c>
      <c r="Z605">
        <f t="shared" si="151"/>
        <v>35983.217077478701</v>
      </c>
      <c r="AB605">
        <f t="shared" si="152"/>
        <v>1698.5080840000001</v>
      </c>
      <c r="AC605">
        <f t="shared" si="153"/>
        <v>5277.2646169880009</v>
      </c>
      <c r="AD605">
        <f t="shared" si="154"/>
        <v>-179.53230447880023</v>
      </c>
      <c r="AE605">
        <f t="shared" si="155"/>
        <v>10.3749969294972</v>
      </c>
      <c r="AF605">
        <f t="shared" si="156"/>
        <v>-189.90730140829743</v>
      </c>
      <c r="AG605">
        <f t="shared" si="146"/>
        <v>52582.738868021654</v>
      </c>
      <c r="AH605" t="b">
        <f t="shared" si="157"/>
        <v>1</v>
      </c>
    </row>
    <row r="606" spans="4:34" hidden="1" x14ac:dyDescent="0.4">
      <c r="D606" t="s">
        <v>59</v>
      </c>
      <c r="E606" t="s">
        <v>37</v>
      </c>
      <c r="F606" s="9">
        <v>45886.125</v>
      </c>
      <c r="G606" s="12">
        <v>117520.13</v>
      </c>
      <c r="H606" s="9">
        <v>45888.625</v>
      </c>
      <c r="I606" s="12">
        <v>115232.01</v>
      </c>
      <c r="J606">
        <v>8.9330000000000007E-2</v>
      </c>
      <c r="K606" s="12">
        <v>10498.72</v>
      </c>
      <c r="L606">
        <v>15.59</v>
      </c>
      <c r="M606">
        <v>-219.99</v>
      </c>
      <c r="N606" s="13">
        <v>-2.1000000000000001E-2</v>
      </c>
      <c r="O606" t="s">
        <v>57</v>
      </c>
      <c r="Q606">
        <f t="shared" si="158"/>
        <v>-204.39775960000091</v>
      </c>
      <c r="R606">
        <f t="shared" si="159"/>
        <v>-219.98775960000091</v>
      </c>
      <c r="S606">
        <f t="shared" si="160"/>
        <v>10293.6754533</v>
      </c>
      <c r="U606">
        <f t="shared" si="147"/>
        <v>1.404E-2</v>
      </c>
      <c r="V606">
        <f t="shared" si="161"/>
        <v>1649.9826252</v>
      </c>
      <c r="W606">
        <f t="shared" si="148"/>
        <v>-32.125204800000141</v>
      </c>
      <c r="X606">
        <f t="shared" si="149"/>
        <v>3.2678400456000003</v>
      </c>
      <c r="Y606">
        <f t="shared" si="150"/>
        <v>-35.393044845600144</v>
      </c>
      <c r="Z606">
        <f t="shared" si="151"/>
        <v>36042.593870175762</v>
      </c>
      <c r="AB606">
        <f t="shared" si="152"/>
        <v>4.5002E-2</v>
      </c>
      <c r="AC606">
        <f t="shared" si="153"/>
        <v>5288.6408902600006</v>
      </c>
      <c r="AD606">
        <f t="shared" si="154"/>
        <v>-102.96997624000045</v>
      </c>
      <c r="AE606">
        <f t="shared" si="155"/>
        <v>10.474311804280001</v>
      </c>
      <c r="AF606">
        <f t="shared" si="156"/>
        <v>-113.44428804428046</v>
      </c>
      <c r="AG606">
        <f t="shared" si="146"/>
        <v>52772.646169429951</v>
      </c>
      <c r="AH606" t="b">
        <f t="shared" si="157"/>
        <v>1</v>
      </c>
    </row>
    <row r="607" spans="4:34" hidden="1" x14ac:dyDescent="0.4">
      <c r="D607" t="s">
        <v>48</v>
      </c>
      <c r="E607" t="s">
        <v>37</v>
      </c>
      <c r="F607" s="9">
        <v>45886.208333333336</v>
      </c>
      <c r="G607">
        <v>0.12920000000000001</v>
      </c>
      <c r="H607" s="9">
        <v>45888.208333333336</v>
      </c>
      <c r="I607">
        <v>0.1208</v>
      </c>
      <c r="J607" s="12">
        <v>24139.5</v>
      </c>
      <c r="K607" s="12">
        <v>3118.83</v>
      </c>
      <c r="L607">
        <v>4.53</v>
      </c>
      <c r="M607">
        <v>-207.3</v>
      </c>
      <c r="N607" s="13">
        <v>-6.6500000000000004E-2</v>
      </c>
      <c r="O607" t="s">
        <v>38</v>
      </c>
      <c r="Q607">
        <f t="shared" si="158"/>
        <v>-202.77180000000013</v>
      </c>
      <c r="R607">
        <f t="shared" si="159"/>
        <v>-207.30180000000013</v>
      </c>
      <c r="S607">
        <f t="shared" si="160"/>
        <v>2916.0516000000002</v>
      </c>
      <c r="U607">
        <f t="shared" si="147"/>
        <v>12770.897833000001</v>
      </c>
      <c r="V607">
        <f t="shared" si="161"/>
        <v>1650.0000000236003</v>
      </c>
      <c r="W607">
        <f t="shared" si="148"/>
        <v>-107.27554179720006</v>
      </c>
      <c r="X607">
        <f t="shared" si="149"/>
        <v>3.1927244582500003</v>
      </c>
      <c r="Y607">
        <f t="shared" si="150"/>
        <v>-110.46826625545006</v>
      </c>
      <c r="Z607">
        <f t="shared" si="151"/>
        <v>36077.986915021364</v>
      </c>
      <c r="AB607">
        <f t="shared" si="152"/>
        <v>41209.405428999999</v>
      </c>
      <c r="AC607">
        <f t="shared" si="153"/>
        <v>5324.2551814267999</v>
      </c>
      <c r="AD607">
        <f t="shared" si="154"/>
        <v>-346.15900560360018</v>
      </c>
      <c r="AE607">
        <f t="shared" si="155"/>
        <v>10.30235135725</v>
      </c>
      <c r="AF607">
        <f t="shared" si="156"/>
        <v>-356.4613569608502</v>
      </c>
      <c r="AG607">
        <f t="shared" si="146"/>
        <v>52886.090457474231</v>
      </c>
      <c r="AH607" t="b">
        <f t="shared" si="157"/>
        <v>1</v>
      </c>
    </row>
    <row r="608" spans="4:34" hidden="1" x14ac:dyDescent="0.4">
      <c r="D608" t="s">
        <v>43</v>
      </c>
      <c r="E608" t="s">
        <v>37</v>
      </c>
      <c r="F608" s="9">
        <v>45886.166666666664</v>
      </c>
      <c r="G608" s="12">
        <v>3.7930000000000001</v>
      </c>
      <c r="H608" s="9">
        <v>45888.166666666664</v>
      </c>
      <c r="I608" s="12">
        <v>3.5790000000000002</v>
      </c>
      <c r="J608">
        <v>507.1</v>
      </c>
      <c r="K608" s="12">
        <v>1923.54</v>
      </c>
      <c r="L608">
        <v>2.8</v>
      </c>
      <c r="M608">
        <v>-111.32</v>
      </c>
      <c r="N608" s="13">
        <v>-5.79E-2</v>
      </c>
      <c r="O608" t="s">
        <v>38</v>
      </c>
      <c r="Q608">
        <f t="shared" si="158"/>
        <v>-108.51939999999999</v>
      </c>
      <c r="R608">
        <f t="shared" si="159"/>
        <v>-111.31939999999999</v>
      </c>
      <c r="S608">
        <f t="shared" si="160"/>
        <v>1814.9109000000001</v>
      </c>
      <c r="U608">
        <f t="shared" si="147"/>
        <v>435.011864</v>
      </c>
      <c r="V608">
        <f t="shared" si="161"/>
        <v>1650.000000152</v>
      </c>
      <c r="W608">
        <f t="shared" si="148"/>
        <v>-93.092538895999994</v>
      </c>
      <c r="X608">
        <f t="shared" si="149"/>
        <v>3.206907461408</v>
      </c>
      <c r="Y608">
        <f t="shared" si="150"/>
        <v>-96.299446357407987</v>
      </c>
      <c r="Z608">
        <f t="shared" si="151"/>
        <v>36188.455181276811</v>
      </c>
      <c r="AB608">
        <f t="shared" si="152"/>
        <v>1411.946142</v>
      </c>
      <c r="AC608">
        <f t="shared" si="153"/>
        <v>5355.5117166059999</v>
      </c>
      <c r="AD608">
        <f t="shared" si="154"/>
        <v>-302.15647438799994</v>
      </c>
      <c r="AE608">
        <f t="shared" si="155"/>
        <v>10.408866958823999</v>
      </c>
      <c r="AF608">
        <f t="shared" si="156"/>
        <v>-312.56534134682391</v>
      </c>
      <c r="AG608">
        <f t="shared" si="146"/>
        <v>53242.551814435079</v>
      </c>
      <c r="AH608" t="b">
        <f t="shared" si="157"/>
        <v>1</v>
      </c>
    </row>
    <row r="609" spans="4:34" hidden="1" x14ac:dyDescent="0.4">
      <c r="D609" t="s">
        <v>52</v>
      </c>
      <c r="E609" t="s">
        <v>37</v>
      </c>
      <c r="F609" s="9">
        <v>45886.166666666664</v>
      </c>
      <c r="G609">
        <v>5.4640000000000004</v>
      </c>
      <c r="H609" s="9">
        <v>45888.166666666664</v>
      </c>
      <c r="I609">
        <v>5.274</v>
      </c>
      <c r="J609" s="12">
        <v>431.96</v>
      </c>
      <c r="K609" s="12">
        <v>2360.25</v>
      </c>
      <c r="L609">
        <v>3.48</v>
      </c>
      <c r="M609">
        <v>-85.55</v>
      </c>
      <c r="N609" s="13">
        <v>-3.6200000000000003E-2</v>
      </c>
      <c r="O609" t="s">
        <v>38</v>
      </c>
      <c r="Q609">
        <f t="shared" si="158"/>
        <v>-82.072400000000158</v>
      </c>
      <c r="R609">
        <f t="shared" si="159"/>
        <v>-85.552400000000162</v>
      </c>
      <c r="S609">
        <f t="shared" si="160"/>
        <v>2278.1570400000001</v>
      </c>
      <c r="U609">
        <f t="shared" si="147"/>
        <v>301.97657400000003</v>
      </c>
      <c r="V609">
        <f t="shared" si="161"/>
        <v>1650.0000003360003</v>
      </c>
      <c r="W609">
        <f t="shared" si="148"/>
        <v>-57.375549060000125</v>
      </c>
      <c r="X609">
        <f t="shared" si="149"/>
        <v>3.242624451612</v>
      </c>
      <c r="Y609">
        <f t="shared" si="150"/>
        <v>-60.618173511612127</v>
      </c>
      <c r="Z609">
        <f t="shared" si="151"/>
        <v>36284.754627634218</v>
      </c>
      <c r="AB609">
        <f t="shared" si="152"/>
        <v>983.75905899999998</v>
      </c>
      <c r="AC609">
        <f t="shared" si="153"/>
        <v>5375.259498376</v>
      </c>
      <c r="AD609">
        <f t="shared" si="154"/>
        <v>-186.91422121000039</v>
      </c>
      <c r="AE609">
        <f t="shared" si="155"/>
        <v>10.563604775541998</v>
      </c>
      <c r="AF609">
        <f t="shared" si="156"/>
        <v>-197.47782598554238</v>
      </c>
      <c r="AG609">
        <f t="shared" si="146"/>
        <v>53555.117155781903</v>
      </c>
      <c r="AH609" t="b">
        <f t="shared" si="157"/>
        <v>1</v>
      </c>
    </row>
    <row r="610" spans="4:34" hidden="1" x14ac:dyDescent="0.4">
      <c r="D610" t="s">
        <v>54</v>
      </c>
      <c r="E610" t="s">
        <v>37</v>
      </c>
      <c r="F610" s="9">
        <v>45886.166666666664</v>
      </c>
      <c r="G610" s="12">
        <v>191.66</v>
      </c>
      <c r="H610" s="9">
        <v>45888.166666666664</v>
      </c>
      <c r="I610" s="12">
        <v>182.22</v>
      </c>
      <c r="J610">
        <v>25.577999999999999</v>
      </c>
      <c r="K610" s="12">
        <v>4902.3999999999996</v>
      </c>
      <c r="L610">
        <v>7.17</v>
      </c>
      <c r="M610">
        <v>-248.63</v>
      </c>
      <c r="N610" s="13">
        <v>-5.0700000000000002E-2</v>
      </c>
      <c r="O610" t="s">
        <v>38</v>
      </c>
      <c r="Q610">
        <f t="shared" si="158"/>
        <v>-241.45631999999995</v>
      </c>
      <c r="R610">
        <f t="shared" si="159"/>
        <v>-248.62631999999994</v>
      </c>
      <c r="S610">
        <f t="shared" si="160"/>
        <v>4660.8231599999999</v>
      </c>
      <c r="U610">
        <f t="shared" si="147"/>
        <v>8.6089950000000002</v>
      </c>
      <c r="V610">
        <f t="shared" si="161"/>
        <v>1649.9999817</v>
      </c>
      <c r="W610">
        <f t="shared" si="148"/>
        <v>-81.268912799999981</v>
      </c>
      <c r="X610">
        <f t="shared" si="149"/>
        <v>3.2187310506000002</v>
      </c>
      <c r="Y610">
        <f t="shared" si="150"/>
        <v>-84.48764385059998</v>
      </c>
      <c r="Z610">
        <f t="shared" si="151"/>
        <v>36345.37280114583</v>
      </c>
      <c r="AB610">
        <f t="shared" si="152"/>
        <v>28.190154</v>
      </c>
      <c r="AC610">
        <f t="shared" si="153"/>
        <v>5402.9249156400001</v>
      </c>
      <c r="AD610">
        <f t="shared" si="154"/>
        <v>-266.11505375999991</v>
      </c>
      <c r="AE610">
        <f t="shared" si="155"/>
        <v>10.53973477752</v>
      </c>
      <c r="AF610">
        <f t="shared" si="156"/>
        <v>-276.65478853751989</v>
      </c>
      <c r="AG610">
        <f t="shared" si="146"/>
        <v>53752.594981767448</v>
      </c>
      <c r="AH610" t="b">
        <f t="shared" si="157"/>
        <v>1</v>
      </c>
    </row>
    <row r="611" spans="4:34" hidden="1" x14ac:dyDescent="0.4">
      <c r="D611" t="s">
        <v>61</v>
      </c>
      <c r="E611" t="s">
        <v>37</v>
      </c>
      <c r="F611" s="9">
        <v>45886.166666666664</v>
      </c>
      <c r="G611">
        <v>0.92169999999999996</v>
      </c>
      <c r="H611" s="9">
        <v>45888.166666666664</v>
      </c>
      <c r="I611">
        <v>0.92190000000000005</v>
      </c>
      <c r="J611" s="12">
        <v>9232.7999999999993</v>
      </c>
      <c r="K611" s="12">
        <v>8509.93</v>
      </c>
      <c r="L611">
        <v>12.77</v>
      </c>
      <c r="M611">
        <v>-10.92</v>
      </c>
      <c r="N611" s="13">
        <v>-1.2999999999999999E-3</v>
      </c>
      <c r="O611" t="s">
        <v>38</v>
      </c>
      <c r="Q611">
        <f t="shared" si="158"/>
        <v>1.8465600000008215</v>
      </c>
      <c r="R611">
        <f t="shared" si="159"/>
        <v>-10.923439999999179</v>
      </c>
      <c r="S611">
        <f t="shared" si="160"/>
        <v>8511.7183199999999</v>
      </c>
      <c r="U611">
        <f t="shared" si="147"/>
        <v>1790.170337</v>
      </c>
      <c r="V611">
        <f t="shared" si="161"/>
        <v>1649.9999996129</v>
      </c>
      <c r="W611">
        <f t="shared" si="148"/>
        <v>0.35803406740015931</v>
      </c>
      <c r="X611">
        <f t="shared" si="149"/>
        <v>3.3003580332931999</v>
      </c>
      <c r="Y611">
        <f t="shared" si="150"/>
        <v>-2.9423239658930407</v>
      </c>
      <c r="Z611">
        <f t="shared" si="151"/>
        <v>36429.860444996433</v>
      </c>
      <c r="AB611">
        <f t="shared" si="152"/>
        <v>5862.958243</v>
      </c>
      <c r="AC611">
        <f t="shared" si="153"/>
        <v>5403.8886125730996</v>
      </c>
      <c r="AD611">
        <f t="shared" si="154"/>
        <v>1.1725916486005217</v>
      </c>
      <c r="AE611">
        <f t="shared" si="155"/>
        <v>10.808949816794799</v>
      </c>
      <c r="AF611">
        <f t="shared" si="156"/>
        <v>-9.6363581681942776</v>
      </c>
      <c r="AG611">
        <f t="shared" si="146"/>
        <v>54029.249770304967</v>
      </c>
      <c r="AH611" t="b">
        <f t="shared" si="157"/>
        <v>1</v>
      </c>
    </row>
    <row r="612" spans="4:34" hidden="1" x14ac:dyDescent="0.4">
      <c r="D612" t="s">
        <v>55</v>
      </c>
      <c r="E612" t="s">
        <v>37</v>
      </c>
      <c r="F612" s="9">
        <v>45885.666666666664</v>
      </c>
      <c r="G612">
        <v>6.1669999999999997E-5</v>
      </c>
      <c r="H612" s="9">
        <v>45887.666666666664</v>
      </c>
      <c r="I612">
        <v>5.906E-5</v>
      </c>
      <c r="J612" s="12">
        <v>96501429.670000002</v>
      </c>
      <c r="K612" s="12">
        <v>5951.24</v>
      </c>
      <c r="L612">
        <v>8.74</v>
      </c>
      <c r="M612">
        <v>-260.61</v>
      </c>
      <c r="N612" s="13">
        <v>-4.3799999999999999E-2</v>
      </c>
      <c r="O612" t="s">
        <v>38</v>
      </c>
      <c r="Q612">
        <f t="shared" si="158"/>
        <v>-251.86873143869971</v>
      </c>
      <c r="R612">
        <f t="shared" si="159"/>
        <v>-260.60873143869969</v>
      </c>
      <c r="S612">
        <f t="shared" si="160"/>
        <v>5699.3744363102005</v>
      </c>
      <c r="U612">
        <f t="shared" si="147"/>
        <v>26755310.523756001</v>
      </c>
      <c r="V612">
        <f t="shared" si="161"/>
        <v>1650.0000000000325</v>
      </c>
      <c r="W612">
        <f t="shared" si="148"/>
        <v>-69.83136046700308</v>
      </c>
      <c r="X612">
        <f t="shared" si="149"/>
        <v>3.230168639533062</v>
      </c>
      <c r="Y612">
        <f t="shared" si="150"/>
        <v>-73.061529106536142</v>
      </c>
      <c r="Z612">
        <f t="shared" si="151"/>
        <v>36432.802768962327</v>
      </c>
      <c r="AB612">
        <f t="shared" si="152"/>
        <v>88015620.274404004</v>
      </c>
      <c r="AC612">
        <f t="shared" si="153"/>
        <v>5427.9233023224951</v>
      </c>
      <c r="AD612">
        <f t="shared" si="154"/>
        <v>-229.7207689161942</v>
      </c>
      <c r="AE612">
        <f t="shared" si="155"/>
        <v>10.626125835728795</v>
      </c>
      <c r="AF612">
        <f t="shared" si="156"/>
        <v>-240.346894751923</v>
      </c>
      <c r="AG612">
        <f t="shared" si="146"/>
        <v>54038.886128473161</v>
      </c>
      <c r="AH612" t="b">
        <f t="shared" si="157"/>
        <v>1</v>
      </c>
    </row>
    <row r="613" spans="4:34" hidden="1" x14ac:dyDescent="0.4">
      <c r="D613" t="s">
        <v>58</v>
      </c>
      <c r="E613" t="s">
        <v>37</v>
      </c>
      <c r="F613" s="9">
        <v>45885.625</v>
      </c>
      <c r="G613">
        <v>21.7</v>
      </c>
      <c r="H613" s="9">
        <v>45887.625</v>
      </c>
      <c r="I613">
        <v>25.07</v>
      </c>
      <c r="J613">
        <v>341.62</v>
      </c>
      <c r="K613" s="12">
        <v>7413.29</v>
      </c>
      <c r="L613">
        <v>11.98</v>
      </c>
      <c r="M613" s="12">
        <v>1139.28</v>
      </c>
      <c r="N613" s="13">
        <v>0.1537</v>
      </c>
      <c r="O613" t="s">
        <v>38</v>
      </c>
      <c r="Q613">
        <f t="shared" si="158"/>
        <v>1151.2594000000004</v>
      </c>
      <c r="R613">
        <f t="shared" si="159"/>
        <v>1139.2794000000004</v>
      </c>
      <c r="S613">
        <f t="shared" si="160"/>
        <v>8564.4133999999995</v>
      </c>
      <c r="U613">
        <f t="shared" si="147"/>
        <v>76.036866000000003</v>
      </c>
      <c r="V613">
        <f t="shared" si="161"/>
        <v>1649.9999922</v>
      </c>
      <c r="W613">
        <f t="shared" si="148"/>
        <v>256.2442384200001</v>
      </c>
      <c r="X613">
        <f t="shared" si="149"/>
        <v>3.5562442228200002</v>
      </c>
      <c r="Y613">
        <f t="shared" si="150"/>
        <v>252.6879941971801</v>
      </c>
      <c r="Z613">
        <f t="shared" si="151"/>
        <v>36505.86429806886</v>
      </c>
      <c r="AB613">
        <f t="shared" si="152"/>
        <v>246.36182500000001</v>
      </c>
      <c r="AC613">
        <f t="shared" si="153"/>
        <v>5346.0516024999997</v>
      </c>
      <c r="AD613">
        <f t="shared" si="154"/>
        <v>830.23935025000026</v>
      </c>
      <c r="AE613">
        <f t="shared" si="155"/>
        <v>11.522342555250001</v>
      </c>
      <c r="AF613">
        <f t="shared" si="156"/>
        <v>818.71700769475024</v>
      </c>
      <c r="AG613">
        <f t="shared" si="146"/>
        <v>54279.233023225082</v>
      </c>
      <c r="AH613" t="b">
        <f t="shared" si="157"/>
        <v>1</v>
      </c>
    </row>
    <row r="614" spans="4:34" hidden="1" x14ac:dyDescent="0.4">
      <c r="D614" t="s">
        <v>53</v>
      </c>
      <c r="E614" t="s">
        <v>37</v>
      </c>
      <c r="F614" s="9">
        <v>45885.583333333336</v>
      </c>
      <c r="G614">
        <v>830.93</v>
      </c>
      <c r="H614" s="9">
        <v>45887.583333333336</v>
      </c>
      <c r="I614">
        <v>840.2</v>
      </c>
      <c r="J614">
        <v>11.45</v>
      </c>
      <c r="K614" s="12">
        <v>9514.4699999999993</v>
      </c>
      <c r="L614">
        <v>14.35</v>
      </c>
      <c r="M614">
        <v>91.79</v>
      </c>
      <c r="N614" s="13">
        <v>9.5999999999999992E-3</v>
      </c>
      <c r="O614" t="s">
        <v>38</v>
      </c>
      <c r="Q614">
        <f t="shared" si="158"/>
        <v>106.14150000000109</v>
      </c>
      <c r="R614">
        <f t="shared" si="159"/>
        <v>91.791500000001093</v>
      </c>
      <c r="S614">
        <f t="shared" si="160"/>
        <v>9620.2899999999991</v>
      </c>
      <c r="U614">
        <f t="shared" si="147"/>
        <v>1.985727</v>
      </c>
      <c r="V614">
        <f t="shared" si="161"/>
        <v>1650.0001361099999</v>
      </c>
      <c r="W614">
        <f t="shared" si="148"/>
        <v>18.407689290000189</v>
      </c>
      <c r="X614">
        <f t="shared" si="149"/>
        <v>3.3184079615100006</v>
      </c>
      <c r="Y614">
        <f t="shared" si="150"/>
        <v>15.089281328490188</v>
      </c>
      <c r="Z614">
        <f t="shared" si="151"/>
        <v>36253.176303871682</v>
      </c>
      <c r="AB614">
        <f t="shared" si="152"/>
        <v>6.4279390000000003</v>
      </c>
      <c r="AC614">
        <f t="shared" si="153"/>
        <v>5341.1673532699997</v>
      </c>
      <c r="AD614">
        <f t="shared" si="154"/>
        <v>59.586994530000617</v>
      </c>
      <c r="AE614">
        <f t="shared" si="155"/>
        <v>10.741921701070002</v>
      </c>
      <c r="AF614">
        <f t="shared" si="156"/>
        <v>48.845072828930611</v>
      </c>
      <c r="AG614">
        <f t="shared" si="146"/>
        <v>53460.516015530331</v>
      </c>
      <c r="AH614" t="b">
        <f t="shared" si="157"/>
        <v>1</v>
      </c>
    </row>
    <row r="615" spans="4:34" hidden="1" x14ac:dyDescent="0.4">
      <c r="D615" t="s">
        <v>50</v>
      </c>
      <c r="E615" t="s">
        <v>37</v>
      </c>
      <c r="F615" s="9">
        <v>45885.583333333336</v>
      </c>
      <c r="G615">
        <v>367.4</v>
      </c>
      <c r="H615" s="9">
        <v>45887.583333333336</v>
      </c>
      <c r="I615">
        <v>358</v>
      </c>
      <c r="J615">
        <v>35.650700000000001</v>
      </c>
      <c r="K615" s="12">
        <v>13098.07</v>
      </c>
      <c r="L615">
        <v>19.399999999999999</v>
      </c>
      <c r="M615">
        <v>-354.51</v>
      </c>
      <c r="N615" s="13">
        <v>-2.7099999999999999E-2</v>
      </c>
      <c r="O615" t="s">
        <v>38</v>
      </c>
      <c r="Q615">
        <f t="shared" si="158"/>
        <v>-335.1165799999992</v>
      </c>
      <c r="R615">
        <f t="shared" si="159"/>
        <v>-354.51657999999918</v>
      </c>
      <c r="S615">
        <f t="shared" si="160"/>
        <v>12762.9506</v>
      </c>
      <c r="U615">
        <f t="shared" si="147"/>
        <v>4.4910180000000004</v>
      </c>
      <c r="V615">
        <f t="shared" si="161"/>
        <v>1650.0000132</v>
      </c>
      <c r="W615">
        <f t="shared" si="148"/>
        <v>-42.215569199999905</v>
      </c>
      <c r="X615">
        <f t="shared" si="149"/>
        <v>3.2577844572000005</v>
      </c>
      <c r="Y615">
        <f t="shared" si="150"/>
        <v>-45.473353657199908</v>
      </c>
      <c r="Z615">
        <f t="shared" si="151"/>
        <v>36238.087022543194</v>
      </c>
      <c r="AB615">
        <f t="shared" si="152"/>
        <v>14.577920000000001</v>
      </c>
      <c r="AC615">
        <f t="shared" si="153"/>
        <v>5355.9278079999995</v>
      </c>
      <c r="AD615">
        <f t="shared" si="154"/>
        <v>-137.03244799999968</v>
      </c>
      <c r="AE615">
        <f t="shared" si="155"/>
        <v>10.574823168000002</v>
      </c>
      <c r="AF615">
        <f t="shared" si="156"/>
        <v>-147.60727116799967</v>
      </c>
      <c r="AG615">
        <f t="shared" si="146"/>
        <v>53411.670942701399</v>
      </c>
      <c r="AH615" t="b">
        <f t="shared" si="157"/>
        <v>1</v>
      </c>
    </row>
    <row r="616" spans="4:34" hidden="1" x14ac:dyDescent="0.4">
      <c r="D616" t="s">
        <v>56</v>
      </c>
      <c r="E616" t="s">
        <v>37</v>
      </c>
      <c r="F616" s="9">
        <v>45886.166666666664</v>
      </c>
      <c r="G616" s="12">
        <v>4436.7</v>
      </c>
      <c r="H616" s="9">
        <v>45887.166666666664</v>
      </c>
      <c r="I616" s="12">
        <v>4366.09</v>
      </c>
      <c r="J616">
        <v>1.2828999999999999</v>
      </c>
      <c r="K616" s="12">
        <v>5692.2</v>
      </c>
      <c r="L616">
        <v>8.4700000000000006</v>
      </c>
      <c r="M616">
        <v>-99.05</v>
      </c>
      <c r="N616" s="13">
        <v>-1.7399999999999999E-2</v>
      </c>
      <c r="O616" t="s">
        <v>49</v>
      </c>
      <c r="Q616">
        <f t="shared" si="158"/>
        <v>-90.58556899999958</v>
      </c>
      <c r="R616">
        <f t="shared" si="159"/>
        <v>-99.055568999999579</v>
      </c>
      <c r="S616">
        <f t="shared" si="160"/>
        <v>5601.2568609999998</v>
      </c>
      <c r="U616">
        <f t="shared" si="147"/>
        <v>0.37189800000000001</v>
      </c>
      <c r="V616">
        <f t="shared" si="161"/>
        <v>1649.9998565999999</v>
      </c>
      <c r="W616">
        <f t="shared" si="148"/>
        <v>-26.259717779999878</v>
      </c>
      <c r="X616">
        <f t="shared" si="149"/>
        <v>3.2737399954200006</v>
      </c>
      <c r="Y616">
        <f t="shared" si="150"/>
        <v>-29.53345777541988</v>
      </c>
      <c r="Z616">
        <f t="shared" si="151"/>
        <v>36283.560376200396</v>
      </c>
      <c r="AB616">
        <f t="shared" si="152"/>
        <v>1.209352</v>
      </c>
      <c r="AC616">
        <f t="shared" si="153"/>
        <v>5365.5320183999993</v>
      </c>
      <c r="AD616">
        <f t="shared" si="154"/>
        <v>-85.392344719999599</v>
      </c>
      <c r="AE616">
        <f t="shared" si="155"/>
        <v>10.645671692080002</v>
      </c>
      <c r="AF616">
        <f t="shared" si="156"/>
        <v>-96.0380164120796</v>
      </c>
      <c r="AG616">
        <f t="shared" si="146"/>
        <v>53559.278213869402</v>
      </c>
      <c r="AH616" t="b">
        <f t="shared" si="157"/>
        <v>1</v>
      </c>
    </row>
    <row r="617" spans="4:34" hidden="1" x14ac:dyDescent="0.4">
      <c r="D617" t="s">
        <v>61</v>
      </c>
      <c r="E617" t="s">
        <v>37</v>
      </c>
      <c r="F617" s="9">
        <v>45884.166666666664</v>
      </c>
      <c r="G617">
        <v>0.92369999999999997</v>
      </c>
      <c r="H617" s="9">
        <v>45886.166666666664</v>
      </c>
      <c r="I617">
        <v>0.92169999999999996</v>
      </c>
      <c r="J617" s="12">
        <v>9216.2000000000007</v>
      </c>
      <c r="K617" s="12">
        <v>8513.0499999999993</v>
      </c>
      <c r="L617">
        <v>12.76</v>
      </c>
      <c r="M617">
        <v>-31.19</v>
      </c>
      <c r="N617" s="13">
        <v>-3.7000000000000002E-3</v>
      </c>
      <c r="O617" t="s">
        <v>38</v>
      </c>
      <c r="Q617">
        <f t="shared" si="158"/>
        <v>-18.432400000000019</v>
      </c>
      <c r="R617">
        <f t="shared" si="159"/>
        <v>-31.192400000000021</v>
      </c>
      <c r="S617">
        <f t="shared" si="160"/>
        <v>8494.5715400000008</v>
      </c>
      <c r="U617">
        <f t="shared" si="147"/>
        <v>1786.294251</v>
      </c>
      <c r="V617">
        <f t="shared" si="161"/>
        <v>1649.9999996486999</v>
      </c>
      <c r="W617">
        <f t="shared" si="148"/>
        <v>-3.5725885020000034</v>
      </c>
      <c r="X617">
        <f t="shared" si="149"/>
        <v>3.2964274107953999</v>
      </c>
      <c r="Y617">
        <f t="shared" si="150"/>
        <v>-6.8690159127954029</v>
      </c>
      <c r="Z617">
        <f t="shared" si="151"/>
        <v>36313.093833975814</v>
      </c>
      <c r="AB617">
        <f t="shared" si="152"/>
        <v>5811.1575679999996</v>
      </c>
      <c r="AC617">
        <f t="shared" si="153"/>
        <v>5367.7662455615991</v>
      </c>
      <c r="AD617">
        <f t="shared" si="154"/>
        <v>-11.62231513600001</v>
      </c>
      <c r="AE617">
        <f t="shared" si="155"/>
        <v>10.723910175987198</v>
      </c>
      <c r="AF617">
        <f t="shared" si="156"/>
        <v>-22.346225311987208</v>
      </c>
      <c r="AG617">
        <f t="shared" si="146"/>
        <v>53655.316230281482</v>
      </c>
      <c r="AH617" t="b">
        <f t="shared" si="157"/>
        <v>1</v>
      </c>
    </row>
    <row r="618" spans="4:34" hidden="1" x14ac:dyDescent="0.4">
      <c r="D618" t="s">
        <v>60</v>
      </c>
      <c r="E618" t="s">
        <v>37</v>
      </c>
      <c r="F618" s="9">
        <v>45882.25</v>
      </c>
      <c r="G618" s="12">
        <v>3.2511999999999999</v>
      </c>
      <c r="H618" s="9">
        <v>45884.75</v>
      </c>
      <c r="I618" s="12">
        <v>3.0390999999999999</v>
      </c>
      <c r="J618">
        <v>702</v>
      </c>
      <c r="K618" s="12">
        <v>2282.39</v>
      </c>
      <c r="L618">
        <v>3.31</v>
      </c>
      <c r="M618">
        <v>-152.21</v>
      </c>
      <c r="N618" s="13">
        <v>-6.6699999999999995E-2</v>
      </c>
      <c r="O618" t="s">
        <v>57</v>
      </c>
      <c r="Q618">
        <f t="shared" si="158"/>
        <v>-148.89419999999996</v>
      </c>
      <c r="R618">
        <f t="shared" si="159"/>
        <v>-152.20419999999996</v>
      </c>
      <c r="S618">
        <f t="shared" si="160"/>
        <v>2133.4481999999998</v>
      </c>
      <c r="U618">
        <f t="shared" si="147"/>
        <v>507.50492100000002</v>
      </c>
      <c r="V618">
        <f t="shared" si="161"/>
        <v>1649.9999991551999</v>
      </c>
      <c r="W618">
        <f t="shared" si="148"/>
        <v>-107.64179374409999</v>
      </c>
      <c r="X618">
        <f t="shared" si="149"/>
        <v>3.1923582045663004</v>
      </c>
      <c r="Y618">
        <f t="shared" si="150"/>
        <v>-110.83415194866629</v>
      </c>
      <c r="Z618">
        <f t="shared" si="151"/>
        <v>36319.962849888609</v>
      </c>
      <c r="AB618">
        <f t="shared" si="152"/>
        <v>1662.1759830000001</v>
      </c>
      <c r="AC618">
        <f t="shared" si="153"/>
        <v>5404.0665559296003</v>
      </c>
      <c r="AD618">
        <f t="shared" si="154"/>
        <v>-352.54752599429992</v>
      </c>
      <c r="AE618">
        <f t="shared" si="155"/>
        <v>10.455585585864901</v>
      </c>
      <c r="AF618">
        <f t="shared" si="156"/>
        <v>-363.00311158016484</v>
      </c>
      <c r="AG618">
        <f t="shared" ref="AG618:AG681" si="162">AG619*AH618 + (1-AH618)*AI618+AF618</f>
        <v>53677.662455593469</v>
      </c>
      <c r="AH618" t="b">
        <f t="shared" si="157"/>
        <v>1</v>
      </c>
    </row>
    <row r="619" spans="4:34" hidden="1" x14ac:dyDescent="0.4">
      <c r="D619" t="s">
        <v>56</v>
      </c>
      <c r="E619" t="s">
        <v>37</v>
      </c>
      <c r="F619" s="9">
        <v>45884.5</v>
      </c>
      <c r="G619" s="12">
        <v>4639.7</v>
      </c>
      <c r="H619" s="9">
        <v>45884.666666666664</v>
      </c>
      <c r="I619" s="12">
        <v>4533.78</v>
      </c>
      <c r="J619">
        <v>1.2298</v>
      </c>
      <c r="K619" s="12">
        <v>5706.07</v>
      </c>
      <c r="L619">
        <v>8.4600000000000009</v>
      </c>
      <c r="M619">
        <v>-138.72</v>
      </c>
      <c r="N619" s="13">
        <v>-2.4299999999999999E-2</v>
      </c>
      <c r="O619" t="s">
        <v>49</v>
      </c>
      <c r="Q619">
        <f t="shared" si="158"/>
        <v>-130.26041600000008</v>
      </c>
      <c r="R619">
        <f t="shared" si="159"/>
        <v>-138.72041600000009</v>
      </c>
      <c r="S619">
        <f t="shared" si="160"/>
        <v>5575.6426439999996</v>
      </c>
      <c r="U619">
        <f t="shared" si="147"/>
        <v>0.355626</v>
      </c>
      <c r="V619">
        <f t="shared" si="161"/>
        <v>1649.9979521999999</v>
      </c>
      <c r="W619">
        <f t="shared" si="148"/>
        <v>-37.667905920000024</v>
      </c>
      <c r="X619">
        <f t="shared" si="149"/>
        <v>3.26232799848</v>
      </c>
      <c r="Y619">
        <f t="shared" si="150"/>
        <v>-40.930233918480027</v>
      </c>
      <c r="Z619">
        <f t="shared" si="151"/>
        <v>36430.797001837273</v>
      </c>
      <c r="AB619">
        <f t="shared" si="152"/>
        <v>1.1676409999999999</v>
      </c>
      <c r="AC619">
        <f t="shared" si="153"/>
        <v>5417.5039476999991</v>
      </c>
      <c r="AD619">
        <f t="shared" si="154"/>
        <v>-123.67653472000008</v>
      </c>
      <c r="AE619">
        <f t="shared" si="155"/>
        <v>10.711331360679999</v>
      </c>
      <c r="AF619">
        <f t="shared" si="156"/>
        <v>-134.38786608068008</v>
      </c>
      <c r="AG619">
        <f t="shared" si="162"/>
        <v>54040.66556717363</v>
      </c>
      <c r="AH619" t="b">
        <f t="shared" si="157"/>
        <v>1</v>
      </c>
    </row>
    <row r="620" spans="4:34" hidden="1" x14ac:dyDescent="0.4">
      <c r="D620" t="s">
        <v>58</v>
      </c>
      <c r="E620" t="s">
        <v>37</v>
      </c>
      <c r="F620" s="9">
        <v>45882.458333333336</v>
      </c>
      <c r="G620">
        <v>23.82</v>
      </c>
      <c r="H620" s="9">
        <v>45884.458333333336</v>
      </c>
      <c r="I620">
        <v>22.34</v>
      </c>
      <c r="J620" s="12">
        <v>313.20999999999998</v>
      </c>
      <c r="K620" s="12">
        <v>7460.73</v>
      </c>
      <c r="L620">
        <v>10.84</v>
      </c>
      <c r="M620">
        <v>-474.39</v>
      </c>
      <c r="N620" s="13">
        <v>-6.3600000000000004E-2</v>
      </c>
      <c r="O620" t="s">
        <v>38</v>
      </c>
      <c r="Q620">
        <f t="shared" si="158"/>
        <v>-463.55080000000009</v>
      </c>
      <c r="R620">
        <f t="shared" si="159"/>
        <v>-474.39080000000007</v>
      </c>
      <c r="S620">
        <f t="shared" si="160"/>
        <v>6997.1113999999998</v>
      </c>
      <c r="U620">
        <f t="shared" si="147"/>
        <v>69.269520999999997</v>
      </c>
      <c r="V620">
        <f t="shared" si="161"/>
        <v>1649.99999022</v>
      </c>
      <c r="W620">
        <f t="shared" si="148"/>
        <v>-102.51889108000003</v>
      </c>
      <c r="X620">
        <f t="shared" si="149"/>
        <v>3.1974810893599996</v>
      </c>
      <c r="Y620">
        <f t="shared" si="150"/>
        <v>-105.71637216936003</v>
      </c>
      <c r="Z620">
        <f t="shared" si="151"/>
        <v>36471.727235755752</v>
      </c>
      <c r="AB620">
        <f t="shared" si="152"/>
        <v>228.90173899999999</v>
      </c>
      <c r="AC620">
        <f t="shared" si="153"/>
        <v>5452.43942298</v>
      </c>
      <c r="AD620">
        <f t="shared" si="154"/>
        <v>-338.77457372000009</v>
      </c>
      <c r="AE620">
        <f t="shared" si="155"/>
        <v>10.566104272239999</v>
      </c>
      <c r="AF620">
        <f t="shared" si="156"/>
        <v>-349.3406779922401</v>
      </c>
      <c r="AG620">
        <f t="shared" si="162"/>
        <v>54175.05343325431</v>
      </c>
      <c r="AH620" t="b">
        <f t="shared" si="157"/>
        <v>1</v>
      </c>
    </row>
    <row r="621" spans="4:34" hidden="1" x14ac:dyDescent="0.4">
      <c r="D621" t="s">
        <v>43</v>
      </c>
      <c r="E621" t="s">
        <v>37</v>
      </c>
      <c r="F621" s="9">
        <v>45882.166666666664</v>
      </c>
      <c r="G621" s="12">
        <v>3.8843000000000001</v>
      </c>
      <c r="H621" s="9">
        <v>45884.166666666664</v>
      </c>
      <c r="I621" s="12">
        <v>3.7986</v>
      </c>
      <c r="J621">
        <v>496.3</v>
      </c>
      <c r="K621" s="12">
        <v>1928.08</v>
      </c>
      <c r="L621">
        <v>2.86</v>
      </c>
      <c r="M621">
        <v>-45.39</v>
      </c>
      <c r="N621" s="13">
        <v>-2.35E-2</v>
      </c>
      <c r="O621" t="s">
        <v>38</v>
      </c>
      <c r="Q621">
        <f t="shared" si="158"/>
        <v>-42.532910000000058</v>
      </c>
      <c r="R621">
        <f t="shared" si="159"/>
        <v>-45.392910000000057</v>
      </c>
      <c r="S621">
        <f t="shared" si="160"/>
        <v>1885.2451800000001</v>
      </c>
      <c r="U621">
        <f t="shared" si="147"/>
        <v>424.78696300000001</v>
      </c>
      <c r="V621">
        <f t="shared" si="161"/>
        <v>1650.0000003809</v>
      </c>
      <c r="W621">
        <f t="shared" si="148"/>
        <v>-36.404242729100048</v>
      </c>
      <c r="X621">
        <f t="shared" si="149"/>
        <v>3.2635957580327002</v>
      </c>
      <c r="Y621">
        <f t="shared" si="150"/>
        <v>-39.667838487132748</v>
      </c>
      <c r="Z621">
        <f t="shared" si="151"/>
        <v>36577.44360792511</v>
      </c>
      <c r="AB621">
        <f t="shared" si="152"/>
        <v>1407.0950419999999</v>
      </c>
      <c r="AC621">
        <f t="shared" si="153"/>
        <v>5465.5792716405995</v>
      </c>
      <c r="AD621">
        <f t="shared" si="154"/>
        <v>-120.58804509940015</v>
      </c>
      <c r="AE621">
        <f t="shared" si="155"/>
        <v>10.8105704981818</v>
      </c>
      <c r="AF621">
        <f t="shared" si="156"/>
        <v>-131.39861559758194</v>
      </c>
      <c r="AG621">
        <f t="shared" si="162"/>
        <v>54524.394111246547</v>
      </c>
      <c r="AH621" t="b">
        <f t="shared" si="157"/>
        <v>1</v>
      </c>
    </row>
    <row r="622" spans="4:34" hidden="1" x14ac:dyDescent="0.4">
      <c r="D622" t="s">
        <v>52</v>
      </c>
      <c r="E622" t="s">
        <v>37</v>
      </c>
      <c r="F622" s="9">
        <v>45882.166666666664</v>
      </c>
      <c r="G622">
        <v>5.72</v>
      </c>
      <c r="H622" s="9">
        <v>45884.166666666664</v>
      </c>
      <c r="I622">
        <v>5.47</v>
      </c>
      <c r="J622" s="12">
        <v>414.5</v>
      </c>
      <c r="K622" s="12">
        <v>2370.96</v>
      </c>
      <c r="L622">
        <v>3.48</v>
      </c>
      <c r="M622">
        <v>-107.1</v>
      </c>
      <c r="N622" s="13">
        <v>-4.5199999999999997E-2</v>
      </c>
      <c r="O622" t="s">
        <v>38</v>
      </c>
      <c r="Q622">
        <f t="shared" si="158"/>
        <v>-103.625</v>
      </c>
      <c r="R622">
        <f t="shared" si="159"/>
        <v>-107.105</v>
      </c>
      <c r="S622">
        <f t="shared" si="160"/>
        <v>2267.3150000000001</v>
      </c>
      <c r="U622">
        <f t="shared" si="147"/>
        <v>288.46153800000002</v>
      </c>
      <c r="V622">
        <f t="shared" si="161"/>
        <v>1649.99999736</v>
      </c>
      <c r="W622">
        <f t="shared" si="148"/>
        <v>-72.115384500000005</v>
      </c>
      <c r="X622">
        <f t="shared" si="149"/>
        <v>3.2278846102200003</v>
      </c>
      <c r="Y622">
        <f t="shared" si="150"/>
        <v>-75.343269110220007</v>
      </c>
      <c r="Z622">
        <f t="shared" si="151"/>
        <v>36617.111446412244</v>
      </c>
      <c r="AB622">
        <f t="shared" si="152"/>
        <v>959.90402200000005</v>
      </c>
      <c r="AC622">
        <f t="shared" si="153"/>
        <v>5490.6510058399999</v>
      </c>
      <c r="AD622">
        <f t="shared" si="154"/>
        <v>-239.97600550000001</v>
      </c>
      <c r="AE622">
        <f t="shared" si="155"/>
        <v>10.741326006180001</v>
      </c>
      <c r="AF622">
        <f t="shared" si="156"/>
        <v>-250.71733150618002</v>
      </c>
      <c r="AG622">
        <f t="shared" si="162"/>
        <v>54655.792726844127</v>
      </c>
      <c r="AH622" t="b">
        <f t="shared" si="157"/>
        <v>1</v>
      </c>
    </row>
    <row r="623" spans="4:34" hidden="1" x14ac:dyDescent="0.4">
      <c r="D623" t="s">
        <v>61</v>
      </c>
      <c r="E623" t="s">
        <v>37</v>
      </c>
      <c r="F623" s="9">
        <v>45882.166666666664</v>
      </c>
      <c r="G623">
        <v>0.85060000000000002</v>
      </c>
      <c r="H623" s="9">
        <v>45884.166666666664</v>
      </c>
      <c r="I623">
        <v>0.92369999999999997</v>
      </c>
      <c r="J623" s="12">
        <v>9924.5</v>
      </c>
      <c r="K623" s="12">
        <v>8441.82</v>
      </c>
      <c r="L623">
        <v>13.21</v>
      </c>
      <c r="M623">
        <v>712.27</v>
      </c>
      <c r="N623" s="13">
        <v>8.4400000000000003E-2</v>
      </c>
      <c r="O623" t="s">
        <v>38</v>
      </c>
      <c r="Q623">
        <f t="shared" si="158"/>
        <v>725.48094999999944</v>
      </c>
      <c r="R623">
        <f t="shared" si="159"/>
        <v>712.2709499999994</v>
      </c>
      <c r="S623">
        <f t="shared" si="160"/>
        <v>9167.2606500000002</v>
      </c>
      <c r="U623">
        <f t="shared" si="147"/>
        <v>1939.8071950000001</v>
      </c>
      <c r="V623">
        <f t="shared" si="161"/>
        <v>1650.0000000670002</v>
      </c>
      <c r="W623">
        <f t="shared" si="148"/>
        <v>141.79990595449991</v>
      </c>
      <c r="X623">
        <f t="shared" si="149"/>
        <v>3.4417999060884998</v>
      </c>
      <c r="Y623">
        <f t="shared" si="150"/>
        <v>138.3581060484114</v>
      </c>
      <c r="Z623">
        <f t="shared" si="151"/>
        <v>36692.454715522465</v>
      </c>
      <c r="AB623">
        <f t="shared" si="152"/>
        <v>6401.3553849999998</v>
      </c>
      <c r="AC623">
        <f t="shared" si="153"/>
        <v>5444.9928904810004</v>
      </c>
      <c r="AD623">
        <f t="shared" si="154"/>
        <v>467.93907864349961</v>
      </c>
      <c r="AE623">
        <f t="shared" si="155"/>
        <v>11.357924859605498</v>
      </c>
      <c r="AF623">
        <f t="shared" si="156"/>
        <v>456.58115378389414</v>
      </c>
      <c r="AG623">
        <f t="shared" si="162"/>
        <v>54906.510058350308</v>
      </c>
      <c r="AH623" t="b">
        <f t="shared" si="157"/>
        <v>1</v>
      </c>
    </row>
    <row r="624" spans="4:34" hidden="1" x14ac:dyDescent="0.4">
      <c r="D624" t="s">
        <v>53</v>
      </c>
      <c r="E624" t="s">
        <v>37</v>
      </c>
      <c r="F624" s="9">
        <v>45882.166666666664</v>
      </c>
      <c r="G624">
        <v>836.69</v>
      </c>
      <c r="H624" s="9">
        <v>45884.166666666664</v>
      </c>
      <c r="I624">
        <v>841.82</v>
      </c>
      <c r="J624" s="12">
        <v>11.366</v>
      </c>
      <c r="K624" s="12">
        <v>9510.07</v>
      </c>
      <c r="L624">
        <v>14.31</v>
      </c>
      <c r="M624">
        <v>44</v>
      </c>
      <c r="N624" s="13">
        <v>4.5999999999999999E-3</v>
      </c>
      <c r="O624" t="s">
        <v>38</v>
      </c>
      <c r="Q624">
        <f t="shared" si="158"/>
        <v>58.307579999999945</v>
      </c>
      <c r="R624">
        <f t="shared" si="159"/>
        <v>43.997579999999942</v>
      </c>
      <c r="S624">
        <f t="shared" si="160"/>
        <v>9568.1261200000008</v>
      </c>
      <c r="U624">
        <f t="shared" si="147"/>
        <v>1.9720569999999999</v>
      </c>
      <c r="V624">
        <f t="shared" si="161"/>
        <v>1650.00037133</v>
      </c>
      <c r="W624">
        <f t="shared" si="148"/>
        <v>10.116652409999991</v>
      </c>
      <c r="X624">
        <f t="shared" si="149"/>
        <v>3.3101173950700002</v>
      </c>
      <c r="Y624">
        <f t="shared" si="150"/>
        <v>6.8065350149299917</v>
      </c>
      <c r="Z624">
        <f t="shared" si="151"/>
        <v>36554.096609474051</v>
      </c>
      <c r="AB624">
        <f t="shared" si="152"/>
        <v>6.5050949999999998</v>
      </c>
      <c r="AC624">
        <f t="shared" si="153"/>
        <v>5442.74793555</v>
      </c>
      <c r="AD624">
        <f t="shared" si="154"/>
        <v>33.37113734999997</v>
      </c>
      <c r="AE624">
        <f t="shared" si="155"/>
        <v>10.91886700845</v>
      </c>
      <c r="AF624">
        <f t="shared" si="156"/>
        <v>22.452270341549969</v>
      </c>
      <c r="AG624">
        <f t="shared" si="162"/>
        <v>54449.928904566412</v>
      </c>
      <c r="AH624" t="b">
        <f t="shared" si="157"/>
        <v>1</v>
      </c>
    </row>
    <row r="625" spans="4:34" hidden="1" x14ac:dyDescent="0.4">
      <c r="D625" t="s">
        <v>50</v>
      </c>
      <c r="E625" t="s">
        <v>37</v>
      </c>
      <c r="F625" s="9">
        <v>45882.166666666664</v>
      </c>
      <c r="G625">
        <v>392.4</v>
      </c>
      <c r="H625" s="9">
        <v>45884.166666666664</v>
      </c>
      <c r="I625">
        <v>370.8</v>
      </c>
      <c r="J625">
        <v>33.569000000000003</v>
      </c>
      <c r="K625" s="12">
        <v>13172.5</v>
      </c>
      <c r="L625">
        <v>19.21</v>
      </c>
      <c r="M625">
        <v>-744.31</v>
      </c>
      <c r="N625" s="13">
        <v>-5.6500000000000002E-2</v>
      </c>
      <c r="O625" t="s">
        <v>38</v>
      </c>
      <c r="Q625">
        <f t="shared" si="158"/>
        <v>-725.09039999999891</v>
      </c>
      <c r="R625">
        <f t="shared" si="159"/>
        <v>-744.30039999999894</v>
      </c>
      <c r="S625">
        <f t="shared" si="160"/>
        <v>12447.385200000001</v>
      </c>
      <c r="U625">
        <f t="shared" si="147"/>
        <v>4.2048930000000002</v>
      </c>
      <c r="V625">
        <f t="shared" si="161"/>
        <v>1650.0000132</v>
      </c>
      <c r="W625">
        <f t="shared" si="148"/>
        <v>-90.825688799999867</v>
      </c>
      <c r="X625">
        <f t="shared" si="149"/>
        <v>3.2091743376000004</v>
      </c>
      <c r="Y625">
        <f t="shared" si="150"/>
        <v>-94.034863137599871</v>
      </c>
      <c r="Z625">
        <f t="shared" si="151"/>
        <v>36547.290074459117</v>
      </c>
      <c r="AB625">
        <f t="shared" si="152"/>
        <v>13.949909</v>
      </c>
      <c r="AC625">
        <f t="shared" si="153"/>
        <v>5473.9442915999998</v>
      </c>
      <c r="AD625">
        <f t="shared" si="154"/>
        <v>-301.31803439999953</v>
      </c>
      <c r="AE625">
        <f t="shared" si="155"/>
        <v>10.646570548800002</v>
      </c>
      <c r="AF625">
        <f t="shared" si="156"/>
        <v>-311.96460494879955</v>
      </c>
      <c r="AG625">
        <f t="shared" si="162"/>
        <v>54427.476634224862</v>
      </c>
      <c r="AH625" t="b">
        <f t="shared" si="157"/>
        <v>1</v>
      </c>
    </row>
    <row r="626" spans="4:34" hidden="1" x14ac:dyDescent="0.4">
      <c r="D626" t="s">
        <v>48</v>
      </c>
      <c r="E626" t="s">
        <v>37</v>
      </c>
      <c r="F626" s="9">
        <v>45882.083333333336</v>
      </c>
      <c r="G626">
        <v>0.1429</v>
      </c>
      <c r="H626" s="9">
        <v>45884.083333333336</v>
      </c>
      <c r="I626">
        <v>0.124</v>
      </c>
      <c r="J626" s="12">
        <v>22120.9</v>
      </c>
      <c r="K626" s="12">
        <v>3161.08</v>
      </c>
      <c r="L626">
        <v>4.43</v>
      </c>
      <c r="M626">
        <v>-422.51</v>
      </c>
      <c r="N626" s="13">
        <v>-0.13370000000000001</v>
      </c>
      <c r="O626" t="s">
        <v>38</v>
      </c>
      <c r="Q626">
        <f t="shared" si="158"/>
        <v>-418.08501000000001</v>
      </c>
      <c r="R626">
        <f t="shared" si="159"/>
        <v>-422.51501000000002</v>
      </c>
      <c r="S626">
        <f t="shared" si="160"/>
        <v>2742.9916000000003</v>
      </c>
      <c r="U626">
        <f t="shared" si="147"/>
        <v>11546.536039000001</v>
      </c>
      <c r="V626">
        <f t="shared" si="161"/>
        <v>1649.9999999731001</v>
      </c>
      <c r="W626">
        <f t="shared" si="148"/>
        <v>-218.22953113710003</v>
      </c>
      <c r="X626">
        <f t="shared" si="149"/>
        <v>3.0817704688091005</v>
      </c>
      <c r="Y626">
        <f t="shared" si="150"/>
        <v>-221.31130160590914</v>
      </c>
      <c r="Z626">
        <f t="shared" si="151"/>
        <v>36641.324937596713</v>
      </c>
      <c r="AB626">
        <f t="shared" si="152"/>
        <v>38826.894644</v>
      </c>
      <c r="AC626">
        <f t="shared" si="153"/>
        <v>5548.3632446275997</v>
      </c>
      <c r="AD626">
        <f t="shared" si="154"/>
        <v>-733.82830877159995</v>
      </c>
      <c r="AE626">
        <f t="shared" si="155"/>
        <v>10.362898180483601</v>
      </c>
      <c r="AF626">
        <f t="shared" si="156"/>
        <v>-744.19120695208358</v>
      </c>
      <c r="AG626">
        <f t="shared" si="162"/>
        <v>54739.441239173662</v>
      </c>
      <c r="AH626" t="b">
        <f t="shared" si="157"/>
        <v>1</v>
      </c>
    </row>
    <row r="627" spans="4:34" hidden="1" x14ac:dyDescent="0.4">
      <c r="D627" t="s">
        <v>54</v>
      </c>
      <c r="E627" t="s">
        <v>37</v>
      </c>
      <c r="F627" s="9">
        <v>45882.083333333336</v>
      </c>
      <c r="G627">
        <v>193.96</v>
      </c>
      <c r="H627" s="9">
        <v>45884.083333333336</v>
      </c>
      <c r="I627">
        <v>192.85</v>
      </c>
      <c r="J627">
        <v>25.292999999999999</v>
      </c>
      <c r="K627" s="12">
        <v>4905.9399999999996</v>
      </c>
      <c r="L627">
        <v>7.34</v>
      </c>
      <c r="M627">
        <v>-35.409999999999997</v>
      </c>
      <c r="N627" s="13">
        <v>-7.1999999999999998E-3</v>
      </c>
      <c r="O627" t="s">
        <v>38</v>
      </c>
      <c r="Q627">
        <f t="shared" si="158"/>
        <v>-28.075230000000346</v>
      </c>
      <c r="R627">
        <f t="shared" si="159"/>
        <v>-35.415230000000349</v>
      </c>
      <c r="S627">
        <f t="shared" si="160"/>
        <v>4877.7550499999998</v>
      </c>
      <c r="U627">
        <f t="shared" si="147"/>
        <v>8.5069090000000003</v>
      </c>
      <c r="V627">
        <f t="shared" si="161"/>
        <v>1650.0000696400002</v>
      </c>
      <c r="W627">
        <f t="shared" si="148"/>
        <v>-9.4426689900001168</v>
      </c>
      <c r="X627">
        <f t="shared" si="149"/>
        <v>3.29055747029</v>
      </c>
      <c r="Y627">
        <f t="shared" si="150"/>
        <v>-12.733226460290117</v>
      </c>
      <c r="Z627">
        <f t="shared" si="151"/>
        <v>36862.63623920262</v>
      </c>
      <c r="AB627">
        <f t="shared" si="152"/>
        <v>28.627801000000002</v>
      </c>
      <c r="AC627">
        <f t="shared" si="153"/>
        <v>5552.6482819600005</v>
      </c>
      <c r="AD627">
        <f t="shared" si="154"/>
        <v>-31.776859110000391</v>
      </c>
      <c r="AE627">
        <f t="shared" si="155"/>
        <v>11.07351970481</v>
      </c>
      <c r="AF627">
        <f t="shared" si="156"/>
        <v>-42.850378814810391</v>
      </c>
      <c r="AG627">
        <f t="shared" si="162"/>
        <v>55483.632446125746</v>
      </c>
      <c r="AH627" t="b">
        <f t="shared" si="157"/>
        <v>1</v>
      </c>
    </row>
    <row r="628" spans="4:34" hidden="1" x14ac:dyDescent="0.4">
      <c r="D628" t="s">
        <v>59</v>
      </c>
      <c r="E628" t="s">
        <v>37</v>
      </c>
      <c r="F628" s="9">
        <v>45881.583333333336</v>
      </c>
      <c r="G628" s="12">
        <v>119272</v>
      </c>
      <c r="H628" s="9">
        <v>45884.083333333336</v>
      </c>
      <c r="I628" s="12">
        <v>118284</v>
      </c>
      <c r="J628">
        <v>8.8099999999999998E-2</v>
      </c>
      <c r="K628" s="12">
        <v>10508.99</v>
      </c>
      <c r="L628">
        <v>15.7</v>
      </c>
      <c r="M628">
        <v>-102.74</v>
      </c>
      <c r="N628" s="13">
        <v>-9.7999999999999997E-3</v>
      </c>
      <c r="O628" t="s">
        <v>57</v>
      </c>
      <c r="Q628">
        <f t="shared" si="158"/>
        <v>-87.0428</v>
      </c>
      <c r="R628">
        <f t="shared" si="159"/>
        <v>-102.7428</v>
      </c>
      <c r="S628">
        <f t="shared" si="160"/>
        <v>10420.820400000001</v>
      </c>
      <c r="U628">
        <f t="shared" si="147"/>
        <v>1.3834000000000001E-2</v>
      </c>
      <c r="V628">
        <f t="shared" si="161"/>
        <v>1650.0088480000002</v>
      </c>
      <c r="W628">
        <f t="shared" si="148"/>
        <v>-13.667992</v>
      </c>
      <c r="X628">
        <f t="shared" si="149"/>
        <v>3.2863497040000005</v>
      </c>
      <c r="Y628">
        <f t="shared" si="150"/>
        <v>-16.954341704000001</v>
      </c>
      <c r="Z628">
        <f t="shared" si="151"/>
        <v>36875.369465662909</v>
      </c>
      <c r="AB628">
        <f t="shared" si="152"/>
        <v>4.6601999999999998E-2</v>
      </c>
      <c r="AC628">
        <f t="shared" si="153"/>
        <v>5558.313744</v>
      </c>
      <c r="AD628">
        <f t="shared" si="154"/>
        <v>-46.042775999999996</v>
      </c>
      <c r="AE628">
        <f t="shared" si="155"/>
        <v>11.070584712</v>
      </c>
      <c r="AF628">
        <f t="shared" si="156"/>
        <v>-57.113360711999995</v>
      </c>
      <c r="AG628">
        <f t="shared" si="162"/>
        <v>55526.482824940555</v>
      </c>
      <c r="AH628" t="b">
        <f t="shared" si="157"/>
        <v>1</v>
      </c>
    </row>
    <row r="629" spans="4:34" hidden="1" x14ac:dyDescent="0.4">
      <c r="D629" t="s">
        <v>56</v>
      </c>
      <c r="E629" t="s">
        <v>37</v>
      </c>
      <c r="F629" s="9">
        <v>45882.166666666664</v>
      </c>
      <c r="G629" s="12">
        <v>4623.79</v>
      </c>
      <c r="H629" s="9">
        <v>45883.583333333336</v>
      </c>
      <c r="I629" s="12">
        <v>4517.28</v>
      </c>
      <c r="J629">
        <v>1.2371000000000001</v>
      </c>
      <c r="K629" s="12">
        <v>5720.1</v>
      </c>
      <c r="L629">
        <v>8.48</v>
      </c>
      <c r="M629">
        <v>-140.24</v>
      </c>
      <c r="N629" s="13">
        <v>-2.4500000000000001E-2</v>
      </c>
      <c r="O629" t="s">
        <v>49</v>
      </c>
      <c r="Q629">
        <f t="shared" si="158"/>
        <v>-131.76352100000028</v>
      </c>
      <c r="R629">
        <f t="shared" si="159"/>
        <v>-140.24352100000027</v>
      </c>
      <c r="S629">
        <f t="shared" si="160"/>
        <v>5588.327088</v>
      </c>
      <c r="U629">
        <f t="shared" si="147"/>
        <v>0.35685</v>
      </c>
      <c r="V629">
        <f t="shared" si="161"/>
        <v>1649.9994615000001</v>
      </c>
      <c r="W629">
        <f t="shared" si="148"/>
        <v>-38.008093500000079</v>
      </c>
      <c r="X629">
        <f t="shared" si="149"/>
        <v>3.2619908294999997</v>
      </c>
      <c r="Y629">
        <f t="shared" si="150"/>
        <v>-41.270084329500079</v>
      </c>
      <c r="Z629">
        <f t="shared" si="151"/>
        <v>36892.323807366905</v>
      </c>
      <c r="AB629">
        <f t="shared" si="152"/>
        <v>1.205136</v>
      </c>
      <c r="AC629">
        <f t="shared" si="153"/>
        <v>5572.2957854400001</v>
      </c>
      <c r="AD629">
        <f t="shared" si="154"/>
        <v>-128.35903536000026</v>
      </c>
      <c r="AE629">
        <f t="shared" si="155"/>
        <v>11.016232535519999</v>
      </c>
      <c r="AF629">
        <f t="shared" si="156"/>
        <v>-139.37526789552027</v>
      </c>
      <c r="AG629">
        <f t="shared" si="162"/>
        <v>55583.596185652554</v>
      </c>
      <c r="AH629" t="b">
        <f t="shared" si="157"/>
        <v>1</v>
      </c>
    </row>
    <row r="630" spans="4:34" hidden="1" x14ac:dyDescent="0.4">
      <c r="D630" t="s">
        <v>55</v>
      </c>
      <c r="E630" t="s">
        <v>37</v>
      </c>
      <c r="F630" s="9">
        <v>45881.583333333336</v>
      </c>
      <c r="G630">
        <v>6.1329999999999997E-5</v>
      </c>
      <c r="H630" s="9">
        <v>45883.583333333336</v>
      </c>
      <c r="I630">
        <v>5.8539999999999999E-5</v>
      </c>
      <c r="J630" s="12">
        <v>97494220.650000006</v>
      </c>
      <c r="K630" s="12">
        <v>5979.32</v>
      </c>
      <c r="L630">
        <v>8.76</v>
      </c>
      <c r="M630">
        <v>-280.77</v>
      </c>
      <c r="N630" s="13">
        <v>-4.7E-2</v>
      </c>
      <c r="O630" t="s">
        <v>38</v>
      </c>
      <c r="Q630">
        <f t="shared" si="158"/>
        <v>-272.00887561349987</v>
      </c>
      <c r="R630">
        <f t="shared" si="159"/>
        <v>-280.76887561349986</v>
      </c>
      <c r="S630">
        <f t="shared" si="160"/>
        <v>5707.3116768509999</v>
      </c>
      <c r="U630">
        <f t="shared" si="147"/>
        <v>26903636.067178</v>
      </c>
      <c r="V630">
        <f t="shared" si="161"/>
        <v>1650.0000000000266</v>
      </c>
      <c r="W630">
        <f t="shared" si="148"/>
        <v>-75.061144627426586</v>
      </c>
      <c r="X630">
        <f t="shared" si="149"/>
        <v>3.2249388553726268</v>
      </c>
      <c r="Y630">
        <f t="shared" si="150"/>
        <v>-78.286083482799214</v>
      </c>
      <c r="Z630">
        <f t="shared" si="151"/>
        <v>36933.593891696408</v>
      </c>
      <c r="AB630">
        <f t="shared" si="152"/>
        <v>91290747.859156996</v>
      </c>
      <c r="AC630">
        <f t="shared" si="153"/>
        <v>5598.8615662020984</v>
      </c>
      <c r="AD630">
        <f t="shared" si="154"/>
        <v>-254.70118652704789</v>
      </c>
      <c r="AE630">
        <f t="shared" si="155"/>
        <v>10.943021945877149</v>
      </c>
      <c r="AF630">
        <f t="shared" si="156"/>
        <v>-265.64420847292502</v>
      </c>
      <c r="AG630">
        <f t="shared" si="162"/>
        <v>55722.971453548074</v>
      </c>
      <c r="AH630" t="b">
        <f t="shared" si="157"/>
        <v>1</v>
      </c>
    </row>
    <row r="631" spans="4:34" hidden="1" x14ac:dyDescent="0.4">
      <c r="D631" t="s">
        <v>58</v>
      </c>
      <c r="E631" t="s">
        <v>37</v>
      </c>
      <c r="F631" s="9">
        <v>45880.041666666664</v>
      </c>
      <c r="G631" s="12">
        <v>22.08</v>
      </c>
      <c r="H631" s="9">
        <v>45882.041666666664</v>
      </c>
      <c r="I631" s="12">
        <v>23.6</v>
      </c>
      <c r="J631">
        <v>335.63</v>
      </c>
      <c r="K631" s="12">
        <v>7410.86</v>
      </c>
      <c r="L631">
        <v>11.5</v>
      </c>
      <c r="M631">
        <v>498.66</v>
      </c>
      <c r="N631" s="13">
        <v>6.7299999999999999E-2</v>
      </c>
      <c r="O631" t="s">
        <v>38</v>
      </c>
      <c r="Q631">
        <f t="shared" si="158"/>
        <v>510.15760000000103</v>
      </c>
      <c r="R631">
        <f t="shared" si="159"/>
        <v>498.65760000000103</v>
      </c>
      <c r="S631">
        <f t="shared" si="160"/>
        <v>7920.8680000000004</v>
      </c>
      <c r="U631">
        <f t="shared" si="147"/>
        <v>74.728261000000003</v>
      </c>
      <c r="V631">
        <f t="shared" si="161"/>
        <v>1650.00000288</v>
      </c>
      <c r="W631">
        <f t="shared" si="148"/>
        <v>113.58695672000025</v>
      </c>
      <c r="X631">
        <f t="shared" si="149"/>
        <v>3.4135869624800002</v>
      </c>
      <c r="Y631">
        <f t="shared" si="150"/>
        <v>110.17336975752025</v>
      </c>
      <c r="Z631">
        <f t="shared" si="151"/>
        <v>37011.87997517921</v>
      </c>
      <c r="AB631">
        <f t="shared" si="152"/>
        <v>251.88971699999999</v>
      </c>
      <c r="AC631">
        <f t="shared" si="153"/>
        <v>5561.7249513599991</v>
      </c>
      <c r="AD631">
        <f t="shared" si="154"/>
        <v>382.87236984000077</v>
      </c>
      <c r="AE631">
        <f t="shared" si="155"/>
        <v>11.506322272559999</v>
      </c>
      <c r="AF631">
        <f t="shared" si="156"/>
        <v>371.36604756744077</v>
      </c>
      <c r="AG631">
        <f t="shared" si="162"/>
        <v>55988.615662021002</v>
      </c>
      <c r="AH631" t="b">
        <f t="shared" si="157"/>
        <v>1</v>
      </c>
    </row>
    <row r="632" spans="4:34" hidden="1" x14ac:dyDescent="0.4">
      <c r="D632" t="s">
        <v>50</v>
      </c>
      <c r="E632" t="s">
        <v>37</v>
      </c>
      <c r="F632" s="9">
        <v>45880.041666666664</v>
      </c>
      <c r="G632">
        <v>389</v>
      </c>
      <c r="H632" s="9">
        <v>45882.041666666664</v>
      </c>
      <c r="I632">
        <v>392.2</v>
      </c>
      <c r="J632">
        <v>33.839700000000001</v>
      </c>
      <c r="K632" s="12">
        <v>13163.65</v>
      </c>
      <c r="L632">
        <v>19.829999999999998</v>
      </c>
      <c r="M632">
        <v>88.46</v>
      </c>
      <c r="N632" s="13">
        <v>6.7000000000000002E-3</v>
      </c>
      <c r="O632" t="s">
        <v>38</v>
      </c>
      <c r="Q632">
        <f t="shared" si="158"/>
        <v>108.28703999999962</v>
      </c>
      <c r="R632">
        <f t="shared" si="159"/>
        <v>88.457039999999623</v>
      </c>
      <c r="S632">
        <f t="shared" si="160"/>
        <v>13271.930339999999</v>
      </c>
      <c r="U632">
        <f t="shared" si="147"/>
        <v>4.2416450000000001</v>
      </c>
      <c r="V632">
        <f t="shared" si="161"/>
        <v>1649.9999050000001</v>
      </c>
      <c r="W632">
        <f t="shared" si="148"/>
        <v>13.573263999999952</v>
      </c>
      <c r="X632">
        <f t="shared" si="149"/>
        <v>3.3135730740000007</v>
      </c>
      <c r="Y632">
        <f t="shared" si="150"/>
        <v>10.259690925999951</v>
      </c>
      <c r="Z632">
        <f t="shared" si="151"/>
        <v>36901.706605421692</v>
      </c>
      <c r="AB632">
        <f t="shared" si="152"/>
        <v>14.288608999999999</v>
      </c>
      <c r="AC632">
        <f t="shared" si="153"/>
        <v>5558.2689009999995</v>
      </c>
      <c r="AD632">
        <f t="shared" si="154"/>
        <v>45.723548799999833</v>
      </c>
      <c r="AE632">
        <f t="shared" si="155"/>
        <v>11.162261350800001</v>
      </c>
      <c r="AF632">
        <f t="shared" si="156"/>
        <v>34.561287449199831</v>
      </c>
      <c r="AG632">
        <f t="shared" si="162"/>
        <v>55617.249614453562</v>
      </c>
      <c r="AH632" t="b">
        <f t="shared" si="157"/>
        <v>1</v>
      </c>
    </row>
    <row r="633" spans="4:34" hidden="1" x14ac:dyDescent="0.4">
      <c r="D633" t="s">
        <v>56</v>
      </c>
      <c r="E633" t="s">
        <v>37</v>
      </c>
      <c r="F633" s="9">
        <v>45879.458333333336</v>
      </c>
      <c r="G633" s="12">
        <v>4226.05</v>
      </c>
      <c r="H633" s="9">
        <v>45881.958333333336</v>
      </c>
      <c r="I633" s="12">
        <v>4586.26</v>
      </c>
      <c r="J633">
        <v>1.3423</v>
      </c>
      <c r="K633" s="12">
        <v>5672.64</v>
      </c>
      <c r="L633">
        <v>8.8699999999999992</v>
      </c>
      <c r="M633">
        <v>474.64</v>
      </c>
      <c r="N633" s="13">
        <v>8.3699999999999997E-2</v>
      </c>
      <c r="O633" t="s">
        <v>57</v>
      </c>
      <c r="Q633">
        <f t="shared" si="158"/>
        <v>483.50988300000006</v>
      </c>
      <c r="R633">
        <f t="shared" si="159"/>
        <v>474.63988300000005</v>
      </c>
      <c r="S633">
        <f t="shared" si="160"/>
        <v>6156.1367980000005</v>
      </c>
      <c r="U633">
        <f t="shared" si="147"/>
        <v>0.39043600000000001</v>
      </c>
      <c r="V633">
        <f t="shared" si="161"/>
        <v>1650.0020578000001</v>
      </c>
      <c r="W633">
        <f t="shared" si="148"/>
        <v>140.63895156000001</v>
      </c>
      <c r="X633">
        <f t="shared" si="149"/>
        <v>3.4406430671600008</v>
      </c>
      <c r="Y633">
        <f t="shared" si="150"/>
        <v>137.19830849284</v>
      </c>
      <c r="Z633">
        <f t="shared" si="151"/>
        <v>36891.446914495689</v>
      </c>
      <c r="AB633">
        <f t="shared" si="152"/>
        <v>1.3043940000000001</v>
      </c>
      <c r="AC633">
        <f t="shared" si="153"/>
        <v>5512.4342637000009</v>
      </c>
      <c r="AD633">
        <f t="shared" si="154"/>
        <v>469.85576274000005</v>
      </c>
      <c r="AE633">
        <f t="shared" si="155"/>
        <v>11.494724290140002</v>
      </c>
      <c r="AF633">
        <f t="shared" si="156"/>
        <v>458.36103844986002</v>
      </c>
      <c r="AG633">
        <f t="shared" si="162"/>
        <v>55582.688327004362</v>
      </c>
      <c r="AH633" t="b">
        <f t="shared" si="157"/>
        <v>1</v>
      </c>
    </row>
    <row r="634" spans="4:34" hidden="1" x14ac:dyDescent="0.4">
      <c r="D634" t="s">
        <v>43</v>
      </c>
      <c r="E634" t="s">
        <v>37</v>
      </c>
      <c r="F634" s="9">
        <v>45879.666666666664</v>
      </c>
      <c r="G634">
        <v>3.8513999999999999</v>
      </c>
      <c r="H634" s="9">
        <v>45881.666666666664</v>
      </c>
      <c r="I634">
        <v>3.7894000000000001</v>
      </c>
      <c r="J634">
        <v>501.4</v>
      </c>
      <c r="K634" s="12">
        <v>1931.47</v>
      </c>
      <c r="L634">
        <v>2.87</v>
      </c>
      <c r="M634">
        <v>-33.96</v>
      </c>
      <c r="N634" s="13">
        <v>-1.7600000000000001E-2</v>
      </c>
      <c r="O634" t="s">
        <v>38</v>
      </c>
      <c r="Q634">
        <f t="shared" si="158"/>
        <v>-31.086799999999915</v>
      </c>
      <c r="R634">
        <f t="shared" si="159"/>
        <v>-33.956799999999916</v>
      </c>
      <c r="S634">
        <f t="shared" si="160"/>
        <v>1900.0051599999999</v>
      </c>
      <c r="U634">
        <f t="shared" si="147"/>
        <v>428.41564099999999</v>
      </c>
      <c r="V634">
        <f t="shared" si="161"/>
        <v>1649.9999997473999</v>
      </c>
      <c r="W634">
        <f t="shared" si="148"/>
        <v>-26.561769741999928</v>
      </c>
      <c r="X634">
        <f t="shared" si="149"/>
        <v>3.2734382297528</v>
      </c>
      <c r="Y634">
        <f t="shared" si="150"/>
        <v>-29.835207971752727</v>
      </c>
      <c r="Z634">
        <f t="shared" si="151"/>
        <v>36754.248606002846</v>
      </c>
      <c r="AB634">
        <f t="shared" si="152"/>
        <v>1433.8729639999999</v>
      </c>
      <c r="AC634">
        <f t="shared" si="153"/>
        <v>5522.4183335496</v>
      </c>
      <c r="AD634">
        <f t="shared" si="154"/>
        <v>-88.900123767999759</v>
      </c>
      <c r="AE634">
        <f t="shared" si="155"/>
        <v>10.9559365433312</v>
      </c>
      <c r="AF634">
        <f t="shared" si="156"/>
        <v>-99.856060311330964</v>
      </c>
      <c r="AG634">
        <f t="shared" si="162"/>
        <v>55124.327288554501</v>
      </c>
      <c r="AH634" t="b">
        <f t="shared" si="157"/>
        <v>1</v>
      </c>
    </row>
    <row r="635" spans="4:34" hidden="1" x14ac:dyDescent="0.4">
      <c r="D635" t="s">
        <v>48</v>
      </c>
      <c r="E635" t="s">
        <v>37</v>
      </c>
      <c r="F635" s="9">
        <v>45879.666666666664</v>
      </c>
      <c r="G635">
        <v>0.13850000000000001</v>
      </c>
      <c r="H635" s="9">
        <v>45881.666666666664</v>
      </c>
      <c r="I635">
        <v>0.13789999999999999</v>
      </c>
      <c r="J635" s="12">
        <v>22837</v>
      </c>
      <c r="K635" s="12">
        <v>3162.93</v>
      </c>
      <c r="L635">
        <v>4.7300000000000004</v>
      </c>
      <c r="M635">
        <v>-18.440000000000001</v>
      </c>
      <c r="N635" s="13">
        <v>-5.7999999999999996E-3</v>
      </c>
      <c r="O635" t="s">
        <v>38</v>
      </c>
      <c r="Q635">
        <f t="shared" si="158"/>
        <v>-13.702200000000392</v>
      </c>
      <c r="R635">
        <f t="shared" si="159"/>
        <v>-18.432200000000392</v>
      </c>
      <c r="S635">
        <f t="shared" si="160"/>
        <v>3149.2222999999999</v>
      </c>
      <c r="U635">
        <f t="shared" si="147"/>
        <v>11913.357400999999</v>
      </c>
      <c r="V635">
        <f t="shared" si="161"/>
        <v>1650.0000000385</v>
      </c>
      <c r="W635">
        <f t="shared" si="148"/>
        <v>-7.1480144406002042</v>
      </c>
      <c r="X635">
        <f t="shared" si="149"/>
        <v>3.2928519856363998</v>
      </c>
      <c r="Y635">
        <f t="shared" si="150"/>
        <v>-10.440866426236603</v>
      </c>
      <c r="Z635">
        <f t="shared" si="151"/>
        <v>36784.083813974597</v>
      </c>
      <c r="AB635">
        <f t="shared" si="152"/>
        <v>39898.303409</v>
      </c>
      <c r="AC635">
        <f t="shared" si="153"/>
        <v>5525.9150221465006</v>
      </c>
      <c r="AD635">
        <f t="shared" si="154"/>
        <v>-23.938982045400685</v>
      </c>
      <c r="AE635">
        <f t="shared" si="155"/>
        <v>11.027891062247599</v>
      </c>
      <c r="AF635">
        <f t="shared" si="156"/>
        <v>-34.966873107648283</v>
      </c>
      <c r="AG635">
        <f t="shared" si="162"/>
        <v>55224.18334886583</v>
      </c>
      <c r="AH635" t="b">
        <f t="shared" si="157"/>
        <v>1</v>
      </c>
    </row>
    <row r="636" spans="4:34" hidden="1" x14ac:dyDescent="0.4">
      <c r="D636" t="s">
        <v>54</v>
      </c>
      <c r="E636" t="s">
        <v>37</v>
      </c>
      <c r="F636" s="9">
        <v>45879.666666666664</v>
      </c>
      <c r="G636">
        <v>181.55</v>
      </c>
      <c r="H636" s="9">
        <v>45881.666666666664</v>
      </c>
      <c r="I636">
        <v>179.63</v>
      </c>
      <c r="J636">
        <v>27.055</v>
      </c>
      <c r="K636" s="12">
        <v>4911.87</v>
      </c>
      <c r="L636">
        <v>7.33</v>
      </c>
      <c r="M636">
        <v>-59.27</v>
      </c>
      <c r="N636" s="13">
        <v>-1.21E-2</v>
      </c>
      <c r="O636" t="s">
        <v>38</v>
      </c>
      <c r="Q636">
        <f t="shared" si="158"/>
        <v>-51.945600000000432</v>
      </c>
      <c r="R636">
        <f t="shared" si="159"/>
        <v>-59.275600000000431</v>
      </c>
      <c r="S636">
        <f t="shared" si="160"/>
        <v>4859.8896500000001</v>
      </c>
      <c r="U636">
        <f t="shared" si="147"/>
        <v>9.0884049999999998</v>
      </c>
      <c r="V636">
        <f t="shared" si="161"/>
        <v>1649.9999277500001</v>
      </c>
      <c r="W636">
        <f t="shared" si="148"/>
        <v>-17.449737600000145</v>
      </c>
      <c r="X636">
        <f t="shared" si="149"/>
        <v>3.2825501179000001</v>
      </c>
      <c r="Y636">
        <f t="shared" si="150"/>
        <v>-20.732287717900146</v>
      </c>
      <c r="Z636">
        <f t="shared" si="151"/>
        <v>36794.524680400835</v>
      </c>
      <c r="AB636">
        <f t="shared" si="152"/>
        <v>30.475721</v>
      </c>
      <c r="AC636">
        <f t="shared" si="153"/>
        <v>5532.8671475500005</v>
      </c>
      <c r="AD636">
        <f t="shared" si="154"/>
        <v>-58.513384320000483</v>
      </c>
      <c r="AE636">
        <f t="shared" si="155"/>
        <v>11.007220910779999</v>
      </c>
      <c r="AF636">
        <f t="shared" si="156"/>
        <v>-69.52060523078049</v>
      </c>
      <c r="AG636">
        <f t="shared" si="162"/>
        <v>55259.150221973476</v>
      </c>
      <c r="AH636" t="b">
        <f t="shared" si="157"/>
        <v>1</v>
      </c>
    </row>
    <row r="637" spans="4:34" hidden="1" x14ac:dyDescent="0.4">
      <c r="D637" t="s">
        <v>55</v>
      </c>
      <c r="E637" t="s">
        <v>37</v>
      </c>
      <c r="F637" s="9">
        <v>45879.583333333336</v>
      </c>
      <c r="G637">
        <v>6.2180000000000004E-5</v>
      </c>
      <c r="H637" s="9">
        <v>45881.583333333336</v>
      </c>
      <c r="I637">
        <v>6.1329999999999997E-5</v>
      </c>
      <c r="J637" s="12">
        <v>96307475.209999993</v>
      </c>
      <c r="K637" s="12">
        <v>5988.4</v>
      </c>
      <c r="L637">
        <v>8.92</v>
      </c>
      <c r="M637">
        <v>-90.78</v>
      </c>
      <c r="N637" s="13">
        <v>-1.52E-2</v>
      </c>
      <c r="O637" t="s">
        <v>38</v>
      </c>
      <c r="Q637">
        <f t="shared" si="158"/>
        <v>-81.861353928500677</v>
      </c>
      <c r="R637">
        <f t="shared" si="159"/>
        <v>-90.781353928500678</v>
      </c>
      <c r="S637">
        <f t="shared" si="160"/>
        <v>5906.5374546292996</v>
      </c>
      <c r="U637">
        <f t="shared" si="147"/>
        <v>26535863.621743001</v>
      </c>
      <c r="V637">
        <f t="shared" si="161"/>
        <v>1649.99999999998</v>
      </c>
      <c r="W637">
        <f t="shared" si="148"/>
        <v>-22.55548407848174</v>
      </c>
      <c r="X637">
        <f t="shared" si="149"/>
        <v>3.2774445159214789</v>
      </c>
      <c r="Y637">
        <f t="shared" si="150"/>
        <v>-25.832928594403221</v>
      </c>
      <c r="Z637">
        <f t="shared" si="151"/>
        <v>36815.256968118738</v>
      </c>
      <c r="AB637">
        <f t="shared" si="152"/>
        <v>89120989.066049993</v>
      </c>
      <c r="AC637">
        <f t="shared" si="153"/>
        <v>5541.543100126989</v>
      </c>
      <c r="AD637">
        <f t="shared" si="154"/>
        <v>-75.752840706143132</v>
      </c>
      <c r="AE637">
        <f t="shared" si="155"/>
        <v>11.007333359547838</v>
      </c>
      <c r="AF637">
        <f t="shared" si="156"/>
        <v>-86.760174065690975</v>
      </c>
      <c r="AG637">
        <f t="shared" si="162"/>
        <v>55328.67082720426</v>
      </c>
      <c r="AH637" t="b">
        <f t="shared" si="157"/>
        <v>1</v>
      </c>
    </row>
    <row r="638" spans="4:34" hidden="1" x14ac:dyDescent="0.4">
      <c r="D638" t="s">
        <v>53</v>
      </c>
      <c r="E638" t="s">
        <v>37</v>
      </c>
      <c r="F638" s="9">
        <v>45879.583333333336</v>
      </c>
      <c r="G638">
        <v>803.04</v>
      </c>
      <c r="H638" s="9">
        <v>45881.583333333336</v>
      </c>
      <c r="I638">
        <v>814.24</v>
      </c>
      <c r="J638" s="12">
        <v>11.827</v>
      </c>
      <c r="K638" s="12">
        <v>9498.26</v>
      </c>
      <c r="L638">
        <v>14.35</v>
      </c>
      <c r="M638">
        <v>118.12</v>
      </c>
      <c r="N638" s="13">
        <v>1.24E-2</v>
      </c>
      <c r="O638" t="s">
        <v>38</v>
      </c>
      <c r="Q638">
        <f t="shared" si="158"/>
        <v>132.46240000000054</v>
      </c>
      <c r="R638">
        <f t="shared" si="159"/>
        <v>118.11240000000055</v>
      </c>
      <c r="S638">
        <f t="shared" si="160"/>
        <v>9630.0164800000002</v>
      </c>
      <c r="U638">
        <f t="shared" si="147"/>
        <v>2.0546920000000002</v>
      </c>
      <c r="V638">
        <f t="shared" si="161"/>
        <v>1649.9998636800001</v>
      </c>
      <c r="W638">
        <f t="shared" si="148"/>
        <v>23.012550400000094</v>
      </c>
      <c r="X638">
        <f t="shared" si="149"/>
        <v>3.3230122777600002</v>
      </c>
      <c r="Y638">
        <f t="shared" si="150"/>
        <v>19.689538122240094</v>
      </c>
      <c r="Z638">
        <f t="shared" si="151"/>
        <v>36841.089896713143</v>
      </c>
      <c r="AB638">
        <f t="shared" si="152"/>
        <v>6.8924810000000001</v>
      </c>
      <c r="AC638">
        <f t="shared" si="153"/>
        <v>5534.9379422399998</v>
      </c>
      <c r="AD638">
        <f t="shared" si="154"/>
        <v>77.195787200000311</v>
      </c>
      <c r="AE638">
        <f t="shared" si="155"/>
        <v>11.147071671680001</v>
      </c>
      <c r="AF638">
        <f t="shared" si="156"/>
        <v>66.048715528320315</v>
      </c>
      <c r="AG638">
        <f t="shared" si="162"/>
        <v>55415.43100126995</v>
      </c>
      <c r="AH638" t="b">
        <f t="shared" si="157"/>
        <v>1</v>
      </c>
    </row>
    <row r="639" spans="4:34" hidden="1" x14ac:dyDescent="0.4">
      <c r="D639" t="s">
        <v>52</v>
      </c>
      <c r="E639" t="s">
        <v>37</v>
      </c>
      <c r="F639" s="9">
        <v>45879.083333333336</v>
      </c>
      <c r="G639">
        <v>5.7439999999999998</v>
      </c>
      <c r="H639" s="9">
        <v>45881.083333333336</v>
      </c>
      <c r="I639">
        <v>5.4219999999999997</v>
      </c>
      <c r="J639">
        <v>415.15</v>
      </c>
      <c r="K639" s="12">
        <v>2384.67</v>
      </c>
      <c r="L639">
        <v>3.48</v>
      </c>
      <c r="M639">
        <v>-137.15</v>
      </c>
      <c r="N639" s="13">
        <v>-5.7500000000000002E-2</v>
      </c>
      <c r="O639" t="s">
        <v>38</v>
      </c>
      <c r="Q639">
        <f t="shared" si="158"/>
        <v>-133.67830000000001</v>
      </c>
      <c r="R639">
        <f t="shared" si="159"/>
        <v>-137.1583</v>
      </c>
      <c r="S639">
        <f t="shared" si="160"/>
        <v>2250.9432999999999</v>
      </c>
      <c r="U639">
        <f t="shared" si="147"/>
        <v>287.25626699999998</v>
      </c>
      <c r="V639">
        <f t="shared" si="161"/>
        <v>1649.9999976479999</v>
      </c>
      <c r="W639">
        <f t="shared" si="148"/>
        <v>-92.496517974000014</v>
      </c>
      <c r="X639">
        <f t="shared" si="149"/>
        <v>3.2075034773220001</v>
      </c>
      <c r="Y639">
        <f t="shared" si="150"/>
        <v>-95.704021451322021</v>
      </c>
      <c r="Z639">
        <f t="shared" si="151"/>
        <v>36821.400358590901</v>
      </c>
      <c r="AB639">
        <f t="shared" si="152"/>
        <v>969.22519399999999</v>
      </c>
      <c r="AC639">
        <f t="shared" si="153"/>
        <v>5567.2295143359997</v>
      </c>
      <c r="AD639">
        <f t="shared" si="154"/>
        <v>-312.09051246800004</v>
      </c>
      <c r="AE639">
        <f t="shared" si="155"/>
        <v>10.822368516204001</v>
      </c>
      <c r="AF639">
        <f t="shared" si="156"/>
        <v>-322.91288098420404</v>
      </c>
      <c r="AG639">
        <f t="shared" si="162"/>
        <v>55349.382285741631</v>
      </c>
      <c r="AH639" t="b">
        <f t="shared" si="157"/>
        <v>1</v>
      </c>
    </row>
    <row r="640" spans="4:34" hidden="1" x14ac:dyDescent="0.4">
      <c r="D640" t="s">
        <v>61</v>
      </c>
      <c r="E640" t="s">
        <v>37</v>
      </c>
      <c r="F640" s="9">
        <v>45878.75</v>
      </c>
      <c r="G640">
        <v>0.80940000000000001</v>
      </c>
      <c r="H640" s="9">
        <v>45880.75</v>
      </c>
      <c r="I640">
        <v>0.79410000000000003</v>
      </c>
      <c r="J640" s="12">
        <v>10451</v>
      </c>
      <c r="K640" s="12">
        <v>8459.07</v>
      </c>
      <c r="L640">
        <v>12.57</v>
      </c>
      <c r="M640">
        <v>-172.47</v>
      </c>
      <c r="N640" s="13">
        <v>-2.0400000000000001E-2</v>
      </c>
      <c r="O640" t="s">
        <v>38</v>
      </c>
      <c r="Q640">
        <f t="shared" si="158"/>
        <v>-159.90029999999979</v>
      </c>
      <c r="R640">
        <f t="shared" si="159"/>
        <v>-172.47029999999978</v>
      </c>
      <c r="S640">
        <f t="shared" si="160"/>
        <v>8299.1391000000003</v>
      </c>
      <c r="U640">
        <f t="shared" si="147"/>
        <v>2038.5470720000001</v>
      </c>
      <c r="V640">
        <f t="shared" si="161"/>
        <v>1650.0000000768</v>
      </c>
      <c r="W640">
        <f t="shared" si="148"/>
        <v>-31.189770201599959</v>
      </c>
      <c r="X640">
        <f t="shared" si="149"/>
        <v>3.2688102299519999</v>
      </c>
      <c r="Y640">
        <f t="shared" si="150"/>
        <v>-34.458580431551958</v>
      </c>
      <c r="Z640">
        <f t="shared" si="151"/>
        <v>36917.104380042227</v>
      </c>
      <c r="AB640">
        <f t="shared" si="152"/>
        <v>6892.6123600000001</v>
      </c>
      <c r="AC640">
        <f t="shared" si="153"/>
        <v>5578.8804441840002</v>
      </c>
      <c r="AD640">
        <f t="shared" si="154"/>
        <v>-105.45696910799987</v>
      </c>
      <c r="AE640">
        <f t="shared" si="155"/>
        <v>11.05230391926</v>
      </c>
      <c r="AF640">
        <f t="shared" si="156"/>
        <v>-116.50927302725987</v>
      </c>
      <c r="AG640">
        <f t="shared" si="162"/>
        <v>55672.295166725831</v>
      </c>
      <c r="AH640" t="b">
        <f t="shared" si="157"/>
        <v>1</v>
      </c>
    </row>
    <row r="641" spans="4:34" hidden="1" x14ac:dyDescent="0.4">
      <c r="D641" t="s">
        <v>59</v>
      </c>
      <c r="E641" t="s">
        <v>37</v>
      </c>
      <c r="F641" s="9">
        <v>45877.791666666664</v>
      </c>
      <c r="G641" s="12">
        <v>116733.55</v>
      </c>
      <c r="H641" s="9">
        <v>45880.291666666664</v>
      </c>
      <c r="I641" s="12">
        <v>122050</v>
      </c>
      <c r="J641">
        <v>8.9630000000000001E-2</v>
      </c>
      <c r="K641" s="12">
        <v>10462.94</v>
      </c>
      <c r="L641">
        <v>16.05</v>
      </c>
      <c r="M641">
        <v>460.46</v>
      </c>
      <c r="N641" s="13">
        <v>4.3999999999999997E-2</v>
      </c>
      <c r="O641" t="s">
        <v>57</v>
      </c>
      <c r="Q641">
        <f t="shared" si="158"/>
        <v>476.51341349999973</v>
      </c>
      <c r="R641">
        <f t="shared" si="159"/>
        <v>460.46341349999972</v>
      </c>
      <c r="S641">
        <f t="shared" si="160"/>
        <v>10939.3415</v>
      </c>
      <c r="U641">
        <f t="shared" si="147"/>
        <v>1.4135E-2</v>
      </c>
      <c r="V641">
        <f t="shared" si="161"/>
        <v>1650.02872925</v>
      </c>
      <c r="W641">
        <f t="shared" si="148"/>
        <v>75.148020749999958</v>
      </c>
      <c r="X641">
        <f t="shared" si="149"/>
        <v>3.3752054792499999</v>
      </c>
      <c r="Y641">
        <f t="shared" si="150"/>
        <v>71.772815270749959</v>
      </c>
      <c r="Z641">
        <f t="shared" si="151"/>
        <v>36951.562960473777</v>
      </c>
      <c r="AB641">
        <f t="shared" si="152"/>
        <v>4.7585000000000002E-2</v>
      </c>
      <c r="AC641">
        <f t="shared" si="153"/>
        <v>5554.7659767500008</v>
      </c>
      <c r="AD641">
        <f t="shared" si="154"/>
        <v>252.98327324999988</v>
      </c>
      <c r="AE641">
        <f t="shared" si="155"/>
        <v>11.36251522675</v>
      </c>
      <c r="AF641">
        <f t="shared" si="156"/>
        <v>241.62075802324989</v>
      </c>
      <c r="AG641">
        <f t="shared" si="162"/>
        <v>55788.80443975309</v>
      </c>
      <c r="AH641" t="b">
        <f t="shared" si="157"/>
        <v>1</v>
      </c>
    </row>
    <row r="642" spans="4:34" hidden="1" x14ac:dyDescent="0.4">
      <c r="D642" t="s">
        <v>58</v>
      </c>
      <c r="E642" t="s">
        <v>37</v>
      </c>
      <c r="F642" s="9">
        <v>45877.791666666664</v>
      </c>
      <c r="G642">
        <v>19.489999999999998</v>
      </c>
      <c r="H642" s="9">
        <v>45879.791666666664</v>
      </c>
      <c r="I642">
        <v>22.07</v>
      </c>
      <c r="J642">
        <v>375.33</v>
      </c>
      <c r="K642" s="12">
        <v>7315.2</v>
      </c>
      <c r="L642">
        <v>11.7</v>
      </c>
      <c r="M642">
        <v>956.65</v>
      </c>
      <c r="N642" s="13">
        <v>0.1308</v>
      </c>
      <c r="O642" t="s">
        <v>38</v>
      </c>
      <c r="Q642">
        <f t="shared" si="158"/>
        <v>968.35140000000069</v>
      </c>
      <c r="R642">
        <f t="shared" si="159"/>
        <v>956.65140000000065</v>
      </c>
      <c r="S642">
        <f t="shared" si="160"/>
        <v>8283.5331000000006</v>
      </c>
      <c r="U642">
        <f t="shared" si="147"/>
        <v>84.658799000000002</v>
      </c>
      <c r="V642">
        <f t="shared" si="161"/>
        <v>1649.9999925099999</v>
      </c>
      <c r="W642">
        <f t="shared" si="148"/>
        <v>218.41970142000017</v>
      </c>
      <c r="X642">
        <f t="shared" si="149"/>
        <v>3.5184196864400001</v>
      </c>
      <c r="Y642">
        <f t="shared" si="150"/>
        <v>214.90128173356015</v>
      </c>
      <c r="Z642">
        <f t="shared" si="151"/>
        <v>36879.790145203027</v>
      </c>
      <c r="AB642">
        <f t="shared" si="152"/>
        <v>281.33925499999998</v>
      </c>
      <c r="AC642">
        <f t="shared" si="153"/>
        <v>5483.3020799499991</v>
      </c>
      <c r="AD642">
        <f t="shared" si="154"/>
        <v>725.85527790000049</v>
      </c>
      <c r="AE642">
        <f t="shared" si="155"/>
        <v>11.692459437799998</v>
      </c>
      <c r="AF642">
        <f t="shared" si="156"/>
        <v>714.16281846220045</v>
      </c>
      <c r="AG642">
        <f t="shared" si="162"/>
        <v>55547.183681729839</v>
      </c>
      <c r="AH642" t="b">
        <f t="shared" si="157"/>
        <v>1</v>
      </c>
    </row>
    <row r="643" spans="4:34" hidden="1" x14ac:dyDescent="0.4">
      <c r="D643" t="s">
        <v>50</v>
      </c>
      <c r="E643" t="s">
        <v>37</v>
      </c>
      <c r="F643" s="9">
        <v>45877.791666666664</v>
      </c>
      <c r="G643">
        <v>376.4</v>
      </c>
      <c r="H643" s="9">
        <v>45879.791666666664</v>
      </c>
      <c r="I643">
        <v>391</v>
      </c>
      <c r="J643">
        <v>34.842599999999997</v>
      </c>
      <c r="K643" s="12">
        <v>13114.79</v>
      </c>
      <c r="L643">
        <v>20.05</v>
      </c>
      <c r="M643">
        <v>488.65</v>
      </c>
      <c r="N643" s="13">
        <v>3.73E-2</v>
      </c>
      <c r="O643" t="s">
        <v>38</v>
      </c>
      <c r="Q643">
        <f t="shared" si="158"/>
        <v>508.70196000000078</v>
      </c>
      <c r="R643">
        <f t="shared" si="159"/>
        <v>488.65196000000077</v>
      </c>
      <c r="S643">
        <f t="shared" si="160"/>
        <v>13623.4566</v>
      </c>
      <c r="U643">
        <f t="shared" si="147"/>
        <v>4.3836339999999998</v>
      </c>
      <c r="V643">
        <f t="shared" si="161"/>
        <v>1649.9998375999999</v>
      </c>
      <c r="W643">
        <f t="shared" si="148"/>
        <v>64.001056400000095</v>
      </c>
      <c r="X643">
        <f t="shared" si="149"/>
        <v>3.3640007315999996</v>
      </c>
      <c r="Y643">
        <f t="shared" si="150"/>
        <v>60.637055668400095</v>
      </c>
      <c r="Z643">
        <f t="shared" si="151"/>
        <v>36664.888863469467</v>
      </c>
      <c r="AB643">
        <f t="shared" si="152"/>
        <v>14.514412999999999</v>
      </c>
      <c r="AC643">
        <f t="shared" si="153"/>
        <v>5463.2250531999998</v>
      </c>
      <c r="AD643">
        <f t="shared" si="154"/>
        <v>211.91042980000032</v>
      </c>
      <c r="AE643">
        <f t="shared" si="155"/>
        <v>11.138360536199999</v>
      </c>
      <c r="AF643">
        <f t="shared" si="156"/>
        <v>200.77206926380032</v>
      </c>
      <c r="AG643">
        <f t="shared" si="162"/>
        <v>54833.020863267637</v>
      </c>
      <c r="AH643" t="b">
        <f t="shared" si="157"/>
        <v>1</v>
      </c>
    </row>
    <row r="644" spans="4:34" hidden="1" x14ac:dyDescent="0.4">
      <c r="D644" t="s">
        <v>48</v>
      </c>
      <c r="E644" t="s">
        <v>37</v>
      </c>
      <c r="F644" s="9">
        <v>45877.666666666664</v>
      </c>
      <c r="G644">
        <v>0.1333</v>
      </c>
      <c r="H644" s="9">
        <v>45879.666666666664</v>
      </c>
      <c r="I644">
        <v>0.13850000000000001</v>
      </c>
      <c r="J644" s="12">
        <v>23639.200000000001</v>
      </c>
      <c r="K644" s="12">
        <v>3151.12</v>
      </c>
      <c r="L644">
        <v>4.82</v>
      </c>
      <c r="M644">
        <v>118.1</v>
      </c>
      <c r="N644" s="13">
        <v>3.7499999999999999E-2</v>
      </c>
      <c r="O644" t="s">
        <v>38</v>
      </c>
      <c r="Q644">
        <f t="shared" si="158"/>
        <v>122.92384000000024</v>
      </c>
      <c r="R644">
        <f t="shared" si="159"/>
        <v>118.10384000000025</v>
      </c>
      <c r="S644">
        <f t="shared" si="160"/>
        <v>3274.0292000000004</v>
      </c>
      <c r="U644">
        <f t="shared" si="147"/>
        <v>12378.094524</v>
      </c>
      <c r="V644">
        <f t="shared" si="161"/>
        <v>1650.0000000492</v>
      </c>
      <c r="W644">
        <f t="shared" si="148"/>
        <v>64.366091524800126</v>
      </c>
      <c r="X644">
        <f t="shared" si="149"/>
        <v>3.3643660916232005</v>
      </c>
      <c r="Y644">
        <f t="shared" si="150"/>
        <v>61.001725433176922</v>
      </c>
      <c r="Z644">
        <f t="shared" si="151"/>
        <v>36604.251807801069</v>
      </c>
      <c r="AB644">
        <f t="shared" si="152"/>
        <v>40833.468338999999</v>
      </c>
      <c r="AC644">
        <f t="shared" si="153"/>
        <v>5443.1013295886996</v>
      </c>
      <c r="AD644">
        <f t="shared" si="154"/>
        <v>212.33403536280042</v>
      </c>
      <c r="AE644">
        <f t="shared" si="155"/>
        <v>11.098536694540202</v>
      </c>
      <c r="AF644">
        <f t="shared" si="156"/>
        <v>201.23549866826022</v>
      </c>
      <c r="AG644">
        <f t="shared" si="162"/>
        <v>54632.248794003834</v>
      </c>
      <c r="AH644" t="b">
        <f t="shared" si="157"/>
        <v>1</v>
      </c>
    </row>
    <row r="645" spans="4:34" hidden="1" x14ac:dyDescent="0.4">
      <c r="D645" t="s">
        <v>43</v>
      </c>
      <c r="E645" t="s">
        <v>37</v>
      </c>
      <c r="F645" s="9">
        <v>45877.625</v>
      </c>
      <c r="G645">
        <v>3.8635000000000002</v>
      </c>
      <c r="H645" s="9">
        <v>45879.625</v>
      </c>
      <c r="I645">
        <v>3.8043999999999998</v>
      </c>
      <c r="J645" s="12">
        <v>500.7</v>
      </c>
      <c r="K645" s="12">
        <v>1934.72</v>
      </c>
      <c r="L645">
        <v>2.88</v>
      </c>
      <c r="M645">
        <v>-32.47</v>
      </c>
      <c r="N645" s="13">
        <v>-1.6799999999999999E-2</v>
      </c>
      <c r="O645" t="s">
        <v>38</v>
      </c>
      <c r="Q645">
        <f t="shared" si="158"/>
        <v>-29.591370000000186</v>
      </c>
      <c r="R645">
        <f t="shared" si="159"/>
        <v>-32.471370000000185</v>
      </c>
      <c r="S645">
        <f t="shared" si="160"/>
        <v>1904.8630799999999</v>
      </c>
      <c r="U645">
        <f t="shared" si="147"/>
        <v>427.07389699999999</v>
      </c>
      <c r="V645">
        <f t="shared" si="161"/>
        <v>1650.0000010594999</v>
      </c>
      <c r="W645">
        <f t="shared" si="148"/>
        <v>-25.240067312700159</v>
      </c>
      <c r="X645">
        <f t="shared" si="149"/>
        <v>3.2747599348062999</v>
      </c>
      <c r="Y645">
        <f t="shared" si="150"/>
        <v>-28.51482724750646</v>
      </c>
      <c r="Z645">
        <f t="shared" si="151"/>
        <v>36543.250082367893</v>
      </c>
      <c r="AB645">
        <f t="shared" si="152"/>
        <v>1411.291375</v>
      </c>
      <c r="AC645">
        <f t="shared" si="153"/>
        <v>5452.5242273125004</v>
      </c>
      <c r="AD645">
        <f t="shared" si="154"/>
        <v>-83.407320262500534</v>
      </c>
      <c r="AE645">
        <f t="shared" si="155"/>
        <v>10.821641134362499</v>
      </c>
      <c r="AF645">
        <f t="shared" si="156"/>
        <v>-94.228961396863028</v>
      </c>
      <c r="AG645">
        <f t="shared" si="162"/>
        <v>54431.013295335571</v>
      </c>
      <c r="AH645" t="b">
        <f t="shared" si="157"/>
        <v>1</v>
      </c>
    </row>
    <row r="646" spans="4:34" hidden="1" x14ac:dyDescent="0.4">
      <c r="D646" t="s">
        <v>54</v>
      </c>
      <c r="E646" t="s">
        <v>37</v>
      </c>
      <c r="F646" s="9">
        <v>45877.625</v>
      </c>
      <c r="G646">
        <v>178.73</v>
      </c>
      <c r="H646" s="9">
        <v>45879.625</v>
      </c>
      <c r="I646">
        <v>178.87</v>
      </c>
      <c r="J646">
        <v>27.484000000000002</v>
      </c>
      <c r="K646" s="12">
        <v>4912.22</v>
      </c>
      <c r="L646">
        <v>7.37</v>
      </c>
      <c r="M646">
        <v>-3.52</v>
      </c>
      <c r="N646" s="13">
        <v>-6.9999999999999999E-4</v>
      </c>
      <c r="O646" t="s">
        <v>38</v>
      </c>
      <c r="Q646">
        <f t="shared" si="158"/>
        <v>3.8477600000004064</v>
      </c>
      <c r="R646">
        <f t="shared" si="159"/>
        <v>-3.5222399999995937</v>
      </c>
      <c r="S646">
        <f t="shared" si="160"/>
        <v>4916.0630800000008</v>
      </c>
      <c r="U646">
        <f t="shared" si="147"/>
        <v>9.2318020000000001</v>
      </c>
      <c r="V646">
        <f t="shared" si="161"/>
        <v>1649.9999714599999</v>
      </c>
      <c r="W646">
        <f t="shared" si="148"/>
        <v>1.2924522800001363</v>
      </c>
      <c r="X646">
        <f t="shared" si="149"/>
        <v>3.3012923952000004</v>
      </c>
      <c r="Y646">
        <f t="shared" si="150"/>
        <v>-2.0088401151998641</v>
      </c>
      <c r="Z646">
        <f t="shared" si="151"/>
        <v>36571.764909615398</v>
      </c>
      <c r="AB646">
        <f t="shared" si="152"/>
        <v>30.510760000000001</v>
      </c>
      <c r="AC646">
        <f t="shared" si="153"/>
        <v>5453.1881347999997</v>
      </c>
      <c r="AD646">
        <f t="shared" si="154"/>
        <v>4.271506400000451</v>
      </c>
      <c r="AE646">
        <f t="shared" si="155"/>
        <v>10.910647776000001</v>
      </c>
      <c r="AF646">
        <f t="shared" si="156"/>
        <v>-6.6391413759995501</v>
      </c>
      <c r="AG646">
        <f t="shared" si="162"/>
        <v>54525.242256732432</v>
      </c>
      <c r="AH646" t="b">
        <f t="shared" si="157"/>
        <v>1</v>
      </c>
    </row>
    <row r="647" spans="4:34" hidden="1" x14ac:dyDescent="0.4">
      <c r="D647" t="s">
        <v>56</v>
      </c>
      <c r="E647" t="s">
        <v>37</v>
      </c>
      <c r="F647" s="9">
        <v>45878.208333333336</v>
      </c>
      <c r="G647" s="12">
        <v>4051.78</v>
      </c>
      <c r="H647" s="9">
        <v>45879.375</v>
      </c>
      <c r="I647" s="12">
        <v>3985.46</v>
      </c>
      <c r="J647">
        <v>1.4025000000000001</v>
      </c>
      <c r="K647" s="12">
        <v>5682.78</v>
      </c>
      <c r="L647">
        <v>8.4499999999999993</v>
      </c>
      <c r="M647">
        <v>-101.47</v>
      </c>
      <c r="N647" s="13">
        <v>-1.7899999999999999E-2</v>
      </c>
      <c r="O647" t="s">
        <v>49</v>
      </c>
      <c r="Q647">
        <f t="shared" si="158"/>
        <v>-93.013800000000231</v>
      </c>
      <c r="R647">
        <f t="shared" si="159"/>
        <v>-101.46380000000023</v>
      </c>
      <c r="S647">
        <f t="shared" si="160"/>
        <v>5589.6076499999999</v>
      </c>
      <c r="U647">
        <f t="shared" si="147"/>
        <v>0.40722799999999998</v>
      </c>
      <c r="V647">
        <f t="shared" si="161"/>
        <v>1649.9982658399999</v>
      </c>
      <c r="W647">
        <f t="shared" si="148"/>
        <v>-27.007360960000064</v>
      </c>
      <c r="X647">
        <f t="shared" si="149"/>
        <v>3.2729891707200003</v>
      </c>
      <c r="Y647">
        <f t="shared" si="150"/>
        <v>-30.280350130720063</v>
      </c>
      <c r="Z647">
        <f t="shared" si="151"/>
        <v>36573.773749730601</v>
      </c>
      <c r="AB647">
        <f t="shared" si="152"/>
        <v>1.348349</v>
      </c>
      <c r="AC647">
        <f t="shared" si="153"/>
        <v>5463.2135112200003</v>
      </c>
      <c r="AD647">
        <f t="shared" si="154"/>
        <v>-89.422505680000228</v>
      </c>
      <c r="AE647">
        <f t="shared" si="155"/>
        <v>10.83700451676</v>
      </c>
      <c r="AF647">
        <f t="shared" si="156"/>
        <v>-100.25951019676023</v>
      </c>
      <c r="AG647">
        <f t="shared" si="162"/>
        <v>54531.881398108431</v>
      </c>
      <c r="AH647" t="b">
        <f t="shared" si="157"/>
        <v>1</v>
      </c>
    </row>
    <row r="648" spans="4:34" hidden="1" x14ac:dyDescent="0.4">
      <c r="D648" t="s">
        <v>53</v>
      </c>
      <c r="E648" t="s">
        <v>37</v>
      </c>
      <c r="F648" s="9">
        <v>45877.333333333336</v>
      </c>
      <c r="G648">
        <v>791.12</v>
      </c>
      <c r="H648" s="9">
        <v>45879.333333333336</v>
      </c>
      <c r="I648">
        <v>808.2</v>
      </c>
      <c r="J648" s="12">
        <v>11.981999999999999</v>
      </c>
      <c r="K648" s="12">
        <v>9479.23</v>
      </c>
      <c r="L648">
        <v>14.37</v>
      </c>
      <c r="M648">
        <v>190.28</v>
      </c>
      <c r="N648" s="13">
        <v>2.01E-2</v>
      </c>
      <c r="O648" t="s">
        <v>38</v>
      </c>
      <c r="Q648">
        <f t="shared" si="158"/>
        <v>204.65256000000048</v>
      </c>
      <c r="R648">
        <f t="shared" si="159"/>
        <v>190.28256000000047</v>
      </c>
      <c r="S648">
        <f t="shared" si="160"/>
        <v>9683.8523999999998</v>
      </c>
      <c r="U648">
        <f t="shared" si="147"/>
        <v>2.0856509999999999</v>
      </c>
      <c r="V648">
        <f t="shared" si="161"/>
        <v>1650.0002191199999</v>
      </c>
      <c r="W648">
        <f t="shared" si="148"/>
        <v>35.622919080000081</v>
      </c>
      <c r="X648">
        <f t="shared" si="149"/>
        <v>3.3356233573200007</v>
      </c>
      <c r="Y648">
        <f t="shared" si="150"/>
        <v>32.287295722680078</v>
      </c>
      <c r="Z648">
        <f t="shared" si="151"/>
        <v>36604.054099861321</v>
      </c>
      <c r="AB648">
        <f t="shared" si="152"/>
        <v>6.8921840000000003</v>
      </c>
      <c r="AC648">
        <f t="shared" si="153"/>
        <v>5452.5446060800004</v>
      </c>
      <c r="AD648">
        <f t="shared" si="154"/>
        <v>117.71850272000029</v>
      </c>
      <c r="AE648">
        <f t="shared" si="155"/>
        <v>11.022807714880003</v>
      </c>
      <c r="AF648">
        <f t="shared" si="156"/>
        <v>106.69569500512029</v>
      </c>
      <c r="AG648">
        <f t="shared" si="162"/>
        <v>54632.140908305191</v>
      </c>
      <c r="AH648" t="b">
        <f t="shared" si="157"/>
        <v>1</v>
      </c>
    </row>
    <row r="649" spans="4:34" hidden="1" x14ac:dyDescent="0.4">
      <c r="D649" t="s">
        <v>52</v>
      </c>
      <c r="E649" t="s">
        <v>37</v>
      </c>
      <c r="F649" s="9">
        <v>45876.875</v>
      </c>
      <c r="G649" s="12">
        <v>5.27</v>
      </c>
      <c r="H649" s="9">
        <v>45878.875</v>
      </c>
      <c r="I649" s="12">
        <v>5.6989999999999998</v>
      </c>
      <c r="J649">
        <v>448.91</v>
      </c>
      <c r="K649" s="12">
        <v>2365.7800000000002</v>
      </c>
      <c r="L649">
        <v>3.69</v>
      </c>
      <c r="M649">
        <v>188.89</v>
      </c>
      <c r="N649" s="13">
        <v>7.9799999999999996E-2</v>
      </c>
      <c r="O649" t="s">
        <v>38</v>
      </c>
      <c r="Q649">
        <f t="shared" si="158"/>
        <v>192.58239000000015</v>
      </c>
      <c r="R649">
        <f t="shared" si="159"/>
        <v>188.89239000000015</v>
      </c>
      <c r="S649">
        <f t="shared" si="160"/>
        <v>2558.3380900000002</v>
      </c>
      <c r="U649">
        <f t="shared" si="147"/>
        <v>313.09297900000001</v>
      </c>
      <c r="V649">
        <f t="shared" si="161"/>
        <v>1649.99999933</v>
      </c>
      <c r="W649">
        <f t="shared" si="148"/>
        <v>134.3168879910001</v>
      </c>
      <c r="X649">
        <f t="shared" si="149"/>
        <v>3.4343168866510001</v>
      </c>
      <c r="Y649">
        <f t="shared" si="150"/>
        <v>130.8825711043491</v>
      </c>
      <c r="Z649">
        <f t="shared" si="151"/>
        <v>36571.766804138642</v>
      </c>
      <c r="AB649">
        <f t="shared" si="152"/>
        <v>1026.495979</v>
      </c>
      <c r="AC649">
        <f t="shared" si="153"/>
        <v>5409.6338093300001</v>
      </c>
      <c r="AD649">
        <f t="shared" si="154"/>
        <v>440.36677499100028</v>
      </c>
      <c r="AE649">
        <f t="shared" si="155"/>
        <v>11.259634393651</v>
      </c>
      <c r="AF649">
        <f t="shared" si="156"/>
        <v>429.10714059734926</v>
      </c>
      <c r="AG649">
        <f t="shared" si="162"/>
        <v>54525.445213300074</v>
      </c>
      <c r="AH649" t="b">
        <f t="shared" si="157"/>
        <v>1</v>
      </c>
    </row>
    <row r="650" spans="4:34" hidden="1" x14ac:dyDescent="0.4">
      <c r="D650" t="s">
        <v>55</v>
      </c>
      <c r="E650" t="s">
        <v>37</v>
      </c>
      <c r="F650" s="9">
        <v>45876.875</v>
      </c>
      <c r="G650">
        <v>6.0470000000000002E-5</v>
      </c>
      <c r="H650" s="9">
        <v>45878.875</v>
      </c>
      <c r="I650">
        <v>6.3759999999999999E-5</v>
      </c>
      <c r="J650" s="12">
        <v>98510117.790000007</v>
      </c>
      <c r="K650" s="12">
        <v>5956.91</v>
      </c>
      <c r="L650">
        <v>9.18</v>
      </c>
      <c r="M650">
        <v>314.92</v>
      </c>
      <c r="N650" s="13">
        <v>5.2900000000000003E-2</v>
      </c>
      <c r="O650" t="s">
        <v>38</v>
      </c>
      <c r="Q650">
        <f t="shared" si="158"/>
        <v>324.09828752909976</v>
      </c>
      <c r="R650">
        <f t="shared" si="159"/>
        <v>314.91828752909976</v>
      </c>
      <c r="S650">
        <f t="shared" si="160"/>
        <v>6281.0051102904008</v>
      </c>
      <c r="U650">
        <f t="shared" si="147"/>
        <v>27286257.648421001</v>
      </c>
      <c r="V650">
        <f t="shared" si="161"/>
        <v>1650.000000000018</v>
      </c>
      <c r="W650">
        <f t="shared" si="148"/>
        <v>89.77178766330502</v>
      </c>
      <c r="X650">
        <f t="shared" si="149"/>
        <v>3.3897717876633409</v>
      </c>
      <c r="Y650">
        <f t="shared" si="150"/>
        <v>86.382015875641684</v>
      </c>
      <c r="Z650">
        <f t="shared" si="151"/>
        <v>36440.884233034296</v>
      </c>
      <c r="AB650">
        <f t="shared" si="152"/>
        <v>88993887.701067001</v>
      </c>
      <c r="AC650">
        <f t="shared" si="153"/>
        <v>5381.4603892835221</v>
      </c>
      <c r="AD650">
        <f t="shared" si="154"/>
        <v>292.7898905365102</v>
      </c>
      <c r="AE650">
        <f t="shared" si="155"/>
        <v>11.055710669103552</v>
      </c>
      <c r="AF650">
        <f t="shared" si="156"/>
        <v>281.73417986740662</v>
      </c>
      <c r="AG650">
        <f t="shared" si="162"/>
        <v>54096.338072702725</v>
      </c>
      <c r="AH650" t="b">
        <f t="shared" si="157"/>
        <v>1</v>
      </c>
    </row>
    <row r="651" spans="4:34" hidden="1" x14ac:dyDescent="0.4">
      <c r="D651" t="s">
        <v>61</v>
      </c>
      <c r="E651" t="s">
        <v>37</v>
      </c>
      <c r="F651" s="9">
        <v>45876.708333333336</v>
      </c>
      <c r="G651">
        <v>0.76329999999999998</v>
      </c>
      <c r="H651" s="9">
        <v>45878.708333333336</v>
      </c>
      <c r="I651">
        <v>0.8054</v>
      </c>
      <c r="J651" s="12">
        <v>11023.1</v>
      </c>
      <c r="K651" s="12">
        <v>8413.9599999999991</v>
      </c>
      <c r="L651">
        <v>12.97</v>
      </c>
      <c r="M651">
        <v>451.1</v>
      </c>
      <c r="N651" s="13">
        <v>5.3600000000000002E-2</v>
      </c>
      <c r="O651" t="s">
        <v>38</v>
      </c>
      <c r="Q651">
        <f t="shared" si="158"/>
        <v>464.07251000000031</v>
      </c>
      <c r="R651">
        <f t="shared" si="159"/>
        <v>451.10251000000028</v>
      </c>
      <c r="S651">
        <f t="shared" si="160"/>
        <v>8878.0047400000003</v>
      </c>
      <c r="U651">
        <f t="shared" si="147"/>
        <v>2161.6664479999999</v>
      </c>
      <c r="V651">
        <f t="shared" si="161"/>
        <v>1649.9999997584</v>
      </c>
      <c r="W651">
        <f t="shared" si="148"/>
        <v>91.006157460800054</v>
      </c>
      <c r="X651">
        <f t="shared" si="149"/>
        <v>3.3910061569775998</v>
      </c>
      <c r="Y651">
        <f t="shared" si="150"/>
        <v>87.615151303822458</v>
      </c>
      <c r="Z651">
        <f t="shared" si="151"/>
        <v>36354.502217158653</v>
      </c>
      <c r="AB651">
        <f t="shared" si="152"/>
        <v>7013.0167959999999</v>
      </c>
      <c r="AC651">
        <f t="shared" si="153"/>
        <v>5353.0357203867998</v>
      </c>
      <c r="AD651">
        <f t="shared" si="154"/>
        <v>295.2480071116002</v>
      </c>
      <c r="AE651">
        <f t="shared" si="155"/>
        <v>11.0013194478852</v>
      </c>
      <c r="AF651">
        <f t="shared" si="156"/>
        <v>284.24668766371502</v>
      </c>
      <c r="AG651">
        <f t="shared" si="162"/>
        <v>53814.603892835315</v>
      </c>
      <c r="AH651" t="b">
        <f t="shared" si="157"/>
        <v>1</v>
      </c>
    </row>
    <row r="652" spans="4:34" hidden="1" x14ac:dyDescent="0.4">
      <c r="D652" t="s">
        <v>60</v>
      </c>
      <c r="E652" t="s">
        <v>37</v>
      </c>
      <c r="F652" s="9">
        <v>45876</v>
      </c>
      <c r="G652" s="12">
        <v>2.9994999999999998</v>
      </c>
      <c r="H652" s="9">
        <v>45878.5</v>
      </c>
      <c r="I652" s="12">
        <v>3.3340000000000001</v>
      </c>
      <c r="J652">
        <v>752.6</v>
      </c>
      <c r="K652" s="12">
        <v>2257.5700000000002</v>
      </c>
      <c r="L652">
        <v>3.57</v>
      </c>
      <c r="M652">
        <v>248.17</v>
      </c>
      <c r="N652" s="13">
        <v>0.1099</v>
      </c>
      <c r="O652" t="s">
        <v>57</v>
      </c>
      <c r="Q652">
        <f t="shared" si="158"/>
        <v>251.74470000000019</v>
      </c>
      <c r="R652">
        <f t="shared" si="159"/>
        <v>248.1747000000002</v>
      </c>
      <c r="S652">
        <f t="shared" si="160"/>
        <v>2509.1684</v>
      </c>
      <c r="U652">
        <f t="shared" si="147"/>
        <v>550.09168199999999</v>
      </c>
      <c r="V652">
        <f t="shared" si="161"/>
        <v>1650.0000001589999</v>
      </c>
      <c r="W652">
        <f t="shared" si="148"/>
        <v>184.00566762900013</v>
      </c>
      <c r="X652">
        <f t="shared" si="149"/>
        <v>3.4840056679469997</v>
      </c>
      <c r="Y652">
        <f t="shared" si="150"/>
        <v>180.52166196105313</v>
      </c>
      <c r="Z652">
        <f t="shared" si="151"/>
        <v>36266.887065854833</v>
      </c>
      <c r="AB652">
        <f t="shared" si="152"/>
        <v>1765.328737</v>
      </c>
      <c r="AC652">
        <f t="shared" si="153"/>
        <v>5295.1035466314997</v>
      </c>
      <c r="AD652">
        <f t="shared" si="154"/>
        <v>590.50246252650049</v>
      </c>
      <c r="AE652">
        <f t="shared" si="155"/>
        <v>11.1807095557895</v>
      </c>
      <c r="AF652">
        <f t="shared" si="156"/>
        <v>579.32175297071103</v>
      </c>
      <c r="AG652">
        <f t="shared" si="162"/>
        <v>53530.357205171604</v>
      </c>
      <c r="AH652" t="b">
        <f t="shared" si="157"/>
        <v>1</v>
      </c>
    </row>
    <row r="653" spans="4:34" hidden="1" x14ac:dyDescent="0.4">
      <c r="D653" t="s">
        <v>56</v>
      </c>
      <c r="E653" t="s">
        <v>37</v>
      </c>
      <c r="F653" s="9">
        <v>45875.666666666664</v>
      </c>
      <c r="G653" s="12">
        <v>3637.21</v>
      </c>
      <c r="H653" s="9">
        <v>45878.166666666664</v>
      </c>
      <c r="I653" s="12">
        <v>4032.68</v>
      </c>
      <c r="J653">
        <v>1.5458000000000001</v>
      </c>
      <c r="K653" s="12">
        <v>5622.54</v>
      </c>
      <c r="L653">
        <v>8.89</v>
      </c>
      <c r="M653">
        <v>602.42999999999995</v>
      </c>
      <c r="N653" s="13">
        <v>0.1071</v>
      </c>
      <c r="O653" t="s">
        <v>57</v>
      </c>
      <c r="Q653">
        <f t="shared" si="158"/>
        <v>611.3175259999997</v>
      </c>
      <c r="R653">
        <f t="shared" si="159"/>
        <v>602.42752599999972</v>
      </c>
      <c r="S653">
        <f t="shared" si="160"/>
        <v>6233.7167440000003</v>
      </c>
      <c r="U653">
        <f t="shared" ref="U653:U716" si="163">ROUND(($Q$2)/G653,6)</f>
        <v>0.45364399999999999</v>
      </c>
      <c r="V653">
        <f t="shared" si="161"/>
        <v>1649.99849324</v>
      </c>
      <c r="W653">
        <f t="shared" ref="W653:W716" si="164">U653*(I653-G653)</f>
        <v>179.40259267999991</v>
      </c>
      <c r="X653">
        <f t="shared" ref="X653:X716" si="165">(G653+I653)*$R$2*U653</f>
        <v>3.4793995791599999</v>
      </c>
      <c r="Y653">
        <f t="shared" ref="Y653:Y716" si="166">W653-X653</f>
        <v>175.92319310083991</v>
      </c>
      <c r="Z653">
        <f t="shared" ref="Z653:Z716" si="167">Z654+Y653</f>
        <v>36086.365403893782</v>
      </c>
      <c r="AB653">
        <f t="shared" ref="AB653:AB716" si="168">ROUND(((AH653*AG654 +(1-AH653)*AI653)/$P$2)/G653,6)</f>
        <v>1.440456</v>
      </c>
      <c r="AC653">
        <f t="shared" ref="AC653:AC716" si="169">AB653*G653</f>
        <v>5239.2409677599999</v>
      </c>
      <c r="AD653">
        <f t="shared" ref="AD653:AD716" si="170">AB653*(I653-G653)</f>
        <v>569.65713431999973</v>
      </c>
      <c r="AE653">
        <f t="shared" ref="AE653:AE716" si="171">(G653+I653)*$R$2*AB653</f>
        <v>11.048139069839999</v>
      </c>
      <c r="AF653">
        <f t="shared" ref="AF653:AF716" si="172">AD653-AE653</f>
        <v>558.60899525015975</v>
      </c>
      <c r="AG653">
        <f t="shared" si="162"/>
        <v>52951.035452200893</v>
      </c>
      <c r="AH653" t="b">
        <f t="shared" ref="AH653:AH716" si="173">ISBLANK(AI653)</f>
        <v>1</v>
      </c>
    </row>
    <row r="654" spans="4:34" hidden="1" x14ac:dyDescent="0.4">
      <c r="D654" t="s">
        <v>59</v>
      </c>
      <c r="E654" t="s">
        <v>37</v>
      </c>
      <c r="F654" s="9">
        <v>45875.291666666664</v>
      </c>
      <c r="G654" s="12">
        <v>114153.01</v>
      </c>
      <c r="H654" s="9">
        <v>45877.791666666664</v>
      </c>
      <c r="I654" s="12">
        <v>116733.55</v>
      </c>
      <c r="J654" s="12">
        <v>9.146E-2</v>
      </c>
      <c r="K654" s="12">
        <v>10440.93</v>
      </c>
      <c r="L654">
        <v>15.84</v>
      </c>
      <c r="M654">
        <v>220.18</v>
      </c>
      <c r="N654" s="13">
        <v>2.1100000000000001E-2</v>
      </c>
      <c r="O654" t="s">
        <v>57</v>
      </c>
      <c r="Q654">
        <f t="shared" ref="Q654:Q717" si="174">(I654-G654)*J654</f>
        <v>236.01618840000074</v>
      </c>
      <c r="R654">
        <f t="shared" ref="R654:R717" si="175">Q654-L654</f>
        <v>220.17618840000074</v>
      </c>
      <c r="S654">
        <f t="shared" ref="S654:S717" si="176">I654*J654</f>
        <v>10676.450483000001</v>
      </c>
      <c r="U654">
        <f t="shared" si="163"/>
        <v>1.4454E-2</v>
      </c>
      <c r="V654">
        <f t="shared" ref="V654:V717" si="177">U654*G654</f>
        <v>1649.9676065399999</v>
      </c>
      <c r="W654">
        <f t="shared" si="164"/>
        <v>37.299125160000116</v>
      </c>
      <c r="X654">
        <f t="shared" si="165"/>
        <v>3.33723433824</v>
      </c>
      <c r="Y654">
        <f t="shared" si="166"/>
        <v>33.961890821760115</v>
      </c>
      <c r="Z654">
        <f t="shared" si="167"/>
        <v>35910.442210792942</v>
      </c>
      <c r="AB654">
        <f t="shared" si="168"/>
        <v>4.5802000000000002E-2</v>
      </c>
      <c r="AC654">
        <f t="shared" si="169"/>
        <v>5228.4361640200004</v>
      </c>
      <c r="AD654">
        <f t="shared" si="170"/>
        <v>118.19389308000038</v>
      </c>
      <c r="AE654">
        <f t="shared" si="171"/>
        <v>10.57506622112</v>
      </c>
      <c r="AF654">
        <f t="shared" si="172"/>
        <v>107.61882685888038</v>
      </c>
      <c r="AG654">
        <f t="shared" si="162"/>
        <v>52392.426456950736</v>
      </c>
      <c r="AH654" t="b">
        <f t="shared" si="173"/>
        <v>1</v>
      </c>
    </row>
    <row r="655" spans="4:34" hidden="1" x14ac:dyDescent="0.4">
      <c r="D655" t="s">
        <v>48</v>
      </c>
      <c r="E655" t="s">
        <v>37</v>
      </c>
      <c r="F655" s="9">
        <v>45875.666666666664</v>
      </c>
      <c r="G655">
        <v>0.124</v>
      </c>
      <c r="H655" s="9">
        <v>45877.666666666664</v>
      </c>
      <c r="I655">
        <v>0.1333</v>
      </c>
      <c r="J655" s="12">
        <v>25226.9</v>
      </c>
      <c r="K655" s="12">
        <v>3128.14</v>
      </c>
      <c r="L655">
        <v>4.87</v>
      </c>
      <c r="M655">
        <v>229.74</v>
      </c>
      <c r="N655" s="13">
        <v>7.3400000000000007E-2</v>
      </c>
      <c r="O655" t="s">
        <v>38</v>
      </c>
      <c r="Q655">
        <f t="shared" si="174"/>
        <v>234.6101700000001</v>
      </c>
      <c r="R655">
        <f t="shared" si="175"/>
        <v>229.74017000000009</v>
      </c>
      <c r="S655">
        <f t="shared" si="176"/>
        <v>3362.7457700000004</v>
      </c>
      <c r="U655">
        <f t="shared" si="163"/>
        <v>13306.451612999999</v>
      </c>
      <c r="V655">
        <f t="shared" si="177"/>
        <v>1650.0000000119999</v>
      </c>
      <c r="W655">
        <f t="shared" si="164"/>
        <v>123.75000000090003</v>
      </c>
      <c r="X655">
        <f t="shared" si="165"/>
        <v>3.4237500000248993</v>
      </c>
      <c r="Y655">
        <f t="shared" si="166"/>
        <v>120.32625000087513</v>
      </c>
      <c r="Z655">
        <f t="shared" si="167"/>
        <v>35876.480319971182</v>
      </c>
      <c r="AB655">
        <f t="shared" si="168"/>
        <v>41859.904092999997</v>
      </c>
      <c r="AC655">
        <f t="shared" si="169"/>
        <v>5190.6281075319994</v>
      </c>
      <c r="AD655">
        <f t="shared" si="170"/>
        <v>389.2971080649001</v>
      </c>
      <c r="AE655">
        <f t="shared" si="171"/>
        <v>10.770553323128897</v>
      </c>
      <c r="AF655">
        <f t="shared" si="172"/>
        <v>378.52655474177118</v>
      </c>
      <c r="AG655">
        <f t="shared" si="162"/>
        <v>52284.807630091855</v>
      </c>
      <c r="AH655" t="b">
        <f t="shared" si="173"/>
        <v>1</v>
      </c>
    </row>
    <row r="656" spans="4:34" hidden="1" x14ac:dyDescent="0.4">
      <c r="D656" t="s">
        <v>50</v>
      </c>
      <c r="E656" t="s">
        <v>37</v>
      </c>
      <c r="F656" s="9">
        <v>45875.666666666664</v>
      </c>
      <c r="G656">
        <v>345.4</v>
      </c>
      <c r="H656" s="9">
        <v>45877.666666666664</v>
      </c>
      <c r="I656">
        <v>372.2</v>
      </c>
      <c r="J656">
        <v>37.683300000000003</v>
      </c>
      <c r="K656" s="12">
        <v>13015.83</v>
      </c>
      <c r="L656">
        <v>20.28</v>
      </c>
      <c r="M656">
        <v>989.63</v>
      </c>
      <c r="N656" s="13">
        <v>7.5999999999999998E-2</v>
      </c>
      <c r="O656" t="s">
        <v>38</v>
      </c>
      <c r="Q656">
        <f t="shared" si="174"/>
        <v>1009.9124400000005</v>
      </c>
      <c r="R656">
        <f t="shared" si="175"/>
        <v>989.63244000000054</v>
      </c>
      <c r="S656">
        <f t="shared" si="176"/>
        <v>14025.724260000001</v>
      </c>
      <c r="U656">
        <f t="shared" si="163"/>
        <v>4.7770700000000001</v>
      </c>
      <c r="V656">
        <f t="shared" si="177"/>
        <v>1649.9999780000001</v>
      </c>
      <c r="W656">
        <f t="shared" si="164"/>
        <v>128.02547600000005</v>
      </c>
      <c r="X656">
        <f t="shared" si="165"/>
        <v>3.4280254319999997</v>
      </c>
      <c r="Y656">
        <f t="shared" si="166"/>
        <v>124.59745056800006</v>
      </c>
      <c r="Z656">
        <f t="shared" si="167"/>
        <v>35756.154069970304</v>
      </c>
      <c r="AB656">
        <f t="shared" si="168"/>
        <v>14.915245000000001</v>
      </c>
      <c r="AC656">
        <f t="shared" si="169"/>
        <v>5151.7256230000003</v>
      </c>
      <c r="AD656">
        <f t="shared" si="170"/>
        <v>399.72856600000017</v>
      </c>
      <c r="AE656">
        <f t="shared" si="171"/>
        <v>10.703179811999998</v>
      </c>
      <c r="AF656">
        <f t="shared" si="172"/>
        <v>389.0253861880002</v>
      </c>
      <c r="AG656">
        <f t="shared" si="162"/>
        <v>51906.281075350082</v>
      </c>
      <c r="AH656" t="b">
        <f t="shared" si="173"/>
        <v>1</v>
      </c>
    </row>
    <row r="657" spans="4:34" hidden="1" x14ac:dyDescent="0.4">
      <c r="D657" t="s">
        <v>43</v>
      </c>
      <c r="E657" t="s">
        <v>37</v>
      </c>
      <c r="F657" s="9">
        <v>45875.625</v>
      </c>
      <c r="G657">
        <v>3.4144000000000001</v>
      </c>
      <c r="H657" s="9">
        <v>45877.625</v>
      </c>
      <c r="I657">
        <v>3.8635000000000002</v>
      </c>
      <c r="J657">
        <v>559.29999999999995</v>
      </c>
      <c r="K657" s="12">
        <v>1909.91</v>
      </c>
      <c r="L657">
        <v>3.05</v>
      </c>
      <c r="M657">
        <v>248.13</v>
      </c>
      <c r="N657" s="13">
        <v>0.12989999999999999</v>
      </c>
      <c r="O657" t="s">
        <v>38</v>
      </c>
      <c r="Q657">
        <f t="shared" si="174"/>
        <v>251.18163000000001</v>
      </c>
      <c r="R657">
        <f t="shared" si="175"/>
        <v>248.13163</v>
      </c>
      <c r="S657">
        <f t="shared" si="176"/>
        <v>2160.8555499999998</v>
      </c>
      <c r="U657">
        <f t="shared" si="163"/>
        <v>483.24742300000003</v>
      </c>
      <c r="V657">
        <f t="shared" si="177"/>
        <v>1650.0000010912001</v>
      </c>
      <c r="W657">
        <f t="shared" si="164"/>
        <v>217.02641766930003</v>
      </c>
      <c r="X657">
        <f t="shared" si="165"/>
        <v>3.5170264198517009</v>
      </c>
      <c r="Y657">
        <f t="shared" si="166"/>
        <v>213.50939124944833</v>
      </c>
      <c r="Z657">
        <f t="shared" si="167"/>
        <v>35631.556619402305</v>
      </c>
      <c r="AB657">
        <f t="shared" si="168"/>
        <v>1489.5483919999999</v>
      </c>
      <c r="AC657">
        <f t="shared" si="169"/>
        <v>5085.9140296447995</v>
      </c>
      <c r="AD657">
        <f t="shared" si="170"/>
        <v>668.95618284720001</v>
      </c>
      <c r="AE657">
        <f t="shared" si="171"/>
        <v>10.840784242136801</v>
      </c>
      <c r="AF657">
        <f t="shared" si="172"/>
        <v>658.11539860506321</v>
      </c>
      <c r="AG657">
        <f t="shared" si="162"/>
        <v>51517.255689162084</v>
      </c>
      <c r="AH657" t="b">
        <f t="shared" si="173"/>
        <v>1</v>
      </c>
    </row>
    <row r="658" spans="4:34" hidden="1" x14ac:dyDescent="0.4">
      <c r="D658" t="s">
        <v>54</v>
      </c>
      <c r="E658" t="s">
        <v>37</v>
      </c>
      <c r="F658" s="9">
        <v>45875.625</v>
      </c>
      <c r="G658">
        <v>164.29</v>
      </c>
      <c r="H658" s="9">
        <v>45877.625</v>
      </c>
      <c r="I658">
        <v>178.73</v>
      </c>
      <c r="J658" s="12">
        <v>29.643000000000001</v>
      </c>
      <c r="K658" s="12">
        <v>4870.18</v>
      </c>
      <c r="L658">
        <v>7.63</v>
      </c>
      <c r="M658">
        <v>420.42</v>
      </c>
      <c r="N658" s="13">
        <v>8.6300000000000002E-2</v>
      </c>
      <c r="O658" t="s">
        <v>38</v>
      </c>
      <c r="Q658">
        <f t="shared" si="174"/>
        <v>428.04491999999993</v>
      </c>
      <c r="R658">
        <f t="shared" si="175"/>
        <v>420.41491999999994</v>
      </c>
      <c r="S658">
        <f t="shared" si="176"/>
        <v>5298.09339</v>
      </c>
      <c r="U658">
        <f t="shared" si="163"/>
        <v>10.043215999999999</v>
      </c>
      <c r="V658">
        <f t="shared" si="177"/>
        <v>1649.9999566399997</v>
      </c>
      <c r="W658">
        <f t="shared" si="164"/>
        <v>145.02403903999996</v>
      </c>
      <c r="X658">
        <f t="shared" si="165"/>
        <v>3.4450239523199997</v>
      </c>
      <c r="Y658">
        <f t="shared" si="166"/>
        <v>141.57901508767998</v>
      </c>
      <c r="Z658">
        <f t="shared" si="167"/>
        <v>35418.047228152856</v>
      </c>
      <c r="AB658">
        <f t="shared" si="168"/>
        <v>30.693562</v>
      </c>
      <c r="AC658">
        <f t="shared" si="169"/>
        <v>5042.6453009799998</v>
      </c>
      <c r="AD658">
        <f t="shared" si="170"/>
        <v>443.21503527999994</v>
      </c>
      <c r="AE658">
        <f t="shared" si="171"/>
        <v>10.52850563724</v>
      </c>
      <c r="AF658">
        <f t="shared" si="172"/>
        <v>432.68652964275992</v>
      </c>
      <c r="AG658">
        <f t="shared" si="162"/>
        <v>50859.140290557021</v>
      </c>
      <c r="AH658" t="b">
        <f t="shared" si="173"/>
        <v>1</v>
      </c>
    </row>
    <row r="659" spans="4:34" hidden="1" x14ac:dyDescent="0.4">
      <c r="D659" t="s">
        <v>53</v>
      </c>
      <c r="E659" t="s">
        <v>37</v>
      </c>
      <c r="F659" s="9">
        <v>45875.25</v>
      </c>
      <c r="G659">
        <v>752</v>
      </c>
      <c r="H659" s="9">
        <v>45877.25</v>
      </c>
      <c r="I659">
        <v>787.5</v>
      </c>
      <c r="J659" s="12">
        <v>12.548</v>
      </c>
      <c r="K659" s="12">
        <v>9436.14</v>
      </c>
      <c r="L659">
        <v>14.49</v>
      </c>
      <c r="M659">
        <v>430.97</v>
      </c>
      <c r="N659" s="13">
        <v>4.5699999999999998E-2</v>
      </c>
      <c r="O659" t="s">
        <v>38</v>
      </c>
      <c r="Q659">
        <f t="shared" si="174"/>
        <v>445.45400000000001</v>
      </c>
      <c r="R659">
        <f t="shared" si="175"/>
        <v>430.964</v>
      </c>
      <c r="S659">
        <f t="shared" si="176"/>
        <v>9881.5499999999993</v>
      </c>
      <c r="U659">
        <f t="shared" si="163"/>
        <v>2.1941489999999999</v>
      </c>
      <c r="V659">
        <f t="shared" si="177"/>
        <v>1650.0000479999999</v>
      </c>
      <c r="W659">
        <f t="shared" si="164"/>
        <v>77.89228949999999</v>
      </c>
      <c r="X659">
        <f t="shared" si="165"/>
        <v>3.3778923855</v>
      </c>
      <c r="Y659">
        <f t="shared" si="166"/>
        <v>74.514397114499985</v>
      </c>
      <c r="Z659">
        <f t="shared" si="167"/>
        <v>35276.468213065178</v>
      </c>
      <c r="AB659">
        <f t="shared" si="168"/>
        <v>6.6754990000000003</v>
      </c>
      <c r="AC659">
        <f t="shared" si="169"/>
        <v>5019.9752480000006</v>
      </c>
      <c r="AD659">
        <f t="shared" si="170"/>
        <v>236.98021450000002</v>
      </c>
      <c r="AE659">
        <f t="shared" si="171"/>
        <v>10.2769307105</v>
      </c>
      <c r="AF659">
        <f t="shared" si="172"/>
        <v>226.70328378950001</v>
      </c>
      <c r="AG659">
        <f t="shared" si="162"/>
        <v>50426.453760914264</v>
      </c>
      <c r="AH659" t="b">
        <f t="shared" si="173"/>
        <v>1</v>
      </c>
    </row>
    <row r="660" spans="4:34" hidden="1" x14ac:dyDescent="0.4">
      <c r="D660" t="s">
        <v>52</v>
      </c>
      <c r="E660" t="s">
        <v>37</v>
      </c>
      <c r="F660" s="9">
        <v>45874.458333333336</v>
      </c>
      <c r="G660">
        <v>5.2229999999999999</v>
      </c>
      <c r="H660" s="9">
        <v>45876.458333333336</v>
      </c>
      <c r="I660">
        <v>5.15</v>
      </c>
      <c r="J660" s="12">
        <v>453.65</v>
      </c>
      <c r="K660" s="12">
        <v>2369.4499999999998</v>
      </c>
      <c r="L660">
        <v>3.53</v>
      </c>
      <c r="M660">
        <v>-36.65</v>
      </c>
      <c r="N660" s="13">
        <v>-1.55E-2</v>
      </c>
      <c r="O660" t="s">
        <v>38</v>
      </c>
      <c r="Q660">
        <f t="shared" si="174"/>
        <v>-33.116449999999773</v>
      </c>
      <c r="R660">
        <f t="shared" si="175"/>
        <v>-36.646449999999774</v>
      </c>
      <c r="S660">
        <f t="shared" si="176"/>
        <v>2336.2975000000001</v>
      </c>
      <c r="U660">
        <f t="shared" si="163"/>
        <v>315.91039599999999</v>
      </c>
      <c r="V660">
        <f t="shared" si="177"/>
        <v>1649.9999983079999</v>
      </c>
      <c r="W660">
        <f t="shared" si="164"/>
        <v>-23.061458907999846</v>
      </c>
      <c r="X660">
        <f t="shared" si="165"/>
        <v>3.2769385377080007</v>
      </c>
      <c r="Y660">
        <f t="shared" si="166"/>
        <v>-26.338397445707848</v>
      </c>
      <c r="Z660">
        <f t="shared" si="167"/>
        <v>35201.953815950677</v>
      </c>
      <c r="AB660">
        <f t="shared" si="168"/>
        <v>962.66534100000001</v>
      </c>
      <c r="AC660">
        <f t="shared" si="169"/>
        <v>5028.0010760429996</v>
      </c>
      <c r="AD660">
        <f t="shared" si="170"/>
        <v>-70.274569892999523</v>
      </c>
      <c r="AE660">
        <f t="shared" si="171"/>
        <v>9.985727582193002</v>
      </c>
      <c r="AF660">
        <f t="shared" si="172"/>
        <v>-80.26029747519253</v>
      </c>
      <c r="AG660">
        <f t="shared" si="162"/>
        <v>50199.750477124762</v>
      </c>
      <c r="AH660" t="b">
        <f t="shared" si="173"/>
        <v>1</v>
      </c>
    </row>
    <row r="661" spans="4:34" hidden="1" x14ac:dyDescent="0.4">
      <c r="D661" t="s">
        <v>55</v>
      </c>
      <c r="E661" t="s">
        <v>37</v>
      </c>
      <c r="F661" s="9">
        <v>45874.458333333336</v>
      </c>
      <c r="G661">
        <v>5.9169999999999998E-5</v>
      </c>
      <c r="H661" s="9">
        <v>45876.458333333336</v>
      </c>
      <c r="I661">
        <v>5.9240000000000002E-5</v>
      </c>
      <c r="J661" s="12">
        <v>100677643.61</v>
      </c>
      <c r="K661" s="12">
        <v>5957.1</v>
      </c>
      <c r="L661">
        <v>8.94</v>
      </c>
      <c r="M661">
        <v>-1.89</v>
      </c>
      <c r="N661" s="13">
        <v>-2.9999999999999997E-4</v>
      </c>
      <c r="O661" t="s">
        <v>38</v>
      </c>
      <c r="Q661">
        <f t="shared" si="174"/>
        <v>7.0474350527004441</v>
      </c>
      <c r="R661">
        <f t="shared" si="175"/>
        <v>-1.8925649472995554</v>
      </c>
      <c r="S661">
        <f t="shared" si="176"/>
        <v>5964.1436074563999</v>
      </c>
      <c r="U661">
        <f t="shared" si="163"/>
        <v>27885752.915329002</v>
      </c>
      <c r="V661">
        <f t="shared" si="177"/>
        <v>1650.0000000000171</v>
      </c>
      <c r="W661">
        <f t="shared" si="164"/>
        <v>1.9520027040731531</v>
      </c>
      <c r="X661">
        <f t="shared" si="165"/>
        <v>3.3019520027041072</v>
      </c>
      <c r="Y661">
        <f t="shared" si="166"/>
        <v>-1.349949298630954</v>
      </c>
      <c r="Z661">
        <f t="shared" si="167"/>
        <v>35228.292213396388</v>
      </c>
      <c r="AB661">
        <f t="shared" si="168"/>
        <v>84982465.397582993</v>
      </c>
      <c r="AC661">
        <f t="shared" si="169"/>
        <v>5028.4124775749851</v>
      </c>
      <c r="AD661">
        <f t="shared" si="170"/>
        <v>5.9487725778311846</v>
      </c>
      <c r="AE661">
        <f t="shared" si="171"/>
        <v>10.062773727727802</v>
      </c>
      <c r="AF661">
        <f t="shared" si="172"/>
        <v>-4.1140011498966169</v>
      </c>
      <c r="AG661">
        <f t="shared" si="162"/>
        <v>50280.010774599956</v>
      </c>
      <c r="AH661" t="b">
        <f t="shared" si="173"/>
        <v>1</v>
      </c>
    </row>
    <row r="662" spans="4:34" hidden="1" x14ac:dyDescent="0.4">
      <c r="D662" t="s">
        <v>58</v>
      </c>
      <c r="E662" t="s">
        <v>37</v>
      </c>
      <c r="F662" s="9">
        <v>45874.458333333336</v>
      </c>
      <c r="G662">
        <v>16.809999999999999</v>
      </c>
      <c r="H662" s="9">
        <v>45876.458333333336</v>
      </c>
      <c r="I662">
        <v>16.89</v>
      </c>
      <c r="J662">
        <v>435.02</v>
      </c>
      <c r="K662" s="12">
        <v>7312.82</v>
      </c>
      <c r="L662">
        <v>11</v>
      </c>
      <c r="M662">
        <v>23.81</v>
      </c>
      <c r="N662" s="13">
        <v>3.3E-3</v>
      </c>
      <c r="O662" t="s">
        <v>38</v>
      </c>
      <c r="Q662">
        <f t="shared" si="174"/>
        <v>34.801600000000803</v>
      </c>
      <c r="R662">
        <f t="shared" si="175"/>
        <v>23.801600000000803</v>
      </c>
      <c r="S662">
        <f t="shared" si="176"/>
        <v>7347.4877999999999</v>
      </c>
      <c r="U662">
        <f t="shared" si="163"/>
        <v>98.155860000000004</v>
      </c>
      <c r="V662">
        <f t="shared" si="177"/>
        <v>1650.0000066</v>
      </c>
      <c r="W662">
        <f t="shared" si="164"/>
        <v>7.8524688000001817</v>
      </c>
      <c r="X662">
        <f t="shared" si="165"/>
        <v>3.3078524820000004</v>
      </c>
      <c r="Y662">
        <f t="shared" si="166"/>
        <v>4.5446163180001813</v>
      </c>
      <c r="Z662">
        <f t="shared" si="167"/>
        <v>35229.642162695018</v>
      </c>
      <c r="AB662">
        <f t="shared" si="168"/>
        <v>299.04984400000001</v>
      </c>
      <c r="AC662">
        <f t="shared" si="169"/>
        <v>5027.02787764</v>
      </c>
      <c r="AD662">
        <f t="shared" si="170"/>
        <v>23.923987520000551</v>
      </c>
      <c r="AE662">
        <f t="shared" si="171"/>
        <v>10.0779797428</v>
      </c>
      <c r="AF662">
        <f t="shared" si="172"/>
        <v>13.846007777200551</v>
      </c>
      <c r="AG662">
        <f t="shared" si="162"/>
        <v>50284.12477574985</v>
      </c>
      <c r="AH662" t="b">
        <f t="shared" si="173"/>
        <v>1</v>
      </c>
    </row>
    <row r="663" spans="4:34" hidden="1" x14ac:dyDescent="0.4">
      <c r="D663" t="s">
        <v>61</v>
      </c>
      <c r="E663" t="s">
        <v>37</v>
      </c>
      <c r="F663" s="9">
        <v>45874.458333333336</v>
      </c>
      <c r="G663">
        <v>0.74790000000000001</v>
      </c>
      <c r="H663" s="9">
        <v>45876.458333333336</v>
      </c>
      <c r="I663">
        <v>0.74319999999999997</v>
      </c>
      <c r="J663" s="12">
        <v>11258.8</v>
      </c>
      <c r="K663" s="12">
        <v>8420.51</v>
      </c>
      <c r="L663">
        <v>12.59</v>
      </c>
      <c r="M663">
        <v>-65.510000000000005</v>
      </c>
      <c r="N663" s="13">
        <v>-7.7999999999999996E-3</v>
      </c>
      <c r="O663" t="s">
        <v>38</v>
      </c>
      <c r="Q663">
        <f t="shared" si="174"/>
        <v>-52.916360000000417</v>
      </c>
      <c r="R663">
        <f t="shared" si="175"/>
        <v>-65.506360000000413</v>
      </c>
      <c r="S663">
        <f t="shared" si="176"/>
        <v>8367.5401599999987</v>
      </c>
      <c r="U663">
        <f t="shared" si="163"/>
        <v>2206.1772959999998</v>
      </c>
      <c r="V663">
        <f t="shared" si="177"/>
        <v>1649.9999996783999</v>
      </c>
      <c r="W663">
        <f t="shared" si="164"/>
        <v>-10.369033291200083</v>
      </c>
      <c r="X663">
        <f t="shared" si="165"/>
        <v>3.2896309660655998</v>
      </c>
      <c r="Y663">
        <f t="shared" si="166"/>
        <v>-13.658664257265682</v>
      </c>
      <c r="Z663">
        <f t="shared" si="167"/>
        <v>35225.097546377016</v>
      </c>
      <c r="AB663">
        <f t="shared" si="168"/>
        <v>6727.0927760000004</v>
      </c>
      <c r="AC663">
        <f t="shared" si="169"/>
        <v>5031.1926871703999</v>
      </c>
      <c r="AD663">
        <f t="shared" si="170"/>
        <v>-31.617336047200254</v>
      </c>
      <c r="AE663">
        <f t="shared" si="171"/>
        <v>10.030768038293601</v>
      </c>
      <c r="AF663">
        <f t="shared" si="172"/>
        <v>-41.648104085493856</v>
      </c>
      <c r="AG663">
        <f t="shared" si="162"/>
        <v>50270.278767972646</v>
      </c>
      <c r="AH663" t="b">
        <f t="shared" si="173"/>
        <v>1</v>
      </c>
    </row>
    <row r="664" spans="4:34" hidden="1" x14ac:dyDescent="0.4">
      <c r="D664" t="s">
        <v>60</v>
      </c>
      <c r="E664" t="s">
        <v>37</v>
      </c>
      <c r="F664" s="9">
        <v>45873.375</v>
      </c>
      <c r="G664">
        <v>3.0122</v>
      </c>
      <c r="H664" s="9">
        <v>45875.875</v>
      </c>
      <c r="I664">
        <v>3.0127999999999999</v>
      </c>
      <c r="J664">
        <v>749.5</v>
      </c>
      <c r="K664" s="12">
        <v>2257.87</v>
      </c>
      <c r="L664">
        <v>3.39</v>
      </c>
      <c r="M664">
        <v>-2.94</v>
      </c>
      <c r="N664" s="13">
        <v>-1.2999999999999999E-3</v>
      </c>
      <c r="O664" t="s">
        <v>57</v>
      </c>
      <c r="Q664">
        <f t="shared" si="174"/>
        <v>0.44969999999995047</v>
      </c>
      <c r="R664">
        <f t="shared" si="175"/>
        <v>-2.9403000000000494</v>
      </c>
      <c r="S664">
        <f t="shared" si="176"/>
        <v>2258.0936000000002</v>
      </c>
      <c r="U664">
        <f t="shared" si="163"/>
        <v>547.77239199999997</v>
      </c>
      <c r="V664">
        <f t="shared" si="177"/>
        <v>1649.9999991824</v>
      </c>
      <c r="W664">
        <f t="shared" si="164"/>
        <v>0.32866343519996377</v>
      </c>
      <c r="X664">
        <f t="shared" si="165"/>
        <v>3.3003286618000001</v>
      </c>
      <c r="Y664">
        <f t="shared" si="166"/>
        <v>-2.9716652266000363</v>
      </c>
      <c r="Z664">
        <f t="shared" si="167"/>
        <v>35238.756210634281</v>
      </c>
      <c r="AB664">
        <f t="shared" si="168"/>
        <v>1670.572662</v>
      </c>
      <c r="AC664">
        <f t="shared" si="169"/>
        <v>5032.0989724764004</v>
      </c>
      <c r="AD664">
        <f t="shared" si="170"/>
        <v>1.0023435971998895</v>
      </c>
      <c r="AE664">
        <f t="shared" si="171"/>
        <v>10.065200288550002</v>
      </c>
      <c r="AF664">
        <f t="shared" si="172"/>
        <v>-9.0628566913501132</v>
      </c>
      <c r="AG664">
        <f t="shared" si="162"/>
        <v>50311.926872058139</v>
      </c>
      <c r="AH664" t="b">
        <f t="shared" si="173"/>
        <v>1</v>
      </c>
    </row>
    <row r="665" spans="4:34" hidden="1" x14ac:dyDescent="0.4">
      <c r="D665" t="s">
        <v>43</v>
      </c>
      <c r="E665" t="s">
        <v>37</v>
      </c>
      <c r="F665" s="9">
        <v>45873.583333333336</v>
      </c>
      <c r="G665">
        <v>3.4613</v>
      </c>
      <c r="H665" s="9">
        <v>45875.583333333336</v>
      </c>
      <c r="I665">
        <v>3.3975</v>
      </c>
      <c r="J665">
        <v>552.79999999999995</v>
      </c>
      <c r="K665" s="12">
        <v>1913.72</v>
      </c>
      <c r="L665">
        <v>2.84</v>
      </c>
      <c r="M665" s="12">
        <v>-38.11</v>
      </c>
      <c r="N665" s="13">
        <v>-1.9900000000000001E-2</v>
      </c>
      <c r="O665" t="s">
        <v>38</v>
      </c>
      <c r="Q665">
        <f t="shared" si="174"/>
        <v>-35.26864000000004</v>
      </c>
      <c r="R665">
        <f t="shared" si="175"/>
        <v>-38.108640000000037</v>
      </c>
      <c r="S665">
        <f t="shared" si="176"/>
        <v>1878.1379999999999</v>
      </c>
      <c r="U665">
        <f t="shared" si="163"/>
        <v>476.69950599999999</v>
      </c>
      <c r="V665">
        <f t="shared" si="177"/>
        <v>1650.0000001178</v>
      </c>
      <c r="W665">
        <f t="shared" si="164"/>
        <v>-30.413428482800036</v>
      </c>
      <c r="X665">
        <f t="shared" si="165"/>
        <v>3.2695865717528001</v>
      </c>
      <c r="Y665">
        <f t="shared" si="166"/>
        <v>-33.68301505455284</v>
      </c>
      <c r="Z665">
        <f t="shared" si="167"/>
        <v>35241.727875860881</v>
      </c>
      <c r="AB665">
        <f t="shared" si="168"/>
        <v>1456.79152</v>
      </c>
      <c r="AC665">
        <f t="shared" si="169"/>
        <v>5042.3924881760004</v>
      </c>
      <c r="AD665">
        <f t="shared" si="170"/>
        <v>-92.943298976000108</v>
      </c>
      <c r="AE665">
        <f t="shared" si="171"/>
        <v>9.9918416773760015</v>
      </c>
      <c r="AF665">
        <f t="shared" si="172"/>
        <v>-102.93514065337611</v>
      </c>
      <c r="AG665">
        <f t="shared" si="162"/>
        <v>50320.98972874949</v>
      </c>
      <c r="AH665" t="b">
        <f t="shared" si="173"/>
        <v>1</v>
      </c>
    </row>
    <row r="666" spans="4:34" hidden="1" x14ac:dyDescent="0.4">
      <c r="D666" t="s">
        <v>56</v>
      </c>
      <c r="E666" t="s">
        <v>37</v>
      </c>
      <c r="F666" s="9">
        <v>45873.083333333336</v>
      </c>
      <c r="G666" s="12">
        <v>3546.91</v>
      </c>
      <c r="H666" s="9">
        <v>45875.583333333336</v>
      </c>
      <c r="I666" s="12">
        <v>3584.46</v>
      </c>
      <c r="J666">
        <v>1.5837000000000001</v>
      </c>
      <c r="K666" s="12">
        <v>5617.44</v>
      </c>
      <c r="L666">
        <v>8.4700000000000006</v>
      </c>
      <c r="M666">
        <v>51</v>
      </c>
      <c r="N666" s="13">
        <v>9.1000000000000004E-3</v>
      </c>
      <c r="O666" t="s">
        <v>57</v>
      </c>
      <c r="Q666">
        <f t="shared" si="174"/>
        <v>59.467935000000296</v>
      </c>
      <c r="R666">
        <f t="shared" si="175"/>
        <v>50.997935000000297</v>
      </c>
      <c r="S666">
        <f t="shared" si="176"/>
        <v>5676.7093020000002</v>
      </c>
      <c r="U666">
        <f t="shared" si="163"/>
        <v>0.465194</v>
      </c>
      <c r="V666">
        <f t="shared" si="177"/>
        <v>1650.00125054</v>
      </c>
      <c r="W666">
        <f t="shared" si="164"/>
        <v>17.468034700000086</v>
      </c>
      <c r="X666">
        <f t="shared" si="165"/>
        <v>3.3174705357800001</v>
      </c>
      <c r="Y666">
        <f t="shared" si="166"/>
        <v>14.150564164220086</v>
      </c>
      <c r="Z666">
        <f t="shared" si="167"/>
        <v>35275.410890915431</v>
      </c>
      <c r="AB666">
        <f t="shared" si="168"/>
        <v>1.420412</v>
      </c>
      <c r="AC666">
        <f t="shared" si="169"/>
        <v>5038.0735269199995</v>
      </c>
      <c r="AD666">
        <f t="shared" si="170"/>
        <v>53.336470600000261</v>
      </c>
      <c r="AE666">
        <f t="shared" si="171"/>
        <v>10.129483524440001</v>
      </c>
      <c r="AF666">
        <f t="shared" si="172"/>
        <v>43.206987075560264</v>
      </c>
      <c r="AG666">
        <f t="shared" si="162"/>
        <v>50423.924869402865</v>
      </c>
      <c r="AH666" t="b">
        <f t="shared" si="173"/>
        <v>1</v>
      </c>
    </row>
    <row r="667" spans="4:34" hidden="1" x14ac:dyDescent="0.4">
      <c r="D667" t="s">
        <v>54</v>
      </c>
      <c r="E667" t="s">
        <v>37</v>
      </c>
      <c r="F667" s="9">
        <v>45873.375</v>
      </c>
      <c r="G667">
        <v>163.07</v>
      </c>
      <c r="H667" s="9">
        <v>45875.375</v>
      </c>
      <c r="I667">
        <v>164.24</v>
      </c>
      <c r="J667">
        <v>29.847999999999999</v>
      </c>
      <c r="K667" s="12">
        <v>4867.42</v>
      </c>
      <c r="L667">
        <v>7.33</v>
      </c>
      <c r="M667">
        <v>27.59</v>
      </c>
      <c r="N667" s="13">
        <v>5.7000000000000002E-3</v>
      </c>
      <c r="O667" t="s">
        <v>38</v>
      </c>
      <c r="Q667">
        <f t="shared" si="174"/>
        <v>34.922160000000474</v>
      </c>
      <c r="R667">
        <f t="shared" si="175"/>
        <v>27.592160000000476</v>
      </c>
      <c r="S667">
        <f t="shared" si="176"/>
        <v>4902.2355200000002</v>
      </c>
      <c r="U667">
        <f t="shared" si="163"/>
        <v>10.118354</v>
      </c>
      <c r="V667">
        <f t="shared" si="177"/>
        <v>1649.99998678</v>
      </c>
      <c r="W667">
        <f t="shared" si="164"/>
        <v>11.83847418000016</v>
      </c>
      <c r="X667">
        <f t="shared" si="165"/>
        <v>3.31183844774</v>
      </c>
      <c r="Y667">
        <f t="shared" si="166"/>
        <v>8.5266357322601607</v>
      </c>
      <c r="Z667">
        <f t="shared" si="167"/>
        <v>35261.26032675121</v>
      </c>
      <c r="AB667">
        <f t="shared" si="168"/>
        <v>30.879190999999999</v>
      </c>
      <c r="AC667">
        <f t="shared" si="169"/>
        <v>5035.4696763699994</v>
      </c>
      <c r="AD667">
        <f t="shared" si="170"/>
        <v>36.128653470000486</v>
      </c>
      <c r="AE667">
        <f t="shared" si="171"/>
        <v>10.10706800621</v>
      </c>
      <c r="AF667">
        <f t="shared" si="172"/>
        <v>26.021585463790487</v>
      </c>
      <c r="AG667">
        <f t="shared" si="162"/>
        <v>50380.717882327306</v>
      </c>
      <c r="AH667" t="b">
        <f t="shared" si="173"/>
        <v>1</v>
      </c>
    </row>
    <row r="668" spans="4:34" hidden="1" x14ac:dyDescent="0.4">
      <c r="D668" t="s">
        <v>59</v>
      </c>
      <c r="E668" t="s">
        <v>37</v>
      </c>
      <c r="F668" s="9">
        <v>45872.708333333336</v>
      </c>
      <c r="G668" s="12">
        <v>113963.11</v>
      </c>
      <c r="H668" s="9">
        <v>45875.208333333336</v>
      </c>
      <c r="I668" s="12">
        <v>113518.45</v>
      </c>
      <c r="J668">
        <v>9.1660000000000005E-2</v>
      </c>
      <c r="K668" s="12">
        <v>10446.57</v>
      </c>
      <c r="L668">
        <v>15.64</v>
      </c>
      <c r="M668">
        <v>-56.4</v>
      </c>
      <c r="N668" s="13">
        <v>-5.4000000000000003E-3</v>
      </c>
      <c r="O668" t="s">
        <v>57</v>
      </c>
      <c r="Q668">
        <f t="shared" si="174"/>
        <v>-40.757535600000324</v>
      </c>
      <c r="R668">
        <f t="shared" si="175"/>
        <v>-56.397535600000325</v>
      </c>
      <c r="S668">
        <f t="shared" si="176"/>
        <v>10405.101127</v>
      </c>
      <c r="U668">
        <f t="shared" si="163"/>
        <v>1.4478E-2</v>
      </c>
      <c r="V668">
        <f t="shared" si="177"/>
        <v>1649.9579065799999</v>
      </c>
      <c r="W668">
        <f t="shared" si="164"/>
        <v>-6.4377874800000505</v>
      </c>
      <c r="X668">
        <f t="shared" si="165"/>
        <v>3.2934780256799998</v>
      </c>
      <c r="Y668">
        <f t="shared" si="166"/>
        <v>-9.7312655056800494</v>
      </c>
      <c r="Z668">
        <f t="shared" si="167"/>
        <v>35252.733691018948</v>
      </c>
      <c r="AB668">
        <f t="shared" si="168"/>
        <v>4.4211E-2</v>
      </c>
      <c r="AC668">
        <f t="shared" si="169"/>
        <v>5038.4230562100001</v>
      </c>
      <c r="AD668">
        <f t="shared" si="170"/>
        <v>-19.658863260000153</v>
      </c>
      <c r="AE668">
        <f t="shared" si="171"/>
        <v>10.05718724916</v>
      </c>
      <c r="AF668">
        <f t="shared" si="172"/>
        <v>-29.716050509160155</v>
      </c>
      <c r="AG668">
        <f t="shared" si="162"/>
        <v>50354.696296863513</v>
      </c>
      <c r="AH668" t="b">
        <f t="shared" si="173"/>
        <v>1</v>
      </c>
    </row>
    <row r="669" spans="4:34" hidden="1" x14ac:dyDescent="0.4">
      <c r="D669" t="s">
        <v>53</v>
      </c>
      <c r="E669" t="s">
        <v>37</v>
      </c>
      <c r="F669" s="9">
        <v>45873.083333333336</v>
      </c>
      <c r="G669" s="12">
        <v>758.5</v>
      </c>
      <c r="H669" s="9">
        <v>45875.083333333336</v>
      </c>
      <c r="I669" s="12">
        <v>751.8</v>
      </c>
      <c r="J669">
        <v>12.452999999999999</v>
      </c>
      <c r="K669" s="12">
        <v>9445.89</v>
      </c>
      <c r="L669">
        <v>14.11</v>
      </c>
      <c r="M669">
        <v>-97.54</v>
      </c>
      <c r="N669" s="13">
        <v>-1.03E-2</v>
      </c>
      <c r="O669" t="s">
        <v>38</v>
      </c>
      <c r="Q669">
        <f t="shared" si="174"/>
        <v>-83.43510000000056</v>
      </c>
      <c r="R669">
        <f t="shared" si="175"/>
        <v>-97.545100000000559</v>
      </c>
      <c r="S669">
        <f t="shared" si="176"/>
        <v>9362.1653999999999</v>
      </c>
      <c r="U669">
        <f t="shared" si="163"/>
        <v>2.1753459999999998</v>
      </c>
      <c r="V669">
        <f t="shared" si="177"/>
        <v>1649.9999409999998</v>
      </c>
      <c r="W669">
        <f t="shared" si="164"/>
        <v>-14.574818200000097</v>
      </c>
      <c r="X669">
        <f t="shared" si="165"/>
        <v>3.2854250637999995</v>
      </c>
      <c r="Y669">
        <f t="shared" si="166"/>
        <v>-17.860243263800097</v>
      </c>
      <c r="Z669">
        <f t="shared" si="167"/>
        <v>35262.464956524629</v>
      </c>
      <c r="AB669">
        <f t="shared" si="168"/>
        <v>6.6498359999999996</v>
      </c>
      <c r="AC669">
        <f t="shared" si="169"/>
        <v>5043.9006060000002</v>
      </c>
      <c r="AD669">
        <f t="shared" si="170"/>
        <v>-44.553901200000297</v>
      </c>
      <c r="AE669">
        <f t="shared" si="171"/>
        <v>10.0432473108</v>
      </c>
      <c r="AF669">
        <f t="shared" si="172"/>
        <v>-54.597148510800295</v>
      </c>
      <c r="AG669">
        <f t="shared" si="162"/>
        <v>50384.412347372672</v>
      </c>
      <c r="AH669" t="b">
        <f t="shared" si="173"/>
        <v>1</v>
      </c>
    </row>
    <row r="670" spans="4:34" hidden="1" x14ac:dyDescent="0.4">
      <c r="D670" t="s">
        <v>50</v>
      </c>
      <c r="E670" t="s">
        <v>37</v>
      </c>
      <c r="F670" s="9">
        <v>45872.708333333336</v>
      </c>
      <c r="G670">
        <v>346.7</v>
      </c>
      <c r="H670" s="9">
        <v>45874.708333333336</v>
      </c>
      <c r="I670">
        <v>337.3</v>
      </c>
      <c r="J670" s="12">
        <v>37.6496</v>
      </c>
      <c r="K670" s="12">
        <v>13053.15</v>
      </c>
      <c r="L670">
        <v>19.309999999999999</v>
      </c>
      <c r="M670">
        <v>-373.22</v>
      </c>
      <c r="N670" s="13">
        <v>-2.86E-2</v>
      </c>
      <c r="O670" t="s">
        <v>38</v>
      </c>
      <c r="Q670">
        <f t="shared" si="174"/>
        <v>-353.90623999999912</v>
      </c>
      <c r="R670">
        <f t="shared" si="175"/>
        <v>-373.21623999999912</v>
      </c>
      <c r="S670">
        <f t="shared" si="176"/>
        <v>12699.210080000001</v>
      </c>
      <c r="U670">
        <f t="shared" si="163"/>
        <v>4.7591580000000002</v>
      </c>
      <c r="V670">
        <f t="shared" si="177"/>
        <v>1650.0000786000001</v>
      </c>
      <c r="W670">
        <f t="shared" si="164"/>
        <v>-44.736085199999891</v>
      </c>
      <c r="X670">
        <f t="shared" si="165"/>
        <v>3.2552640720000006</v>
      </c>
      <c r="Y670">
        <f t="shared" si="166"/>
        <v>-47.991349271999894</v>
      </c>
      <c r="Z670">
        <f t="shared" si="167"/>
        <v>35280.325199788429</v>
      </c>
      <c r="AB670">
        <f t="shared" si="168"/>
        <v>14.590754</v>
      </c>
      <c r="AC670">
        <f t="shared" si="169"/>
        <v>5058.6144118000002</v>
      </c>
      <c r="AD670">
        <f t="shared" si="170"/>
        <v>-137.15308759999968</v>
      </c>
      <c r="AE670">
        <f t="shared" si="171"/>
        <v>9.9800757360000016</v>
      </c>
      <c r="AF670">
        <f t="shared" si="172"/>
        <v>-147.13316333599968</v>
      </c>
      <c r="AG670">
        <f t="shared" si="162"/>
        <v>50439.009495883474</v>
      </c>
      <c r="AH670" t="b">
        <f t="shared" si="173"/>
        <v>1</v>
      </c>
    </row>
    <row r="671" spans="4:34" hidden="1" x14ac:dyDescent="0.4">
      <c r="D671" t="s">
        <v>48</v>
      </c>
      <c r="E671" t="s">
        <v>37</v>
      </c>
      <c r="F671" s="9">
        <v>45872.666666666664</v>
      </c>
      <c r="G671">
        <v>0.1231</v>
      </c>
      <c r="H671" s="9">
        <v>45874.666666666664</v>
      </c>
      <c r="I671">
        <v>0.12540000000000001</v>
      </c>
      <c r="J671" s="12">
        <v>25367.8</v>
      </c>
      <c r="K671" s="12">
        <v>3122.78</v>
      </c>
      <c r="L671">
        <v>4.7300000000000004</v>
      </c>
      <c r="M671">
        <v>53.62</v>
      </c>
      <c r="N671" s="13">
        <v>1.72E-2</v>
      </c>
      <c r="O671" t="s">
        <v>38</v>
      </c>
      <c r="Q671">
        <f t="shared" si="174"/>
        <v>58.345940000000262</v>
      </c>
      <c r="R671">
        <f t="shared" si="175"/>
        <v>53.615940000000265</v>
      </c>
      <c r="S671">
        <f t="shared" si="176"/>
        <v>3181.12212</v>
      </c>
      <c r="U671">
        <f t="shared" si="163"/>
        <v>13403.736799</v>
      </c>
      <c r="V671">
        <f t="shared" si="177"/>
        <v>1649.9999999569</v>
      </c>
      <c r="W671">
        <f t="shared" si="164"/>
        <v>30.828594637700139</v>
      </c>
      <c r="X671">
        <f t="shared" si="165"/>
        <v>3.3308285945515004</v>
      </c>
      <c r="Y671">
        <f t="shared" si="166"/>
        <v>27.497766043148637</v>
      </c>
      <c r="Z671">
        <f t="shared" si="167"/>
        <v>35328.31654906043</v>
      </c>
      <c r="AB671">
        <f t="shared" si="168"/>
        <v>41025.166149999997</v>
      </c>
      <c r="AC671">
        <f t="shared" si="169"/>
        <v>5050.1979530649996</v>
      </c>
      <c r="AD671">
        <f t="shared" si="170"/>
        <v>94.357882145000417</v>
      </c>
      <c r="AE671">
        <f t="shared" si="171"/>
        <v>10.194753788274999</v>
      </c>
      <c r="AF671">
        <f t="shared" si="172"/>
        <v>84.163128356725423</v>
      </c>
      <c r="AG671">
        <f t="shared" si="162"/>
        <v>50586.142659219477</v>
      </c>
      <c r="AH671" t="b">
        <f t="shared" si="173"/>
        <v>1</v>
      </c>
    </row>
    <row r="672" spans="4:34" hidden="1" x14ac:dyDescent="0.4">
      <c r="D672" t="s">
        <v>52</v>
      </c>
      <c r="E672" t="s">
        <v>37</v>
      </c>
      <c r="F672" s="9">
        <v>45872.333333333336</v>
      </c>
      <c r="G672">
        <v>5.0039999999999996</v>
      </c>
      <c r="H672" s="9">
        <v>45874.333333333336</v>
      </c>
      <c r="I672">
        <v>5.1989999999999998</v>
      </c>
      <c r="J672">
        <v>471.74</v>
      </c>
      <c r="K672" s="12">
        <v>2360.61</v>
      </c>
      <c r="L672">
        <v>3.61</v>
      </c>
      <c r="M672">
        <v>88.38</v>
      </c>
      <c r="N672" s="13">
        <v>3.7400000000000003E-2</v>
      </c>
      <c r="O672" t="s">
        <v>38</v>
      </c>
      <c r="Q672">
        <f t="shared" si="174"/>
        <v>91.989300000000142</v>
      </c>
      <c r="R672">
        <f t="shared" si="175"/>
        <v>88.379300000000143</v>
      </c>
      <c r="S672">
        <f t="shared" si="176"/>
        <v>2452.5762599999998</v>
      </c>
      <c r="U672">
        <f t="shared" si="163"/>
        <v>329.73621100000003</v>
      </c>
      <c r="V672">
        <f t="shared" si="177"/>
        <v>1649.9999998440001</v>
      </c>
      <c r="W672">
        <f t="shared" si="164"/>
        <v>64.298561145000093</v>
      </c>
      <c r="X672">
        <f t="shared" si="165"/>
        <v>3.3642985608330003</v>
      </c>
      <c r="Y672">
        <f t="shared" si="166"/>
        <v>60.934262584167094</v>
      </c>
      <c r="Z672">
        <f t="shared" si="167"/>
        <v>35300.818783017283</v>
      </c>
      <c r="AB672">
        <f t="shared" si="168"/>
        <v>1005.518838</v>
      </c>
      <c r="AC672">
        <f t="shared" si="169"/>
        <v>5031.6162653519996</v>
      </c>
      <c r="AD672">
        <f t="shared" si="170"/>
        <v>196.07617341000028</v>
      </c>
      <c r="AE672">
        <f t="shared" si="171"/>
        <v>10.259308704114</v>
      </c>
      <c r="AF672">
        <f t="shared" si="172"/>
        <v>185.81686470588627</v>
      </c>
      <c r="AG672">
        <f t="shared" si="162"/>
        <v>50501.979530862751</v>
      </c>
      <c r="AH672" t="b">
        <f t="shared" si="173"/>
        <v>1</v>
      </c>
    </row>
    <row r="673" spans="4:34" hidden="1" x14ac:dyDescent="0.4">
      <c r="D673" t="s">
        <v>55</v>
      </c>
      <c r="E673" t="s">
        <v>37</v>
      </c>
      <c r="F673" s="9">
        <v>45872.333333333336</v>
      </c>
      <c r="G673">
        <v>5.804E-5</v>
      </c>
      <c r="H673" s="9">
        <v>45874.333333333336</v>
      </c>
      <c r="I673">
        <v>5.9009999999999999E-5</v>
      </c>
      <c r="J673" s="12">
        <v>102481996.59999999</v>
      </c>
      <c r="K673" s="12">
        <v>5948.06</v>
      </c>
      <c r="L673">
        <v>9</v>
      </c>
      <c r="M673">
        <v>90.41</v>
      </c>
      <c r="N673" s="13">
        <v>1.52E-2</v>
      </c>
      <c r="O673" t="s">
        <v>38</v>
      </c>
      <c r="Q673">
        <f t="shared" si="174"/>
        <v>99.407536701999916</v>
      </c>
      <c r="R673">
        <f t="shared" si="175"/>
        <v>90.407536701999916</v>
      </c>
      <c r="S673">
        <f t="shared" si="176"/>
        <v>6047.4626193659997</v>
      </c>
      <c r="U673">
        <f t="shared" si="163"/>
        <v>28428669.882839002</v>
      </c>
      <c r="V673">
        <f t="shared" si="177"/>
        <v>1649.9999999999757</v>
      </c>
      <c r="W673">
        <f t="shared" si="164"/>
        <v>27.575809786353808</v>
      </c>
      <c r="X673">
        <f t="shared" si="165"/>
        <v>3.3275758097863055</v>
      </c>
      <c r="Y673">
        <f t="shared" si="166"/>
        <v>24.248233976567501</v>
      </c>
      <c r="Z673">
        <f t="shared" si="167"/>
        <v>35239.884520433116</v>
      </c>
      <c r="AB673">
        <f t="shared" si="168"/>
        <v>86565001.805421993</v>
      </c>
      <c r="AC673">
        <f t="shared" si="169"/>
        <v>5024.2327047866929</v>
      </c>
      <c r="AD673">
        <f t="shared" si="170"/>
        <v>83.968051751259267</v>
      </c>
      <c r="AE673">
        <f t="shared" si="171"/>
        <v>10.132433461324645</v>
      </c>
      <c r="AF673">
        <f t="shared" si="172"/>
        <v>73.835618289934615</v>
      </c>
      <c r="AG673">
        <f t="shared" si="162"/>
        <v>50316.162666156866</v>
      </c>
      <c r="AH673" t="b">
        <f t="shared" si="173"/>
        <v>1</v>
      </c>
    </row>
    <row r="674" spans="4:34" hidden="1" x14ac:dyDescent="0.4">
      <c r="D674" t="s">
        <v>61</v>
      </c>
      <c r="E674" t="s">
        <v>37</v>
      </c>
      <c r="F674" s="9">
        <v>45872.083333333336</v>
      </c>
      <c r="G674">
        <v>0.70330000000000004</v>
      </c>
      <c r="H674" s="9">
        <v>45874.083333333336</v>
      </c>
      <c r="I674">
        <v>0.7581</v>
      </c>
      <c r="J674" s="12">
        <v>11882.1</v>
      </c>
      <c r="K674" s="12">
        <v>8356.7000000000007</v>
      </c>
      <c r="L674">
        <v>13.02</v>
      </c>
      <c r="M674">
        <v>638.12</v>
      </c>
      <c r="N674" s="13">
        <v>7.6399999999999996E-2</v>
      </c>
      <c r="O674" t="s">
        <v>38</v>
      </c>
      <c r="Q674">
        <f t="shared" si="174"/>
        <v>651.13907999999958</v>
      </c>
      <c r="R674">
        <f t="shared" si="175"/>
        <v>638.1190799999996</v>
      </c>
      <c r="S674">
        <f t="shared" si="176"/>
        <v>9007.8200099999995</v>
      </c>
      <c r="U674">
        <f t="shared" si="163"/>
        <v>2346.0827530000001</v>
      </c>
      <c r="V674">
        <f t="shared" si="177"/>
        <v>1650.0000001849003</v>
      </c>
      <c r="W674">
        <f t="shared" si="164"/>
        <v>128.56533486439992</v>
      </c>
      <c r="X674">
        <f t="shared" si="165"/>
        <v>3.4285653352342003</v>
      </c>
      <c r="Y674">
        <f t="shared" si="166"/>
        <v>125.13676952916572</v>
      </c>
      <c r="Z674">
        <f t="shared" si="167"/>
        <v>35215.636286456545</v>
      </c>
      <c r="AB674">
        <f t="shared" si="168"/>
        <v>7090.0263000000004</v>
      </c>
      <c r="AC674">
        <f t="shared" si="169"/>
        <v>4986.4154967900004</v>
      </c>
      <c r="AD674">
        <f t="shared" si="170"/>
        <v>388.53344123999972</v>
      </c>
      <c r="AE674">
        <f t="shared" si="171"/>
        <v>10.36136443482</v>
      </c>
      <c r="AF674">
        <f t="shared" si="172"/>
        <v>378.1720768051797</v>
      </c>
      <c r="AG674">
        <f t="shared" si="162"/>
        <v>50242.327047866929</v>
      </c>
      <c r="AH674" t="b">
        <f t="shared" si="173"/>
        <v>1</v>
      </c>
    </row>
    <row r="675" spans="4:34" hidden="1" x14ac:dyDescent="0.4">
      <c r="D675" t="s">
        <v>59</v>
      </c>
      <c r="E675" t="s">
        <v>37</v>
      </c>
      <c r="F675" s="9">
        <v>45869.333333333336</v>
      </c>
      <c r="G675" s="12">
        <v>118700.01</v>
      </c>
      <c r="H675" s="9">
        <v>45871.833333333336</v>
      </c>
      <c r="I675" s="12">
        <v>112313.99</v>
      </c>
      <c r="J675">
        <v>8.8489999999999999E-2</v>
      </c>
      <c r="K675" s="12">
        <v>10504.61</v>
      </c>
      <c r="L675">
        <v>15.33</v>
      </c>
      <c r="M675">
        <v>-580.42999999999995</v>
      </c>
      <c r="N675" s="13">
        <v>-5.5300000000000002E-2</v>
      </c>
      <c r="O675" t="s">
        <v>57</v>
      </c>
      <c r="Q675">
        <f t="shared" si="174"/>
        <v>-565.09890979999909</v>
      </c>
      <c r="R675">
        <f t="shared" si="175"/>
        <v>-580.42890979999913</v>
      </c>
      <c r="S675">
        <f t="shared" si="176"/>
        <v>9938.6649751000004</v>
      </c>
      <c r="U675">
        <f t="shared" si="163"/>
        <v>1.3901E-2</v>
      </c>
      <c r="V675">
        <f t="shared" si="177"/>
        <v>1650.0488390099999</v>
      </c>
      <c r="W675">
        <f t="shared" si="164"/>
        <v>-88.77206401999986</v>
      </c>
      <c r="X675">
        <f t="shared" si="165"/>
        <v>3.2113256140000002</v>
      </c>
      <c r="Y675">
        <f t="shared" si="166"/>
        <v>-91.983389633999863</v>
      </c>
      <c r="Z675">
        <f t="shared" si="167"/>
        <v>35090.499516927383</v>
      </c>
      <c r="AB675">
        <f t="shared" si="168"/>
        <v>4.2243999999999997E-2</v>
      </c>
      <c r="AC675">
        <f t="shared" si="169"/>
        <v>5014.3632224399998</v>
      </c>
      <c r="AD675">
        <f t="shared" si="170"/>
        <v>-269.77102887999956</v>
      </c>
      <c r="AE675">
        <f t="shared" si="171"/>
        <v>9.7589554159999992</v>
      </c>
      <c r="AF675">
        <f t="shared" si="172"/>
        <v>-279.52998429599955</v>
      </c>
      <c r="AG675">
        <f t="shared" si="162"/>
        <v>49864.154971061747</v>
      </c>
      <c r="AH675" t="b">
        <f t="shared" si="173"/>
        <v>1</v>
      </c>
    </row>
    <row r="676" spans="4:34" hidden="1" x14ac:dyDescent="0.4">
      <c r="D676" t="s">
        <v>52</v>
      </c>
      <c r="E676" t="s">
        <v>37</v>
      </c>
      <c r="F676" s="9">
        <v>45869.333333333336</v>
      </c>
      <c r="G676">
        <v>5.5490000000000004</v>
      </c>
      <c r="H676" s="9">
        <v>45871.333333333336</v>
      </c>
      <c r="I676">
        <v>4.9630000000000001</v>
      </c>
      <c r="J676">
        <v>430.01</v>
      </c>
      <c r="K676" s="12">
        <v>2386.15</v>
      </c>
      <c r="L676">
        <v>3.39</v>
      </c>
      <c r="M676" s="12">
        <v>-255.38</v>
      </c>
      <c r="N676" s="13">
        <v>-0.107</v>
      </c>
      <c r="O676" t="s">
        <v>38</v>
      </c>
      <c r="Q676">
        <f t="shared" si="174"/>
        <v>-251.98586000000012</v>
      </c>
      <c r="R676">
        <f t="shared" si="175"/>
        <v>-255.3758600000001</v>
      </c>
      <c r="S676">
        <f t="shared" si="176"/>
        <v>2134.1396300000001</v>
      </c>
      <c r="U676">
        <f t="shared" si="163"/>
        <v>297.35087399999998</v>
      </c>
      <c r="V676">
        <f t="shared" si="177"/>
        <v>1649.999999826</v>
      </c>
      <c r="W676">
        <f t="shared" si="164"/>
        <v>-174.24761216400009</v>
      </c>
      <c r="X676">
        <f t="shared" si="165"/>
        <v>3.1257523874879998</v>
      </c>
      <c r="Y676">
        <f t="shared" si="166"/>
        <v>-177.37336455148809</v>
      </c>
      <c r="Z676">
        <f t="shared" si="167"/>
        <v>35182.482906561381</v>
      </c>
      <c r="AB676">
        <f t="shared" si="168"/>
        <v>913.47237700000005</v>
      </c>
      <c r="AC676">
        <f t="shared" si="169"/>
        <v>5068.8582199730008</v>
      </c>
      <c r="AD676">
        <f t="shared" si="170"/>
        <v>-535.29481292200035</v>
      </c>
      <c r="AE676">
        <f t="shared" si="171"/>
        <v>9.6024216270240004</v>
      </c>
      <c r="AF676">
        <f t="shared" si="172"/>
        <v>-544.89723454902435</v>
      </c>
      <c r="AG676">
        <f t="shared" si="162"/>
        <v>50143.684955357749</v>
      </c>
      <c r="AH676" t="b">
        <f t="shared" si="173"/>
        <v>1</v>
      </c>
    </row>
    <row r="677" spans="4:34" hidden="1" x14ac:dyDescent="0.4">
      <c r="D677" t="s">
        <v>56</v>
      </c>
      <c r="E677" t="s">
        <v>37</v>
      </c>
      <c r="F677" s="9">
        <v>45869.041666666664</v>
      </c>
      <c r="G677" s="12">
        <v>3810.78</v>
      </c>
      <c r="H677" s="9">
        <v>45869.916666666664</v>
      </c>
      <c r="I677" s="12">
        <v>3727.39</v>
      </c>
      <c r="J677" s="12">
        <v>1.4775</v>
      </c>
      <c r="K677" s="12">
        <v>5630.6</v>
      </c>
      <c r="L677">
        <v>8.35</v>
      </c>
      <c r="M677">
        <v>-131.57</v>
      </c>
      <c r="N677" s="13">
        <v>-2.3400000000000001E-2</v>
      </c>
      <c r="O677" t="s">
        <v>49</v>
      </c>
      <c r="Q677">
        <f t="shared" si="174"/>
        <v>-123.20872500000048</v>
      </c>
      <c r="R677">
        <f t="shared" si="175"/>
        <v>-131.55872500000049</v>
      </c>
      <c r="S677">
        <f t="shared" si="176"/>
        <v>5507.2187249999997</v>
      </c>
      <c r="U677">
        <f t="shared" si="163"/>
        <v>0.43298199999999998</v>
      </c>
      <c r="V677">
        <f t="shared" si="177"/>
        <v>1649.9991459600001</v>
      </c>
      <c r="W677">
        <f t="shared" si="164"/>
        <v>-36.106368980000141</v>
      </c>
      <c r="X677">
        <f t="shared" si="165"/>
        <v>3.2638919229399996</v>
      </c>
      <c r="Y677">
        <f t="shared" si="166"/>
        <v>-39.370260902940139</v>
      </c>
      <c r="Z677">
        <f t="shared" si="167"/>
        <v>35359.856271112869</v>
      </c>
      <c r="AB677">
        <f t="shared" si="168"/>
        <v>1.333318</v>
      </c>
      <c r="AC677">
        <f t="shared" si="169"/>
        <v>5080.9815680400006</v>
      </c>
      <c r="AD677">
        <f t="shared" si="170"/>
        <v>-111.18538802000043</v>
      </c>
      <c r="AE677">
        <f t="shared" si="171"/>
        <v>10.05077774806</v>
      </c>
      <c r="AF677">
        <f t="shared" si="172"/>
        <v>-121.23616576806043</v>
      </c>
      <c r="AG677">
        <f t="shared" si="162"/>
        <v>50688.582189906774</v>
      </c>
      <c r="AH677" t="b">
        <f t="shared" si="173"/>
        <v>1</v>
      </c>
    </row>
    <row r="678" spans="4:34" hidden="1" x14ac:dyDescent="0.4">
      <c r="D678" t="s">
        <v>56</v>
      </c>
      <c r="E678" t="s">
        <v>37</v>
      </c>
      <c r="F678" s="9">
        <v>45868.666666666664</v>
      </c>
      <c r="G678" s="12">
        <v>3819.68</v>
      </c>
      <c r="H678" s="9">
        <v>45868.833333333336</v>
      </c>
      <c r="I678" s="12">
        <v>3743.36</v>
      </c>
      <c r="J678">
        <v>1.4772000000000001</v>
      </c>
      <c r="K678" s="12">
        <v>5642.71</v>
      </c>
      <c r="L678">
        <v>8.3800000000000008</v>
      </c>
      <c r="M678">
        <v>-121.12</v>
      </c>
      <c r="N678" s="13">
        <v>-2.1499999999999998E-2</v>
      </c>
      <c r="O678" t="s">
        <v>49</v>
      </c>
      <c r="Q678">
        <f t="shared" si="174"/>
        <v>-112.73990399999957</v>
      </c>
      <c r="R678">
        <f t="shared" si="175"/>
        <v>-121.11990399999956</v>
      </c>
      <c r="S678">
        <f t="shared" si="176"/>
        <v>5529.6913920000006</v>
      </c>
      <c r="U678">
        <f t="shared" si="163"/>
        <v>0.431973</v>
      </c>
      <c r="V678">
        <f t="shared" si="177"/>
        <v>1649.9986286399999</v>
      </c>
      <c r="W678">
        <f t="shared" si="164"/>
        <v>-32.968179359999873</v>
      </c>
      <c r="X678">
        <f t="shared" si="165"/>
        <v>3.2670290779199997</v>
      </c>
      <c r="Y678">
        <f t="shared" si="166"/>
        <v>-36.235208437919873</v>
      </c>
      <c r="Z678">
        <f t="shared" si="167"/>
        <v>35399.226532015811</v>
      </c>
      <c r="AB678">
        <f t="shared" si="168"/>
        <v>1.3331390000000001</v>
      </c>
      <c r="AC678">
        <f t="shared" si="169"/>
        <v>5092.1643755200002</v>
      </c>
      <c r="AD678">
        <f t="shared" si="170"/>
        <v>-101.74516847999962</v>
      </c>
      <c r="AE678">
        <f t="shared" si="171"/>
        <v>10.08258358256</v>
      </c>
      <c r="AF678">
        <f t="shared" si="172"/>
        <v>-111.82775206255963</v>
      </c>
      <c r="AG678">
        <f t="shared" si="162"/>
        <v>50809.818355674834</v>
      </c>
      <c r="AH678" t="b">
        <f t="shared" si="173"/>
        <v>1</v>
      </c>
    </row>
    <row r="679" spans="4:34" hidden="1" x14ac:dyDescent="0.4">
      <c r="D679" t="s">
        <v>48</v>
      </c>
      <c r="E679" t="s">
        <v>37</v>
      </c>
      <c r="F679" s="9">
        <v>45866.458333333336</v>
      </c>
      <c r="G679">
        <v>0.1525</v>
      </c>
      <c r="H679" s="9">
        <v>45868.458333333336</v>
      </c>
      <c r="I679">
        <v>0.1328</v>
      </c>
      <c r="J679" s="12">
        <v>20748.099999999999</v>
      </c>
      <c r="K679" s="12">
        <v>3164.1</v>
      </c>
      <c r="L679">
        <v>4.4400000000000004</v>
      </c>
      <c r="M679">
        <v>-413.18</v>
      </c>
      <c r="N679" s="13">
        <v>-0.13059999999999999</v>
      </c>
      <c r="O679" t="s">
        <v>38</v>
      </c>
      <c r="Q679">
        <f t="shared" si="174"/>
        <v>-408.73756999999989</v>
      </c>
      <c r="R679">
        <f t="shared" si="175"/>
        <v>-413.17756999999989</v>
      </c>
      <c r="S679">
        <f t="shared" si="176"/>
        <v>2755.3476799999999</v>
      </c>
      <c r="U679">
        <f t="shared" si="163"/>
        <v>10819.672130999999</v>
      </c>
      <c r="V679">
        <f t="shared" si="177"/>
        <v>1649.9999999774998</v>
      </c>
      <c r="W679">
        <f t="shared" si="164"/>
        <v>-213.14754098069994</v>
      </c>
      <c r="X679">
        <f t="shared" si="165"/>
        <v>3.0868524589742998</v>
      </c>
      <c r="Y679">
        <f t="shared" si="166"/>
        <v>-216.23439343967425</v>
      </c>
      <c r="Z679">
        <f t="shared" si="167"/>
        <v>35435.461740453728</v>
      </c>
      <c r="AB679">
        <f t="shared" si="168"/>
        <v>33834.650324000002</v>
      </c>
      <c r="AC679">
        <f t="shared" si="169"/>
        <v>5159.7841744100006</v>
      </c>
      <c r="AD679">
        <f t="shared" si="170"/>
        <v>-666.54261138279992</v>
      </c>
      <c r="AE679">
        <f t="shared" si="171"/>
        <v>9.6530257374372006</v>
      </c>
      <c r="AF679">
        <f t="shared" si="172"/>
        <v>-676.19563712023717</v>
      </c>
      <c r="AG679">
        <f t="shared" si="162"/>
        <v>50921.64610773739</v>
      </c>
      <c r="AH679" t="b">
        <f t="shared" si="173"/>
        <v>1</v>
      </c>
    </row>
    <row r="680" spans="4:34" hidden="1" x14ac:dyDescent="0.4">
      <c r="D680" t="s">
        <v>53</v>
      </c>
      <c r="E680" t="s">
        <v>37</v>
      </c>
      <c r="F680" s="9">
        <v>45866.291666666664</v>
      </c>
      <c r="G680" s="12">
        <v>849.52</v>
      </c>
      <c r="H680" s="9">
        <v>45868.291666666664</v>
      </c>
      <c r="I680" s="12">
        <v>800.6</v>
      </c>
      <c r="J680">
        <v>11.185</v>
      </c>
      <c r="K680" s="12">
        <v>9501.99</v>
      </c>
      <c r="L680">
        <v>13.84</v>
      </c>
      <c r="M680">
        <v>-561.01</v>
      </c>
      <c r="N680" s="13">
        <v>-5.8999999999999997E-2</v>
      </c>
      <c r="O680" t="s">
        <v>38</v>
      </c>
      <c r="Q680">
        <f t="shared" si="174"/>
        <v>-547.17019999999957</v>
      </c>
      <c r="R680">
        <f t="shared" si="175"/>
        <v>-561.0101999999996</v>
      </c>
      <c r="S680">
        <f t="shared" si="176"/>
        <v>8954.7110000000011</v>
      </c>
      <c r="U680">
        <f t="shared" si="163"/>
        <v>1.9422729999999999</v>
      </c>
      <c r="V680">
        <f t="shared" si="177"/>
        <v>1649.9997589599998</v>
      </c>
      <c r="W680">
        <f t="shared" si="164"/>
        <v>-95.015995159999918</v>
      </c>
      <c r="X680">
        <f t="shared" si="165"/>
        <v>3.2049835227600001</v>
      </c>
      <c r="Y680">
        <f t="shared" si="166"/>
        <v>-98.22097868275992</v>
      </c>
      <c r="Z680">
        <f t="shared" si="167"/>
        <v>35651.696133893405</v>
      </c>
      <c r="AB680">
        <f t="shared" si="168"/>
        <v>6.1101369999999999</v>
      </c>
      <c r="AC680">
        <f t="shared" si="169"/>
        <v>5190.6835842399996</v>
      </c>
      <c r="AD680">
        <f t="shared" si="170"/>
        <v>-298.90790203999973</v>
      </c>
      <c r="AE680">
        <f t="shared" si="171"/>
        <v>10.082459266440001</v>
      </c>
      <c r="AF680">
        <f t="shared" si="172"/>
        <v>-308.99036130643975</v>
      </c>
      <c r="AG680">
        <f t="shared" si="162"/>
        <v>51597.841744857629</v>
      </c>
      <c r="AH680" t="b">
        <f t="shared" si="173"/>
        <v>1</v>
      </c>
    </row>
    <row r="681" spans="4:34" hidden="1" x14ac:dyDescent="0.4">
      <c r="D681" t="s">
        <v>60</v>
      </c>
      <c r="E681" t="s">
        <v>37</v>
      </c>
      <c r="F681" s="9">
        <v>45865.583333333336</v>
      </c>
      <c r="G681" s="12">
        <v>3.1966000000000001</v>
      </c>
      <c r="H681" s="9">
        <v>45868.083333333336</v>
      </c>
      <c r="I681" s="12">
        <v>3.1212</v>
      </c>
      <c r="J681">
        <v>708.1</v>
      </c>
      <c r="K681" s="12">
        <v>2263.54</v>
      </c>
      <c r="L681">
        <v>3.36</v>
      </c>
      <c r="M681">
        <v>-56.75</v>
      </c>
      <c r="N681" s="13">
        <v>-2.5100000000000001E-2</v>
      </c>
      <c r="O681" t="s">
        <v>57</v>
      </c>
      <c r="Q681">
        <f t="shared" si="174"/>
        <v>-53.390740000000093</v>
      </c>
      <c r="R681">
        <f t="shared" si="175"/>
        <v>-56.750740000000093</v>
      </c>
      <c r="S681">
        <f t="shared" si="176"/>
        <v>2210.1217200000001</v>
      </c>
      <c r="U681">
        <f t="shared" si="163"/>
        <v>516.17343400000004</v>
      </c>
      <c r="V681">
        <f t="shared" si="177"/>
        <v>1649.9999991244001</v>
      </c>
      <c r="W681">
        <f t="shared" si="164"/>
        <v>-38.919476923600072</v>
      </c>
      <c r="X681">
        <f t="shared" si="165"/>
        <v>3.2610805213252005</v>
      </c>
      <c r="Y681">
        <f t="shared" si="166"/>
        <v>-42.18055744492527</v>
      </c>
      <c r="Z681">
        <f t="shared" si="167"/>
        <v>35749.917112576164</v>
      </c>
      <c r="AB681">
        <f t="shared" si="168"/>
        <v>1627.9755580000001</v>
      </c>
      <c r="AC681">
        <f t="shared" si="169"/>
        <v>5203.9866687028007</v>
      </c>
      <c r="AD681">
        <f t="shared" si="170"/>
        <v>-122.74935707320023</v>
      </c>
      <c r="AE681">
        <f t="shared" si="171"/>
        <v>10.2852239803324</v>
      </c>
      <c r="AF681">
        <f t="shared" si="172"/>
        <v>-133.03458105353263</v>
      </c>
      <c r="AG681">
        <f t="shared" si="162"/>
        <v>51906.832106164067</v>
      </c>
      <c r="AH681" t="b">
        <f t="shared" si="173"/>
        <v>1</v>
      </c>
    </row>
    <row r="682" spans="4:34" hidden="1" x14ac:dyDescent="0.4">
      <c r="D682" t="s">
        <v>43</v>
      </c>
      <c r="E682" t="s">
        <v>37</v>
      </c>
      <c r="F682" s="9">
        <v>45865.75</v>
      </c>
      <c r="G682">
        <v>4.2946999999999997</v>
      </c>
      <c r="H682" s="9">
        <v>45867.75</v>
      </c>
      <c r="I682">
        <v>3.8191000000000002</v>
      </c>
      <c r="J682" s="12">
        <v>450.6</v>
      </c>
      <c r="K682" s="12">
        <v>1935.42</v>
      </c>
      <c r="L682">
        <v>2.74</v>
      </c>
      <c r="M682">
        <v>-217.05</v>
      </c>
      <c r="N682" s="13">
        <v>-0.11210000000000001</v>
      </c>
      <c r="O682" t="s">
        <v>38</v>
      </c>
      <c r="Q682">
        <f t="shared" si="174"/>
        <v>-214.30535999999981</v>
      </c>
      <c r="R682">
        <f t="shared" si="175"/>
        <v>-217.04535999999982</v>
      </c>
      <c r="S682">
        <f t="shared" si="176"/>
        <v>1720.8864600000002</v>
      </c>
      <c r="U682">
        <f t="shared" si="163"/>
        <v>384.19447200000002</v>
      </c>
      <c r="V682">
        <f t="shared" si="177"/>
        <v>1649.9999988984</v>
      </c>
      <c r="W682">
        <f t="shared" si="164"/>
        <v>-182.72289088319985</v>
      </c>
      <c r="X682">
        <f t="shared" si="165"/>
        <v>3.1172771069135998</v>
      </c>
      <c r="Y682">
        <f t="shared" si="166"/>
        <v>-185.84016799011346</v>
      </c>
      <c r="Z682">
        <f t="shared" si="167"/>
        <v>35792.097670021089</v>
      </c>
      <c r="AB682">
        <f t="shared" si="168"/>
        <v>1225.5261270000001</v>
      </c>
      <c r="AC682">
        <f t="shared" si="169"/>
        <v>5263.2670576269002</v>
      </c>
      <c r="AD682">
        <f t="shared" si="170"/>
        <v>-582.86022600119952</v>
      </c>
      <c r="AE682">
        <f t="shared" si="171"/>
        <v>9.9436738892525991</v>
      </c>
      <c r="AF682">
        <f t="shared" si="172"/>
        <v>-592.80389989045216</v>
      </c>
      <c r="AG682">
        <f t="shared" ref="AG682:AG745" si="178">AG683*AH682 + (1-AH682)*AI682+AF682</f>
        <v>52039.866687217596</v>
      </c>
      <c r="AH682" t="b">
        <f t="shared" si="173"/>
        <v>1</v>
      </c>
    </row>
    <row r="683" spans="4:34" hidden="1" x14ac:dyDescent="0.4">
      <c r="D683" t="s">
        <v>50</v>
      </c>
      <c r="E683" t="s">
        <v>37</v>
      </c>
      <c r="F683" s="9">
        <v>45865.75</v>
      </c>
      <c r="G683">
        <v>430.1</v>
      </c>
      <c r="H683" s="9">
        <v>45867.75</v>
      </c>
      <c r="I683">
        <v>389.6</v>
      </c>
      <c r="J683">
        <v>30.641999999999999</v>
      </c>
      <c r="K683" s="12">
        <v>13179.13</v>
      </c>
      <c r="L683">
        <v>18.84</v>
      </c>
      <c r="M683" s="12">
        <v>-1259.8399999999999</v>
      </c>
      <c r="N683" s="13">
        <v>-9.5600000000000004E-2</v>
      </c>
      <c r="O683" t="s">
        <v>38</v>
      </c>
      <c r="Q683">
        <f t="shared" si="174"/>
        <v>-1241.001</v>
      </c>
      <c r="R683">
        <f t="shared" si="175"/>
        <v>-1259.8409999999999</v>
      </c>
      <c r="S683">
        <f t="shared" si="176"/>
        <v>11938.1232</v>
      </c>
      <c r="U683">
        <f t="shared" si="163"/>
        <v>3.8363170000000002</v>
      </c>
      <c r="V683">
        <f t="shared" si="177"/>
        <v>1649.9999417000001</v>
      </c>
      <c r="W683">
        <f t="shared" si="164"/>
        <v>-155.37083850000002</v>
      </c>
      <c r="X683">
        <f t="shared" si="165"/>
        <v>3.1446290449000007</v>
      </c>
      <c r="Y683">
        <f t="shared" si="166"/>
        <v>-158.51546754490002</v>
      </c>
      <c r="Z683">
        <f t="shared" si="167"/>
        <v>35977.937838011203</v>
      </c>
      <c r="AB683">
        <f t="shared" si="168"/>
        <v>12.356014</v>
      </c>
      <c r="AC683">
        <f t="shared" si="169"/>
        <v>5314.3216214000004</v>
      </c>
      <c r="AD683">
        <f t="shared" si="170"/>
        <v>-500.418567</v>
      </c>
      <c r="AE683">
        <f t="shared" si="171"/>
        <v>10.128224675800002</v>
      </c>
      <c r="AF683">
        <f t="shared" si="172"/>
        <v>-510.54679167580002</v>
      </c>
      <c r="AG683">
        <f t="shared" si="178"/>
        <v>52632.670587108048</v>
      </c>
      <c r="AH683" t="b">
        <f t="shared" si="173"/>
        <v>1</v>
      </c>
    </row>
    <row r="684" spans="4:34" hidden="1" x14ac:dyDescent="0.4">
      <c r="D684" t="s">
        <v>54</v>
      </c>
      <c r="E684" t="s">
        <v>37</v>
      </c>
      <c r="F684" s="9">
        <v>45865.708333333336</v>
      </c>
      <c r="G684">
        <v>186.56</v>
      </c>
      <c r="H684" s="9">
        <v>45867.708333333336</v>
      </c>
      <c r="I684">
        <v>180.82</v>
      </c>
      <c r="J684" s="12">
        <v>26.173999999999999</v>
      </c>
      <c r="K684" s="12">
        <v>4883.17</v>
      </c>
      <c r="L684">
        <v>7.21</v>
      </c>
      <c r="M684">
        <v>-157.44999999999999</v>
      </c>
      <c r="N684" s="13">
        <v>-3.2199999999999999E-2</v>
      </c>
      <c r="O684" t="s">
        <v>38</v>
      </c>
      <c r="Q684">
        <f t="shared" si="174"/>
        <v>-150.23876000000024</v>
      </c>
      <c r="R684">
        <f t="shared" si="175"/>
        <v>-157.44876000000025</v>
      </c>
      <c r="S684">
        <f t="shared" si="176"/>
        <v>4732.7826799999993</v>
      </c>
      <c r="U684">
        <f t="shared" si="163"/>
        <v>8.8443400000000008</v>
      </c>
      <c r="V684">
        <f t="shared" si="177"/>
        <v>1650.0000704000001</v>
      </c>
      <c r="W684">
        <f t="shared" si="164"/>
        <v>-50.766511600000086</v>
      </c>
      <c r="X684">
        <f t="shared" si="165"/>
        <v>3.2492336291999999</v>
      </c>
      <c r="Y684">
        <f t="shared" si="166"/>
        <v>-54.015745229200085</v>
      </c>
      <c r="Z684">
        <f t="shared" si="167"/>
        <v>36136.453305556104</v>
      </c>
      <c r="AB684">
        <f t="shared" si="168"/>
        <v>28.579418</v>
      </c>
      <c r="AC684">
        <f t="shared" si="169"/>
        <v>5331.7762220800005</v>
      </c>
      <c r="AD684">
        <f t="shared" si="170"/>
        <v>-164.04585932000026</v>
      </c>
      <c r="AE684">
        <f t="shared" si="171"/>
        <v>10.499506584839999</v>
      </c>
      <c r="AF684">
        <f t="shared" si="172"/>
        <v>-174.54536590484025</v>
      </c>
      <c r="AG684">
        <f t="shared" si="178"/>
        <v>53143.217378783847</v>
      </c>
      <c r="AH684" t="b">
        <f t="shared" si="173"/>
        <v>1</v>
      </c>
    </row>
    <row r="685" spans="4:34" hidden="1" x14ac:dyDescent="0.4">
      <c r="D685" t="s">
        <v>61</v>
      </c>
      <c r="E685" t="s">
        <v>37</v>
      </c>
      <c r="F685" s="9">
        <v>45865.583333333336</v>
      </c>
      <c r="G685">
        <v>0.82730000000000004</v>
      </c>
      <c r="H685" s="9">
        <v>45867.583333333336</v>
      </c>
      <c r="I685">
        <v>0.80149999999999999</v>
      </c>
      <c r="J685" s="12">
        <v>10134.200000000001</v>
      </c>
      <c r="K685" s="12">
        <v>8384.08</v>
      </c>
      <c r="L685">
        <v>12.38</v>
      </c>
      <c r="M685">
        <v>-273.83999999999997</v>
      </c>
      <c r="N685" s="13">
        <v>-3.27E-2</v>
      </c>
      <c r="O685" t="s">
        <v>38</v>
      </c>
      <c r="Q685">
        <f t="shared" si="174"/>
        <v>-261.4623600000005</v>
      </c>
      <c r="R685">
        <f t="shared" si="175"/>
        <v>-273.8423600000005</v>
      </c>
      <c r="S685">
        <f t="shared" si="176"/>
        <v>8122.5613000000003</v>
      </c>
      <c r="U685">
        <f t="shared" si="163"/>
        <v>1994.439744</v>
      </c>
      <c r="V685">
        <f t="shared" si="177"/>
        <v>1650.0000002112001</v>
      </c>
      <c r="W685">
        <f t="shared" si="164"/>
        <v>-51.456545395200088</v>
      </c>
      <c r="X685">
        <f t="shared" si="165"/>
        <v>3.2485434550272001</v>
      </c>
      <c r="Y685">
        <f t="shared" si="166"/>
        <v>-54.705088850227291</v>
      </c>
      <c r="Z685">
        <f t="shared" si="167"/>
        <v>36190.469050785301</v>
      </c>
      <c r="AB685">
        <f t="shared" si="168"/>
        <v>6466.2303499999998</v>
      </c>
      <c r="AC685">
        <f t="shared" si="169"/>
        <v>5349.5123685549997</v>
      </c>
      <c r="AD685">
        <f t="shared" si="170"/>
        <v>-166.82874303000028</v>
      </c>
      <c r="AE685">
        <f t="shared" si="171"/>
        <v>10.53219599408</v>
      </c>
      <c r="AF685">
        <f t="shared" si="172"/>
        <v>-177.3609390240803</v>
      </c>
      <c r="AG685">
        <f t="shared" si="178"/>
        <v>53317.762744688691</v>
      </c>
      <c r="AH685" t="b">
        <f t="shared" si="173"/>
        <v>1</v>
      </c>
    </row>
    <row r="686" spans="4:34" hidden="1" x14ac:dyDescent="0.4">
      <c r="D686" t="s">
        <v>59</v>
      </c>
      <c r="E686" t="s">
        <v>37</v>
      </c>
      <c r="F686" s="9">
        <v>45864.833333333336</v>
      </c>
      <c r="G686" s="12">
        <v>118136.02</v>
      </c>
      <c r="H686" s="9">
        <v>45867.333333333336</v>
      </c>
      <c r="I686" s="12">
        <v>118770.31</v>
      </c>
      <c r="J686">
        <v>8.8880000000000001E-2</v>
      </c>
      <c r="K686" s="12">
        <v>10500.55</v>
      </c>
      <c r="L686">
        <v>15.79</v>
      </c>
      <c r="M686">
        <v>40.58</v>
      </c>
      <c r="N686" s="13">
        <v>3.8999999999999998E-3</v>
      </c>
      <c r="O686" t="s">
        <v>57</v>
      </c>
      <c r="Q686">
        <f t="shared" si="174"/>
        <v>56.375695199999434</v>
      </c>
      <c r="R686">
        <f t="shared" si="175"/>
        <v>40.585695199999435</v>
      </c>
      <c r="S686">
        <f t="shared" si="176"/>
        <v>10556.3051528</v>
      </c>
      <c r="U686">
        <f t="shared" si="163"/>
        <v>1.3967E-2</v>
      </c>
      <c r="V686">
        <f t="shared" si="177"/>
        <v>1650.0057913400001</v>
      </c>
      <c r="W686">
        <f t="shared" si="164"/>
        <v>8.8591284299999113</v>
      </c>
      <c r="X686">
        <f t="shared" si="165"/>
        <v>3.3088707111100004</v>
      </c>
      <c r="Y686">
        <f t="shared" si="166"/>
        <v>5.5502577188899114</v>
      </c>
      <c r="Z686">
        <f t="shared" si="167"/>
        <v>36245.174139635528</v>
      </c>
      <c r="AB686">
        <f t="shared" si="168"/>
        <v>4.5267000000000002E-2</v>
      </c>
      <c r="AC686">
        <f t="shared" si="169"/>
        <v>5347.6632173400003</v>
      </c>
      <c r="AD686">
        <f t="shared" si="170"/>
        <v>28.712405429999713</v>
      </c>
      <c r="AE686">
        <f t="shared" si="171"/>
        <v>10.724038840110001</v>
      </c>
      <c r="AF686">
        <f t="shared" si="172"/>
        <v>17.988366589889711</v>
      </c>
      <c r="AG686">
        <f t="shared" si="178"/>
        <v>53495.123683712773</v>
      </c>
      <c r="AH686" t="b">
        <f t="shared" si="173"/>
        <v>1</v>
      </c>
    </row>
    <row r="687" spans="4:34" hidden="1" x14ac:dyDescent="0.4">
      <c r="D687" t="s">
        <v>55</v>
      </c>
      <c r="E687" t="s">
        <v>37</v>
      </c>
      <c r="F687" s="9">
        <v>45865.166666666664</v>
      </c>
      <c r="G687">
        <v>6.3419999999999999E-5</v>
      </c>
      <c r="H687" s="9">
        <v>45867.166666666664</v>
      </c>
      <c r="I687">
        <v>5.9809999999999998E-5</v>
      </c>
      <c r="J687" s="12">
        <v>94339063.219999999</v>
      </c>
      <c r="K687" s="12">
        <v>5982.98</v>
      </c>
      <c r="L687">
        <v>8.7200000000000006</v>
      </c>
      <c r="M687">
        <v>-349.28</v>
      </c>
      <c r="N687" s="13">
        <v>-5.8400000000000001E-2</v>
      </c>
      <c r="O687" t="s">
        <v>38</v>
      </c>
      <c r="Q687">
        <f t="shared" si="174"/>
        <v>-340.56401822420008</v>
      </c>
      <c r="R687">
        <f t="shared" si="175"/>
        <v>-349.28401822420011</v>
      </c>
      <c r="S687">
        <f t="shared" si="176"/>
        <v>5642.4193711881999</v>
      </c>
      <c r="U687">
        <f t="shared" si="163"/>
        <v>26017029.328288</v>
      </c>
      <c r="V687">
        <f t="shared" si="177"/>
        <v>1650.000000000025</v>
      </c>
      <c r="W687">
        <f t="shared" si="164"/>
        <v>-93.921475875119711</v>
      </c>
      <c r="X687">
        <f t="shared" si="165"/>
        <v>3.2060785241249303</v>
      </c>
      <c r="Y687">
        <f t="shared" si="166"/>
        <v>-97.127554399244644</v>
      </c>
      <c r="Z687">
        <f t="shared" si="167"/>
        <v>36239.623881916639</v>
      </c>
      <c r="AB687">
        <f t="shared" si="168"/>
        <v>84821497.122080997</v>
      </c>
      <c r="AC687">
        <f t="shared" si="169"/>
        <v>5379.3793474823769</v>
      </c>
      <c r="AD687">
        <f t="shared" si="170"/>
        <v>-306.2056046107125</v>
      </c>
      <c r="AE687">
        <f t="shared" si="171"/>
        <v>10.452553090354041</v>
      </c>
      <c r="AF687">
        <f t="shared" si="172"/>
        <v>-316.65815770106656</v>
      </c>
      <c r="AG687">
        <f t="shared" si="178"/>
        <v>53477.135317122884</v>
      </c>
      <c r="AH687" t="b">
        <f t="shared" si="173"/>
        <v>1</v>
      </c>
    </row>
    <row r="688" spans="4:34" hidden="1" x14ac:dyDescent="0.4">
      <c r="D688" t="s">
        <v>56</v>
      </c>
      <c r="E688" t="s">
        <v>37</v>
      </c>
      <c r="F688" s="9">
        <v>45865.958333333336</v>
      </c>
      <c r="G688" s="12">
        <v>3838.41</v>
      </c>
      <c r="H688" s="9">
        <v>45866.666666666664</v>
      </c>
      <c r="I688" s="12">
        <v>3778.58</v>
      </c>
      <c r="J688">
        <v>1.4724999999999999</v>
      </c>
      <c r="K688" s="12">
        <v>5652.36</v>
      </c>
      <c r="L688">
        <v>8.41</v>
      </c>
      <c r="M688">
        <v>-96.51</v>
      </c>
      <c r="N688" s="13">
        <v>-1.7100000000000001E-2</v>
      </c>
      <c r="O688" t="s">
        <v>49</v>
      </c>
      <c r="Q688">
        <f t="shared" si="174"/>
        <v>-88.099674999999891</v>
      </c>
      <c r="R688">
        <f t="shared" si="175"/>
        <v>-96.509674999999888</v>
      </c>
      <c r="S688">
        <f t="shared" si="176"/>
        <v>5563.9590499999995</v>
      </c>
      <c r="U688">
        <f t="shared" si="163"/>
        <v>0.429865</v>
      </c>
      <c r="V688">
        <f t="shared" si="177"/>
        <v>1649.9981146499999</v>
      </c>
      <c r="W688">
        <f t="shared" si="164"/>
        <v>-25.718822949999968</v>
      </c>
      <c r="X688">
        <f t="shared" si="165"/>
        <v>3.27427740635</v>
      </c>
      <c r="Y688">
        <f t="shared" si="166"/>
        <v>-28.993100356349967</v>
      </c>
      <c r="Z688">
        <f t="shared" si="167"/>
        <v>36336.751436315884</v>
      </c>
      <c r="AB688">
        <f t="shared" si="168"/>
        <v>1.4039269999999999</v>
      </c>
      <c r="AC688">
        <f t="shared" si="169"/>
        <v>5388.8474360699993</v>
      </c>
      <c r="AD688">
        <f t="shared" si="170"/>
        <v>-83.996952409999892</v>
      </c>
      <c r="AE688">
        <f t="shared" si="171"/>
        <v>10.693697919730001</v>
      </c>
      <c r="AF688">
        <f t="shared" si="172"/>
        <v>-94.690650329729891</v>
      </c>
      <c r="AG688">
        <f t="shared" si="178"/>
        <v>53793.79347482395</v>
      </c>
      <c r="AH688" t="b">
        <f t="shared" si="173"/>
        <v>1</v>
      </c>
    </row>
    <row r="689" spans="4:34" hidden="1" x14ac:dyDescent="0.4">
      <c r="D689" t="s">
        <v>52</v>
      </c>
      <c r="E689" t="s">
        <v>37</v>
      </c>
      <c r="F689" s="9">
        <v>45864.625</v>
      </c>
      <c r="G689">
        <v>5.67</v>
      </c>
      <c r="H689" s="9">
        <v>45866.625</v>
      </c>
      <c r="I689">
        <v>5.7649999999999997</v>
      </c>
      <c r="J689" s="12">
        <v>420.19</v>
      </c>
      <c r="K689" s="12">
        <v>2382.52</v>
      </c>
      <c r="L689">
        <v>3.6</v>
      </c>
      <c r="M689">
        <v>36.31</v>
      </c>
      <c r="N689" s="13">
        <v>1.52E-2</v>
      </c>
      <c r="O689" t="s">
        <v>38</v>
      </c>
      <c r="Q689">
        <f t="shared" si="174"/>
        <v>39.918049999999894</v>
      </c>
      <c r="R689">
        <f t="shared" si="175"/>
        <v>36.318049999999893</v>
      </c>
      <c r="S689">
        <f t="shared" si="176"/>
        <v>2422.3953499999998</v>
      </c>
      <c r="U689">
        <f t="shared" si="163"/>
        <v>291.005291</v>
      </c>
      <c r="V689">
        <f t="shared" si="177"/>
        <v>1649.9999999700001</v>
      </c>
      <c r="W689">
        <f t="shared" si="164"/>
        <v>27.645502644999926</v>
      </c>
      <c r="X689">
        <f t="shared" si="165"/>
        <v>3.3276455025849998</v>
      </c>
      <c r="Y689">
        <f t="shared" si="166"/>
        <v>24.317857142414926</v>
      </c>
      <c r="Z689">
        <f t="shared" si="167"/>
        <v>36365.744536672231</v>
      </c>
      <c r="AB689">
        <f t="shared" si="168"/>
        <v>949.01551400000005</v>
      </c>
      <c r="AC689">
        <f t="shared" si="169"/>
        <v>5380.9179643799998</v>
      </c>
      <c r="AD689">
        <f t="shared" si="170"/>
        <v>90.156473829999769</v>
      </c>
      <c r="AE689">
        <f t="shared" si="171"/>
        <v>10.85199240259</v>
      </c>
      <c r="AF689">
        <f t="shared" si="172"/>
        <v>79.304481427409769</v>
      </c>
      <c r="AG689">
        <f t="shared" si="178"/>
        <v>53888.484125153678</v>
      </c>
      <c r="AH689" t="b">
        <f t="shared" si="173"/>
        <v>1</v>
      </c>
    </row>
    <row r="690" spans="4:34" hidden="1" x14ac:dyDescent="0.4">
      <c r="D690" t="s">
        <v>58</v>
      </c>
      <c r="E690" t="s">
        <v>37</v>
      </c>
      <c r="F690" s="9">
        <v>45864.583333333336</v>
      </c>
      <c r="G690">
        <v>18.329999999999998</v>
      </c>
      <c r="H690" s="9">
        <v>45866.583333333336</v>
      </c>
      <c r="I690">
        <v>18.989999999999998</v>
      </c>
      <c r="J690">
        <v>397.58</v>
      </c>
      <c r="K690" s="12">
        <v>7287.69</v>
      </c>
      <c r="L690">
        <v>11.13</v>
      </c>
      <c r="M690">
        <v>251.27</v>
      </c>
      <c r="N690" s="13">
        <v>3.4500000000000003E-2</v>
      </c>
      <c r="O690" t="s">
        <v>38</v>
      </c>
      <c r="Q690">
        <f t="shared" si="174"/>
        <v>262.40280000000007</v>
      </c>
      <c r="R690">
        <f t="shared" si="175"/>
        <v>251.27280000000007</v>
      </c>
      <c r="S690">
        <f t="shared" si="176"/>
        <v>7550.0441999999994</v>
      </c>
      <c r="U690">
        <f t="shared" si="163"/>
        <v>90.016367000000002</v>
      </c>
      <c r="V690">
        <f t="shared" si="177"/>
        <v>1650.0000071099998</v>
      </c>
      <c r="W690">
        <f t="shared" si="164"/>
        <v>59.410802220000015</v>
      </c>
      <c r="X690">
        <f t="shared" si="165"/>
        <v>3.3594108164399992</v>
      </c>
      <c r="Y690">
        <f t="shared" si="166"/>
        <v>56.051391403560018</v>
      </c>
      <c r="Z690">
        <f t="shared" si="167"/>
        <v>36341.426679529817</v>
      </c>
      <c r="AB690">
        <f t="shared" si="168"/>
        <v>292.56413400000002</v>
      </c>
      <c r="AC690">
        <f t="shared" si="169"/>
        <v>5362.7005762199997</v>
      </c>
      <c r="AD690">
        <f t="shared" si="170"/>
        <v>193.09232844000005</v>
      </c>
      <c r="AE690">
        <f t="shared" si="171"/>
        <v>10.918493480879999</v>
      </c>
      <c r="AF690">
        <f t="shared" si="172"/>
        <v>182.17383495912006</v>
      </c>
      <c r="AG690">
        <f t="shared" si="178"/>
        <v>53809.179643726267</v>
      </c>
      <c r="AH690" t="b">
        <f t="shared" si="173"/>
        <v>1</v>
      </c>
    </row>
    <row r="691" spans="4:34" hidden="1" x14ac:dyDescent="0.4">
      <c r="D691" t="s">
        <v>48</v>
      </c>
      <c r="E691" t="s">
        <v>37</v>
      </c>
      <c r="F691" s="9">
        <v>45864.291666666664</v>
      </c>
      <c r="G691" s="12">
        <v>0.14549999999999999</v>
      </c>
      <c r="H691" s="9">
        <v>45866.291666666664</v>
      </c>
      <c r="I691" s="12">
        <v>0.15210000000000001</v>
      </c>
      <c r="J691" s="12">
        <v>21651.4</v>
      </c>
      <c r="K691" s="12">
        <v>3150.29</v>
      </c>
      <c r="L691">
        <v>4.83</v>
      </c>
      <c r="M691">
        <v>138.07</v>
      </c>
      <c r="N691" s="13">
        <v>4.3799999999999999E-2</v>
      </c>
      <c r="O691" t="s">
        <v>38</v>
      </c>
      <c r="Q691">
        <f t="shared" si="174"/>
        <v>142.8992400000005</v>
      </c>
      <c r="R691">
        <f t="shared" si="175"/>
        <v>138.06924000000049</v>
      </c>
      <c r="S691">
        <f t="shared" si="176"/>
        <v>3293.1779400000005</v>
      </c>
      <c r="U691">
        <f t="shared" si="163"/>
        <v>11340.206185999999</v>
      </c>
      <c r="V691">
        <f t="shared" si="177"/>
        <v>1650.0000000629998</v>
      </c>
      <c r="W691">
        <f t="shared" si="164"/>
        <v>74.845360827600246</v>
      </c>
      <c r="X691">
        <f t="shared" si="165"/>
        <v>3.3748453609535995</v>
      </c>
      <c r="Y691">
        <f t="shared" si="166"/>
        <v>71.470515466646646</v>
      </c>
      <c r="Z691">
        <f t="shared" si="167"/>
        <v>36285.375288126255</v>
      </c>
      <c r="AB691">
        <f t="shared" si="168"/>
        <v>36698.089189999999</v>
      </c>
      <c r="AC691">
        <f t="shared" si="169"/>
        <v>5339.5719771449994</v>
      </c>
      <c r="AD691">
        <f t="shared" si="170"/>
        <v>242.20738865400082</v>
      </c>
      <c r="AE691">
        <f t="shared" si="171"/>
        <v>10.921351342943998</v>
      </c>
      <c r="AF691">
        <f t="shared" si="172"/>
        <v>231.28603731105682</v>
      </c>
      <c r="AG691">
        <f t="shared" si="178"/>
        <v>53627.00580876715</v>
      </c>
      <c r="AH691" t="b">
        <f t="shared" si="173"/>
        <v>1</v>
      </c>
    </row>
    <row r="692" spans="4:34" hidden="1" x14ac:dyDescent="0.4">
      <c r="D692" t="s">
        <v>56</v>
      </c>
      <c r="E692" t="s">
        <v>37</v>
      </c>
      <c r="F692" s="9">
        <v>45863.416666666664</v>
      </c>
      <c r="G692" s="12">
        <v>3665.59</v>
      </c>
      <c r="H692" s="9">
        <v>45865.916666666664</v>
      </c>
      <c r="I692" s="12">
        <v>3824.09</v>
      </c>
      <c r="J692">
        <v>1.5356000000000001</v>
      </c>
      <c r="K692" s="12">
        <v>5628.88</v>
      </c>
      <c r="L692">
        <v>8.6300000000000008</v>
      </c>
      <c r="M692">
        <v>234.77</v>
      </c>
      <c r="N692" s="13">
        <v>4.1700000000000001E-2</v>
      </c>
      <c r="O692" t="s">
        <v>57</v>
      </c>
      <c r="Q692">
        <f t="shared" si="174"/>
        <v>243.39260000000002</v>
      </c>
      <c r="R692">
        <f t="shared" si="175"/>
        <v>234.76260000000002</v>
      </c>
      <c r="S692">
        <f t="shared" si="176"/>
        <v>5872.2726040000007</v>
      </c>
      <c r="U692">
        <f t="shared" si="163"/>
        <v>0.45013199999999998</v>
      </c>
      <c r="V692">
        <f t="shared" si="177"/>
        <v>1649.9993578799999</v>
      </c>
      <c r="W692">
        <f t="shared" si="164"/>
        <v>71.345922000000002</v>
      </c>
      <c r="X692">
        <f t="shared" si="165"/>
        <v>3.37134463776</v>
      </c>
      <c r="Y692">
        <f t="shared" si="166"/>
        <v>67.974577362239998</v>
      </c>
      <c r="Z692">
        <f t="shared" si="167"/>
        <v>36213.904772659611</v>
      </c>
      <c r="AB692">
        <f t="shared" si="168"/>
        <v>1.450698</v>
      </c>
      <c r="AC692">
        <f t="shared" si="169"/>
        <v>5317.6640818200003</v>
      </c>
      <c r="AD692">
        <f t="shared" si="170"/>
        <v>229.935633</v>
      </c>
      <c r="AE692">
        <f t="shared" si="171"/>
        <v>10.865263796640001</v>
      </c>
      <c r="AF692">
        <f t="shared" si="172"/>
        <v>219.07036920336</v>
      </c>
      <c r="AG692">
        <f t="shared" si="178"/>
        <v>53395.71977145609</v>
      </c>
      <c r="AH692" t="b">
        <f t="shared" si="173"/>
        <v>1</v>
      </c>
    </row>
    <row r="693" spans="4:34" hidden="1" x14ac:dyDescent="0.4">
      <c r="D693" t="s">
        <v>43</v>
      </c>
      <c r="E693" t="s">
        <v>37</v>
      </c>
      <c r="F693" s="9">
        <v>45863.75</v>
      </c>
      <c r="G693">
        <v>3.7320000000000002</v>
      </c>
      <c r="H693" s="9">
        <v>45865.75</v>
      </c>
      <c r="I693">
        <v>4.2946999999999997</v>
      </c>
      <c r="J693">
        <v>510.9</v>
      </c>
      <c r="K693" s="12">
        <v>1906.98</v>
      </c>
      <c r="L693">
        <v>3.08</v>
      </c>
      <c r="M693">
        <v>284.41000000000003</v>
      </c>
      <c r="N693" s="13">
        <v>0.14910000000000001</v>
      </c>
      <c r="O693" t="s">
        <v>38</v>
      </c>
      <c r="Q693">
        <f t="shared" si="174"/>
        <v>287.48342999999977</v>
      </c>
      <c r="R693">
        <f t="shared" si="175"/>
        <v>284.40342999999979</v>
      </c>
      <c r="S693">
        <f t="shared" si="176"/>
        <v>2194.1622299999999</v>
      </c>
      <c r="U693">
        <f t="shared" si="163"/>
        <v>442.122186</v>
      </c>
      <c r="V693">
        <f t="shared" si="177"/>
        <v>1649.999998152</v>
      </c>
      <c r="W693">
        <f t="shared" si="164"/>
        <v>248.78215406219979</v>
      </c>
      <c r="X693">
        <f t="shared" si="165"/>
        <v>3.5487821503661996</v>
      </c>
      <c r="Y693">
        <f t="shared" si="166"/>
        <v>245.23337191183359</v>
      </c>
      <c r="Z693">
        <f t="shared" si="167"/>
        <v>36145.930195297369</v>
      </c>
      <c r="AB693">
        <f t="shared" si="168"/>
        <v>1404.0160550000001</v>
      </c>
      <c r="AC693">
        <f t="shared" si="169"/>
        <v>5239.7879172600005</v>
      </c>
      <c r="AD693">
        <f t="shared" si="170"/>
        <v>790.03983414849938</v>
      </c>
      <c r="AE693">
        <f t="shared" si="171"/>
        <v>11.2696156686685</v>
      </c>
      <c r="AF693">
        <f t="shared" si="172"/>
        <v>778.77021847983087</v>
      </c>
      <c r="AG693">
        <f t="shared" si="178"/>
        <v>53176.649402252733</v>
      </c>
      <c r="AH693" t="b">
        <f t="shared" si="173"/>
        <v>1</v>
      </c>
    </row>
    <row r="694" spans="4:34" hidden="1" x14ac:dyDescent="0.4">
      <c r="D694" t="s">
        <v>53</v>
      </c>
      <c r="E694" t="s">
        <v>37</v>
      </c>
      <c r="F694" s="9">
        <v>45863.75</v>
      </c>
      <c r="G694">
        <v>773.03</v>
      </c>
      <c r="H694" s="9">
        <v>45865.75</v>
      </c>
      <c r="I694">
        <v>818.78</v>
      </c>
      <c r="J694">
        <v>12.221</v>
      </c>
      <c r="K694" s="12">
        <v>9447.5400000000009</v>
      </c>
      <c r="L694">
        <v>14.59</v>
      </c>
      <c r="M694">
        <v>544.52</v>
      </c>
      <c r="N694" s="13">
        <v>5.7599999999999998E-2</v>
      </c>
      <c r="O694" t="s">
        <v>38</v>
      </c>
      <c r="Q694">
        <f t="shared" si="174"/>
        <v>559.11075000000005</v>
      </c>
      <c r="R694">
        <f t="shared" si="175"/>
        <v>544.52075000000002</v>
      </c>
      <c r="S694">
        <f t="shared" si="176"/>
        <v>10006.310379999999</v>
      </c>
      <c r="U694">
        <f t="shared" si="163"/>
        <v>2.134458</v>
      </c>
      <c r="V694">
        <f t="shared" si="177"/>
        <v>1650.0000677399998</v>
      </c>
      <c r="W694">
        <f t="shared" si="164"/>
        <v>97.651453500000002</v>
      </c>
      <c r="X694">
        <f t="shared" si="165"/>
        <v>3.3976515889799996</v>
      </c>
      <c r="Y694">
        <f t="shared" si="166"/>
        <v>94.253801911020005</v>
      </c>
      <c r="Z694">
        <f t="shared" si="167"/>
        <v>35900.696823385537</v>
      </c>
      <c r="AB694">
        <f t="shared" si="168"/>
        <v>6.7397470000000004</v>
      </c>
      <c r="AC694">
        <f t="shared" si="169"/>
        <v>5210.02662341</v>
      </c>
      <c r="AD694">
        <f t="shared" si="170"/>
        <v>308.34342525</v>
      </c>
      <c r="AE694">
        <f t="shared" si="171"/>
        <v>10.72839667207</v>
      </c>
      <c r="AF694">
        <f t="shared" si="172"/>
        <v>297.61502857792999</v>
      </c>
      <c r="AG694">
        <f t="shared" si="178"/>
        <v>52397.8791837729</v>
      </c>
      <c r="AH694" t="b">
        <f t="shared" si="173"/>
        <v>1</v>
      </c>
    </row>
    <row r="695" spans="4:34" hidden="1" x14ac:dyDescent="0.4">
      <c r="D695" t="s">
        <v>50</v>
      </c>
      <c r="E695" t="s">
        <v>37</v>
      </c>
      <c r="F695" s="9">
        <v>45863.75</v>
      </c>
      <c r="G695" s="12">
        <v>411.6</v>
      </c>
      <c r="H695" s="9">
        <v>45865.75</v>
      </c>
      <c r="I695" s="12">
        <v>430.1</v>
      </c>
      <c r="J695">
        <v>31.880800000000001</v>
      </c>
      <c r="K695" s="12">
        <v>13122.17</v>
      </c>
      <c r="L695">
        <v>20.13</v>
      </c>
      <c r="M695">
        <v>569.66999999999996</v>
      </c>
      <c r="N695" s="13">
        <v>4.3400000000000001E-2</v>
      </c>
      <c r="O695" t="s">
        <v>38</v>
      </c>
      <c r="Q695">
        <f t="shared" si="174"/>
        <v>589.79480000000001</v>
      </c>
      <c r="R695">
        <f t="shared" si="175"/>
        <v>569.66480000000001</v>
      </c>
      <c r="S695">
        <f t="shared" si="176"/>
        <v>13711.93208</v>
      </c>
      <c r="U695">
        <f t="shared" si="163"/>
        <v>4.0087460000000004</v>
      </c>
      <c r="V695">
        <f t="shared" si="177"/>
        <v>1649.9998536000003</v>
      </c>
      <c r="W695">
        <f t="shared" si="164"/>
        <v>74.161801000000011</v>
      </c>
      <c r="X695">
        <f t="shared" si="165"/>
        <v>3.3741615082000007</v>
      </c>
      <c r="Y695">
        <f t="shared" si="166"/>
        <v>70.787639491800007</v>
      </c>
      <c r="Z695">
        <f t="shared" si="167"/>
        <v>35806.443021474515</v>
      </c>
      <c r="AB695">
        <f t="shared" si="168"/>
        <v>12.603911999999999</v>
      </c>
      <c r="AC695">
        <f t="shared" si="169"/>
        <v>5187.7701791999998</v>
      </c>
      <c r="AD695">
        <f t="shared" si="170"/>
        <v>233.172372</v>
      </c>
      <c r="AE695">
        <f t="shared" si="171"/>
        <v>10.608712730400001</v>
      </c>
      <c r="AF695">
        <f t="shared" si="172"/>
        <v>222.56365926960001</v>
      </c>
      <c r="AG695">
        <f t="shared" si="178"/>
        <v>52100.264155194971</v>
      </c>
      <c r="AH695" t="b">
        <f t="shared" si="173"/>
        <v>1</v>
      </c>
    </row>
    <row r="696" spans="4:34" hidden="1" x14ac:dyDescent="0.4">
      <c r="D696" t="s">
        <v>60</v>
      </c>
      <c r="E696" t="s">
        <v>37</v>
      </c>
      <c r="F696" s="9">
        <v>45860.666666666664</v>
      </c>
      <c r="G696">
        <v>3.5217000000000001</v>
      </c>
      <c r="H696" s="9">
        <v>45863.166666666664</v>
      </c>
      <c r="I696">
        <v>3.0771999999999999</v>
      </c>
      <c r="J696" s="12">
        <v>651</v>
      </c>
      <c r="K696" s="12">
        <v>2292.8000000000002</v>
      </c>
      <c r="L696">
        <v>3.22</v>
      </c>
      <c r="M696">
        <v>-292.58999999999997</v>
      </c>
      <c r="N696" s="13">
        <v>-0.12759999999999999</v>
      </c>
      <c r="O696" t="s">
        <v>57</v>
      </c>
      <c r="Q696">
        <f t="shared" si="174"/>
        <v>-289.36950000000007</v>
      </c>
      <c r="R696">
        <f t="shared" si="175"/>
        <v>-292.5895000000001</v>
      </c>
      <c r="S696">
        <f t="shared" si="176"/>
        <v>2003.2572</v>
      </c>
      <c r="U696">
        <f t="shared" si="163"/>
        <v>468.52372400000002</v>
      </c>
      <c r="V696">
        <f t="shared" si="177"/>
        <v>1649.9999988108</v>
      </c>
      <c r="W696">
        <f t="shared" si="164"/>
        <v>-208.25879531800007</v>
      </c>
      <c r="X696">
        <f t="shared" si="165"/>
        <v>3.0917412023036004</v>
      </c>
      <c r="Y696">
        <f t="shared" si="166"/>
        <v>-211.35053652030368</v>
      </c>
      <c r="Z696">
        <f t="shared" si="167"/>
        <v>35735.655381982717</v>
      </c>
      <c r="AB696">
        <f t="shared" si="168"/>
        <v>1492.200658</v>
      </c>
      <c r="AC696">
        <f t="shared" si="169"/>
        <v>5255.0830572785999</v>
      </c>
      <c r="AD696">
        <f t="shared" si="170"/>
        <v>-663.28319248100013</v>
      </c>
      <c r="AE696">
        <f t="shared" si="171"/>
        <v>9.8468829220762011</v>
      </c>
      <c r="AF696">
        <f t="shared" si="172"/>
        <v>-673.13007540307638</v>
      </c>
      <c r="AG696">
        <f t="shared" si="178"/>
        <v>51877.700495925368</v>
      </c>
      <c r="AH696" t="b">
        <f t="shared" si="173"/>
        <v>1</v>
      </c>
    </row>
    <row r="697" spans="4:34" hidden="1" x14ac:dyDescent="0.4">
      <c r="D697" t="s">
        <v>43</v>
      </c>
      <c r="E697" t="s">
        <v>37</v>
      </c>
      <c r="F697" s="9">
        <v>45860.916666666664</v>
      </c>
      <c r="G697">
        <v>3.9590000000000001</v>
      </c>
      <c r="H697" s="9">
        <v>45862.916666666664</v>
      </c>
      <c r="I697">
        <v>3.8401000000000001</v>
      </c>
      <c r="J697">
        <v>483.2</v>
      </c>
      <c r="K697" s="12">
        <v>1913.01</v>
      </c>
      <c r="L697">
        <v>2.83</v>
      </c>
      <c r="M697">
        <v>-60.28</v>
      </c>
      <c r="N697" s="13">
        <v>-3.15E-2</v>
      </c>
      <c r="O697" t="s">
        <v>38</v>
      </c>
      <c r="Q697">
        <f t="shared" si="174"/>
        <v>-57.452480000000001</v>
      </c>
      <c r="R697">
        <f t="shared" si="175"/>
        <v>-60.28248</v>
      </c>
      <c r="S697">
        <f t="shared" si="176"/>
        <v>1855.5363199999999</v>
      </c>
      <c r="U697">
        <f t="shared" si="163"/>
        <v>416.77191199999999</v>
      </c>
      <c r="V697">
        <f t="shared" si="177"/>
        <v>1649.9999996080001</v>
      </c>
      <c r="W697">
        <f t="shared" si="164"/>
        <v>-49.554180336800002</v>
      </c>
      <c r="X697">
        <f t="shared" si="165"/>
        <v>3.2504458188792</v>
      </c>
      <c r="Y697">
        <f t="shared" si="166"/>
        <v>-52.804626155679202</v>
      </c>
      <c r="Z697">
        <f t="shared" si="167"/>
        <v>35947.005918503019</v>
      </c>
      <c r="AB697">
        <f t="shared" si="168"/>
        <v>1331.6379870000001</v>
      </c>
      <c r="AC697">
        <f t="shared" si="169"/>
        <v>5271.9547905330001</v>
      </c>
      <c r="AD697">
        <f t="shared" si="170"/>
        <v>-158.33175665430002</v>
      </c>
      <c r="AE697">
        <f t="shared" si="171"/>
        <v>10.385577824411701</v>
      </c>
      <c r="AF697">
        <f t="shared" si="172"/>
        <v>-168.71733447871173</v>
      </c>
      <c r="AG697">
        <f t="shared" si="178"/>
        <v>52550.830571328443</v>
      </c>
      <c r="AH697" t="b">
        <f t="shared" si="173"/>
        <v>1</v>
      </c>
    </row>
    <row r="698" spans="4:34" hidden="1" x14ac:dyDescent="0.4">
      <c r="D698" t="s">
        <v>58</v>
      </c>
      <c r="E698" t="s">
        <v>37</v>
      </c>
      <c r="F698" s="9">
        <v>45860.916666666664</v>
      </c>
      <c r="G698">
        <v>19.43</v>
      </c>
      <c r="H698" s="9">
        <v>45862.916666666664</v>
      </c>
      <c r="I698">
        <v>18.399999999999999</v>
      </c>
      <c r="J698" s="12">
        <v>377.12</v>
      </c>
      <c r="K698" s="12">
        <v>7327.6</v>
      </c>
      <c r="L698">
        <v>10.7</v>
      </c>
      <c r="M698">
        <v>-399.13</v>
      </c>
      <c r="N698" s="13">
        <v>-5.45E-2</v>
      </c>
      <c r="O698" t="s">
        <v>38</v>
      </c>
      <c r="Q698">
        <f t="shared" si="174"/>
        <v>-388.43360000000041</v>
      </c>
      <c r="R698">
        <f t="shared" si="175"/>
        <v>-399.1336000000004</v>
      </c>
      <c r="S698">
        <f t="shared" si="176"/>
        <v>6939.0079999999998</v>
      </c>
      <c r="U698">
        <f t="shared" si="163"/>
        <v>84.920226</v>
      </c>
      <c r="V698">
        <f t="shared" si="177"/>
        <v>1649.9999911800001</v>
      </c>
      <c r="W698">
        <f t="shared" si="164"/>
        <v>-87.467832780000094</v>
      </c>
      <c r="X698">
        <f t="shared" si="165"/>
        <v>3.2125321495800003</v>
      </c>
      <c r="Y698">
        <f t="shared" si="166"/>
        <v>-90.680364929580094</v>
      </c>
      <c r="Z698">
        <f t="shared" si="167"/>
        <v>35999.8105446587</v>
      </c>
      <c r="AB698">
        <f t="shared" si="168"/>
        <v>272.83007700000002</v>
      </c>
      <c r="AC698">
        <f t="shared" si="169"/>
        <v>5301.0883961099998</v>
      </c>
      <c r="AD698">
        <f t="shared" si="170"/>
        <v>-281.01497931000034</v>
      </c>
      <c r="AE698">
        <f t="shared" si="171"/>
        <v>10.321161812910001</v>
      </c>
      <c r="AF698">
        <f t="shared" si="172"/>
        <v>-291.33614112291036</v>
      </c>
      <c r="AG698">
        <f t="shared" si="178"/>
        <v>52719.547905807158</v>
      </c>
      <c r="AH698" t="b">
        <f t="shared" si="173"/>
        <v>1</v>
      </c>
    </row>
    <row r="699" spans="4:34" hidden="1" x14ac:dyDescent="0.4">
      <c r="D699" t="s">
        <v>52</v>
      </c>
      <c r="E699" t="s">
        <v>37</v>
      </c>
      <c r="F699" s="9">
        <v>45860.666666666664</v>
      </c>
      <c r="G699" s="12">
        <v>6.02</v>
      </c>
      <c r="H699" s="9">
        <v>45862.666666666664</v>
      </c>
      <c r="I699" s="12">
        <v>5.7249999999999996</v>
      </c>
      <c r="J699">
        <v>397.77</v>
      </c>
      <c r="K699" s="12">
        <v>2394.6</v>
      </c>
      <c r="L699">
        <v>3.5</v>
      </c>
      <c r="M699">
        <v>-120.85</v>
      </c>
      <c r="N699" s="13">
        <v>-5.0500000000000003E-2</v>
      </c>
      <c r="O699" t="s">
        <v>38</v>
      </c>
      <c r="Q699">
        <f t="shared" si="174"/>
        <v>-117.34214999999996</v>
      </c>
      <c r="R699">
        <f t="shared" si="175"/>
        <v>-120.84214999999996</v>
      </c>
      <c r="S699">
        <f t="shared" si="176"/>
        <v>2277.2332499999998</v>
      </c>
      <c r="U699">
        <f t="shared" si="163"/>
        <v>274.08637900000002</v>
      </c>
      <c r="V699">
        <f t="shared" si="177"/>
        <v>1650.0000015800001</v>
      </c>
      <c r="W699">
        <f t="shared" si="164"/>
        <v>-80.855481804999982</v>
      </c>
      <c r="X699">
        <f t="shared" si="165"/>
        <v>3.2191445213550005</v>
      </c>
      <c r="Y699">
        <f t="shared" si="166"/>
        <v>-84.074626326354988</v>
      </c>
      <c r="Z699">
        <f t="shared" si="167"/>
        <v>36090.490909588283</v>
      </c>
      <c r="AB699">
        <f t="shared" si="168"/>
        <v>885.089382</v>
      </c>
      <c r="AC699">
        <f t="shared" si="169"/>
        <v>5328.2380796399993</v>
      </c>
      <c r="AD699">
        <f t="shared" si="170"/>
        <v>-261.10136768999996</v>
      </c>
      <c r="AE699">
        <f t="shared" si="171"/>
        <v>10.395374791590001</v>
      </c>
      <c r="AF699">
        <f t="shared" si="172"/>
        <v>-271.49674248158999</v>
      </c>
      <c r="AG699">
        <f t="shared" si="178"/>
        <v>53010.88404693007</v>
      </c>
      <c r="AH699" t="b">
        <f t="shared" si="173"/>
        <v>1</v>
      </c>
    </row>
    <row r="700" spans="4:34" hidden="1" x14ac:dyDescent="0.4">
      <c r="D700" t="s">
        <v>55</v>
      </c>
      <c r="E700" t="s">
        <v>37</v>
      </c>
      <c r="F700" s="9">
        <v>45860.666666666664</v>
      </c>
      <c r="G700">
        <v>6.8399999999999996E-5</v>
      </c>
      <c r="H700" s="9">
        <v>45862.666666666664</v>
      </c>
      <c r="I700">
        <v>6.3139999999999995E-5</v>
      </c>
      <c r="J700" s="12">
        <v>88161197.859999999</v>
      </c>
      <c r="K700" s="12">
        <v>6030.23</v>
      </c>
      <c r="L700">
        <v>8.6999999999999993</v>
      </c>
      <c r="M700">
        <v>-472.43</v>
      </c>
      <c r="N700" s="13">
        <v>-7.8299999999999995E-2</v>
      </c>
      <c r="O700" t="s">
        <v>38</v>
      </c>
      <c r="Q700">
        <f t="shared" si="174"/>
        <v>-463.72790074360006</v>
      </c>
      <c r="R700">
        <f t="shared" si="175"/>
        <v>-472.42790074360005</v>
      </c>
      <c r="S700">
        <f t="shared" si="176"/>
        <v>5566.4980328803995</v>
      </c>
      <c r="U700">
        <f t="shared" si="163"/>
        <v>24122807.017544001</v>
      </c>
      <c r="V700">
        <f t="shared" si="177"/>
        <v>1650.0000000000095</v>
      </c>
      <c r="W700">
        <f t="shared" si="164"/>
        <v>-126.88596491228145</v>
      </c>
      <c r="X700">
        <f t="shared" si="165"/>
        <v>3.1731140350877372</v>
      </c>
      <c r="Y700">
        <f t="shared" si="166"/>
        <v>-130.05907894736919</v>
      </c>
      <c r="Z700">
        <f t="shared" si="167"/>
        <v>36174.56553591464</v>
      </c>
      <c r="AB700">
        <f t="shared" si="168"/>
        <v>78517118.382833004</v>
      </c>
      <c r="AC700">
        <f t="shared" si="169"/>
        <v>5370.5708973857772</v>
      </c>
      <c r="AD700">
        <f t="shared" si="170"/>
        <v>-413.00004269370163</v>
      </c>
      <c r="AE700">
        <f t="shared" si="171"/>
        <v>10.328141752077851</v>
      </c>
      <c r="AF700">
        <f t="shared" si="172"/>
        <v>-423.32818444577947</v>
      </c>
      <c r="AG700">
        <f t="shared" si="178"/>
        <v>53282.380789411662</v>
      </c>
      <c r="AH700" t="b">
        <f t="shared" si="173"/>
        <v>1</v>
      </c>
    </row>
    <row r="701" spans="4:34" hidden="1" x14ac:dyDescent="0.4">
      <c r="D701" t="s">
        <v>53</v>
      </c>
      <c r="E701" t="s">
        <v>37</v>
      </c>
      <c r="F701" s="9">
        <v>45860.666666666664</v>
      </c>
      <c r="G701">
        <v>764.51</v>
      </c>
      <c r="H701" s="9">
        <v>45862.666666666664</v>
      </c>
      <c r="I701">
        <v>776.8</v>
      </c>
      <c r="J701" s="12">
        <v>12.339</v>
      </c>
      <c r="K701" s="12">
        <v>9433.7999999999993</v>
      </c>
      <c r="L701">
        <v>14.26</v>
      </c>
      <c r="M701">
        <v>137.38</v>
      </c>
      <c r="N701" s="13">
        <v>1.46E-2</v>
      </c>
      <c r="O701" t="s">
        <v>38</v>
      </c>
      <c r="Q701">
        <f t="shared" si="174"/>
        <v>151.64630999999954</v>
      </c>
      <c r="R701">
        <f t="shared" si="175"/>
        <v>137.38630999999955</v>
      </c>
      <c r="S701">
        <f t="shared" si="176"/>
        <v>9584.9351999999999</v>
      </c>
      <c r="U701">
        <f t="shared" si="163"/>
        <v>2.158245</v>
      </c>
      <c r="V701">
        <f t="shared" si="177"/>
        <v>1649.99988495</v>
      </c>
      <c r="W701">
        <f t="shared" si="164"/>
        <v>26.524831049999921</v>
      </c>
      <c r="X701">
        <f t="shared" si="165"/>
        <v>3.32652460095</v>
      </c>
      <c r="Y701">
        <f t="shared" si="166"/>
        <v>23.198306449049923</v>
      </c>
      <c r="Z701">
        <f t="shared" si="167"/>
        <v>36304.624614862012</v>
      </c>
      <c r="AB701">
        <f t="shared" si="168"/>
        <v>7.0149910000000002</v>
      </c>
      <c r="AC701">
        <f t="shared" si="169"/>
        <v>5363.0307694100002</v>
      </c>
      <c r="AD701">
        <f t="shared" si="170"/>
        <v>86.214239389999747</v>
      </c>
      <c r="AE701">
        <f t="shared" si="171"/>
        <v>10.812275778209999</v>
      </c>
      <c r="AF701">
        <f t="shared" si="172"/>
        <v>75.401963611789753</v>
      </c>
      <c r="AG701">
        <f t="shared" si="178"/>
        <v>53705.708973857443</v>
      </c>
      <c r="AH701" t="b">
        <f t="shared" si="173"/>
        <v>1</v>
      </c>
    </row>
    <row r="702" spans="4:34" hidden="1" x14ac:dyDescent="0.4">
      <c r="D702" t="s">
        <v>59</v>
      </c>
      <c r="E702" t="s">
        <v>37</v>
      </c>
      <c r="F702" s="9">
        <v>45860.125</v>
      </c>
      <c r="G702" s="12">
        <v>117820.05</v>
      </c>
      <c r="H702" s="9">
        <v>45862.625</v>
      </c>
      <c r="I702" s="12">
        <v>118293.99</v>
      </c>
      <c r="J702">
        <v>8.9099999999999999E-2</v>
      </c>
      <c r="K702" s="12">
        <v>10497.91</v>
      </c>
      <c r="L702">
        <v>15.78</v>
      </c>
      <c r="M702">
        <v>26.45</v>
      </c>
      <c r="N702" s="13">
        <v>2.5000000000000001E-3</v>
      </c>
      <c r="O702" t="s">
        <v>57</v>
      </c>
      <c r="Q702">
        <f t="shared" si="174"/>
        <v>42.228054000000206</v>
      </c>
      <c r="R702">
        <f t="shared" si="175"/>
        <v>26.448054000000205</v>
      </c>
      <c r="S702">
        <f t="shared" si="176"/>
        <v>10539.994509</v>
      </c>
      <c r="U702">
        <f t="shared" si="163"/>
        <v>1.4004000000000001E-2</v>
      </c>
      <c r="V702">
        <f t="shared" si="177"/>
        <v>1649.9519802000002</v>
      </c>
      <c r="W702">
        <f t="shared" si="164"/>
        <v>6.6370557600000328</v>
      </c>
      <c r="X702">
        <f t="shared" si="165"/>
        <v>3.3065410161600006</v>
      </c>
      <c r="Y702">
        <f t="shared" si="166"/>
        <v>3.3305147438400322</v>
      </c>
      <c r="Z702">
        <f t="shared" si="167"/>
        <v>36281.426308412963</v>
      </c>
      <c r="AB702">
        <f t="shared" si="168"/>
        <v>4.5510000000000002E-2</v>
      </c>
      <c r="AC702">
        <f t="shared" si="169"/>
        <v>5361.9904755000007</v>
      </c>
      <c r="AD702">
        <f t="shared" si="170"/>
        <v>21.569009400000105</v>
      </c>
      <c r="AE702">
        <f t="shared" si="171"/>
        <v>10.745549960400002</v>
      </c>
      <c r="AF702">
        <f t="shared" si="172"/>
        <v>10.823459439600104</v>
      </c>
      <c r="AG702">
        <f t="shared" si="178"/>
        <v>53630.307010245655</v>
      </c>
      <c r="AH702" t="b">
        <f t="shared" si="173"/>
        <v>1</v>
      </c>
    </row>
    <row r="703" spans="4:34" hidden="1" x14ac:dyDescent="0.4">
      <c r="D703" t="s">
        <v>50</v>
      </c>
      <c r="E703" t="s">
        <v>37</v>
      </c>
      <c r="F703" s="9">
        <v>45860.5</v>
      </c>
      <c r="G703">
        <v>429.9</v>
      </c>
      <c r="H703" s="9">
        <v>45862.5</v>
      </c>
      <c r="I703">
        <v>416.7</v>
      </c>
      <c r="J703">
        <v>30.622299999999999</v>
      </c>
      <c r="K703" s="12">
        <v>13164.53</v>
      </c>
      <c r="L703">
        <v>19.440000000000001</v>
      </c>
      <c r="M703">
        <v>-423.66</v>
      </c>
      <c r="N703" s="13">
        <v>-3.2199999999999999E-2</v>
      </c>
      <c r="O703" t="s">
        <v>38</v>
      </c>
      <c r="Q703">
        <f t="shared" si="174"/>
        <v>-404.21435999999966</v>
      </c>
      <c r="R703">
        <f t="shared" si="175"/>
        <v>-423.65435999999966</v>
      </c>
      <c r="S703">
        <f t="shared" si="176"/>
        <v>12760.312409999999</v>
      </c>
      <c r="U703">
        <f t="shared" si="163"/>
        <v>3.8381020000000001</v>
      </c>
      <c r="V703">
        <f t="shared" si="177"/>
        <v>1650.0000497999999</v>
      </c>
      <c r="W703">
        <f t="shared" si="164"/>
        <v>-50.66294639999996</v>
      </c>
      <c r="X703">
        <f t="shared" si="165"/>
        <v>3.2493371531999999</v>
      </c>
      <c r="Y703">
        <f t="shared" si="166"/>
        <v>-53.912283553199963</v>
      </c>
      <c r="Z703">
        <f t="shared" si="167"/>
        <v>36278.095793669127</v>
      </c>
      <c r="AB703">
        <f t="shared" si="168"/>
        <v>12.513434</v>
      </c>
      <c r="AC703">
        <f t="shared" si="169"/>
        <v>5379.5252765999994</v>
      </c>
      <c r="AD703">
        <f t="shared" si="170"/>
        <v>-165.17732879999986</v>
      </c>
      <c r="AE703">
        <f t="shared" si="171"/>
        <v>10.593873224399999</v>
      </c>
      <c r="AF703">
        <f t="shared" si="172"/>
        <v>-175.77120202439986</v>
      </c>
      <c r="AG703">
        <f t="shared" si="178"/>
        <v>53619.483550806057</v>
      </c>
      <c r="AH703" t="b">
        <f t="shared" si="173"/>
        <v>1</v>
      </c>
    </row>
    <row r="704" spans="4:34" hidden="1" x14ac:dyDescent="0.4">
      <c r="D704" t="s">
        <v>61</v>
      </c>
      <c r="E704" t="s">
        <v>37</v>
      </c>
      <c r="F704" s="9">
        <v>45860</v>
      </c>
      <c r="G704">
        <v>0.88970000000000005</v>
      </c>
      <c r="H704" s="9">
        <v>45862</v>
      </c>
      <c r="I704">
        <v>0.81399999999999995</v>
      </c>
      <c r="J704" s="12">
        <v>9505.7000000000007</v>
      </c>
      <c r="K704" s="12">
        <v>8457.26</v>
      </c>
      <c r="L704">
        <v>12.15</v>
      </c>
      <c r="M704">
        <v>-731.73</v>
      </c>
      <c r="N704" s="13">
        <v>-8.6499999999999994E-2</v>
      </c>
      <c r="O704" t="s">
        <v>38</v>
      </c>
      <c r="Q704">
        <f t="shared" si="174"/>
        <v>-719.58149000000105</v>
      </c>
      <c r="R704">
        <f t="shared" si="175"/>
        <v>-731.73149000000103</v>
      </c>
      <c r="S704">
        <f t="shared" si="176"/>
        <v>7737.6397999999999</v>
      </c>
      <c r="U704">
        <f t="shared" si="163"/>
        <v>1854.557716</v>
      </c>
      <c r="V704">
        <f t="shared" si="177"/>
        <v>1649.9999999252002</v>
      </c>
      <c r="W704">
        <f t="shared" si="164"/>
        <v>-140.39001910120018</v>
      </c>
      <c r="X704">
        <f t="shared" si="165"/>
        <v>3.1596099807492002</v>
      </c>
      <c r="Y704">
        <f t="shared" si="166"/>
        <v>-143.54962908194938</v>
      </c>
      <c r="Z704">
        <f t="shared" si="167"/>
        <v>36332.00807722233</v>
      </c>
      <c r="AB704">
        <f t="shared" si="168"/>
        <v>6099.5144129999999</v>
      </c>
      <c r="AC704">
        <f t="shared" si="169"/>
        <v>5426.7379732461004</v>
      </c>
      <c r="AD704">
        <f t="shared" si="170"/>
        <v>-461.73324106410058</v>
      </c>
      <c r="AE704">
        <f t="shared" si="171"/>
        <v>10.391742705428101</v>
      </c>
      <c r="AF704">
        <f t="shared" si="172"/>
        <v>-472.12498376952868</v>
      </c>
      <c r="AG704">
        <f t="shared" si="178"/>
        <v>53795.254752830457</v>
      </c>
      <c r="AH704" t="b">
        <f t="shared" si="173"/>
        <v>1</v>
      </c>
    </row>
    <row r="705" spans="4:34" hidden="1" x14ac:dyDescent="0.4">
      <c r="D705" t="s">
        <v>54</v>
      </c>
      <c r="E705" t="s">
        <v>37</v>
      </c>
      <c r="F705" s="9">
        <v>45859.958333333336</v>
      </c>
      <c r="G705">
        <v>196.24</v>
      </c>
      <c r="H705" s="9">
        <v>45861.958333333336</v>
      </c>
      <c r="I705">
        <v>188.04</v>
      </c>
      <c r="J705">
        <v>24.991</v>
      </c>
      <c r="K705" s="12">
        <v>4904.38</v>
      </c>
      <c r="L705">
        <v>7.2</v>
      </c>
      <c r="M705">
        <v>-212.13</v>
      </c>
      <c r="N705" s="13">
        <v>-4.3299999999999998E-2</v>
      </c>
      <c r="O705" t="s">
        <v>38</v>
      </c>
      <c r="Q705">
        <f t="shared" si="174"/>
        <v>-204.92620000000042</v>
      </c>
      <c r="R705">
        <f t="shared" si="175"/>
        <v>-212.12620000000041</v>
      </c>
      <c r="S705">
        <f t="shared" si="176"/>
        <v>4699.30764</v>
      </c>
      <c r="U705">
        <f t="shared" si="163"/>
        <v>8.4080720000000007</v>
      </c>
      <c r="V705">
        <f t="shared" si="177"/>
        <v>1650.0000492800002</v>
      </c>
      <c r="W705">
        <f t="shared" si="164"/>
        <v>-68.946190400000148</v>
      </c>
      <c r="X705">
        <f t="shared" si="165"/>
        <v>3.2310539081599998</v>
      </c>
      <c r="Y705">
        <f t="shared" si="166"/>
        <v>-72.177244308160141</v>
      </c>
      <c r="Z705">
        <f t="shared" si="167"/>
        <v>36475.55770630428</v>
      </c>
      <c r="AB705">
        <f t="shared" si="168"/>
        <v>27.775075999999999</v>
      </c>
      <c r="AC705">
        <f t="shared" si="169"/>
        <v>5450.5809142400003</v>
      </c>
      <c r="AD705">
        <f t="shared" si="170"/>
        <v>-227.75562320000046</v>
      </c>
      <c r="AE705">
        <f t="shared" si="171"/>
        <v>10.673406205279997</v>
      </c>
      <c r="AF705">
        <f t="shared" si="172"/>
        <v>-238.42902940528046</v>
      </c>
      <c r="AG705">
        <f t="shared" si="178"/>
        <v>54267.379736599985</v>
      </c>
      <c r="AH705" t="b">
        <f t="shared" si="173"/>
        <v>1</v>
      </c>
    </row>
    <row r="706" spans="4:34" hidden="1" x14ac:dyDescent="0.4">
      <c r="D706" t="s">
        <v>58</v>
      </c>
      <c r="E706" t="s">
        <v>37</v>
      </c>
      <c r="F706" s="9">
        <v>45858.875</v>
      </c>
      <c r="G706">
        <v>19.45</v>
      </c>
      <c r="H706" s="9">
        <v>45860.875</v>
      </c>
      <c r="I706">
        <v>19.07</v>
      </c>
      <c r="J706">
        <v>377.53</v>
      </c>
      <c r="K706" s="12">
        <v>7343.04</v>
      </c>
      <c r="L706">
        <v>10.91</v>
      </c>
      <c r="M706">
        <v>-154.37</v>
      </c>
      <c r="N706" s="13">
        <v>-2.1000000000000001E-2</v>
      </c>
      <c r="O706" t="s">
        <v>38</v>
      </c>
      <c r="Q706">
        <f t="shared" si="174"/>
        <v>-143.46139999999963</v>
      </c>
      <c r="R706">
        <f t="shared" si="175"/>
        <v>-154.37139999999962</v>
      </c>
      <c r="S706">
        <f t="shared" si="176"/>
        <v>7199.4970999999996</v>
      </c>
      <c r="U706">
        <f t="shared" si="163"/>
        <v>84.832904999999997</v>
      </c>
      <c r="V706">
        <f t="shared" si="177"/>
        <v>1650.0000022499999</v>
      </c>
      <c r="W706">
        <f t="shared" si="164"/>
        <v>-32.236503899999917</v>
      </c>
      <c r="X706">
        <f t="shared" si="165"/>
        <v>3.2677635005999996</v>
      </c>
      <c r="Y706">
        <f t="shared" si="166"/>
        <v>-35.504267400599915</v>
      </c>
      <c r="Z706">
        <f t="shared" si="167"/>
        <v>36547.734950612437</v>
      </c>
      <c r="AB706">
        <f t="shared" si="168"/>
        <v>280.83982400000002</v>
      </c>
      <c r="AC706">
        <f t="shared" si="169"/>
        <v>5462.3345767999999</v>
      </c>
      <c r="AD706">
        <f t="shared" si="170"/>
        <v>-106.71913311999973</v>
      </c>
      <c r="AE706">
        <f t="shared" si="171"/>
        <v>10.81795002048</v>
      </c>
      <c r="AF706">
        <f t="shared" si="172"/>
        <v>-117.53708314047972</v>
      </c>
      <c r="AG706">
        <f t="shared" si="178"/>
        <v>54505.808766005262</v>
      </c>
      <c r="AH706" t="b">
        <f t="shared" si="173"/>
        <v>1</v>
      </c>
    </row>
    <row r="707" spans="4:34" hidden="1" x14ac:dyDescent="0.4">
      <c r="D707" t="s">
        <v>48</v>
      </c>
      <c r="E707" t="s">
        <v>37</v>
      </c>
      <c r="F707" s="9">
        <v>45858.708333333336</v>
      </c>
      <c r="G707">
        <v>0.154</v>
      </c>
      <c r="H707" s="9">
        <v>45860.708333333336</v>
      </c>
      <c r="I707">
        <v>0.15609999999999999</v>
      </c>
      <c r="J707" s="12">
        <v>20431.599999999999</v>
      </c>
      <c r="K707" s="12">
        <v>3146.48</v>
      </c>
      <c r="L707">
        <v>4.75</v>
      </c>
      <c r="M707">
        <v>38.15</v>
      </c>
      <c r="N707" s="13">
        <v>1.21E-2</v>
      </c>
      <c r="O707" t="s">
        <v>38</v>
      </c>
      <c r="Q707">
        <f t="shared" si="174"/>
        <v>42.906359999999808</v>
      </c>
      <c r="R707">
        <f t="shared" si="175"/>
        <v>38.156359999999808</v>
      </c>
      <c r="S707">
        <f t="shared" si="176"/>
        <v>3189.3727599999997</v>
      </c>
      <c r="U707">
        <f t="shared" si="163"/>
        <v>10714.285714</v>
      </c>
      <c r="V707">
        <f t="shared" si="177"/>
        <v>1649.999999956</v>
      </c>
      <c r="W707">
        <f t="shared" si="164"/>
        <v>22.4999999993999</v>
      </c>
      <c r="X707">
        <f t="shared" si="165"/>
        <v>3.3224999999114</v>
      </c>
      <c r="Y707">
        <f t="shared" si="166"/>
        <v>19.1774999994885</v>
      </c>
      <c r="Z707">
        <f t="shared" si="167"/>
        <v>36583.239218013034</v>
      </c>
      <c r="AB707">
        <f t="shared" si="168"/>
        <v>35428.527485999999</v>
      </c>
      <c r="AC707">
        <f t="shared" si="169"/>
        <v>5455.993232844</v>
      </c>
      <c r="AD707">
        <f t="shared" si="170"/>
        <v>74.399907720599671</v>
      </c>
      <c r="AE707">
        <f t="shared" si="171"/>
        <v>10.9863863734086</v>
      </c>
      <c r="AF707">
        <f t="shared" si="172"/>
        <v>63.413521347191072</v>
      </c>
      <c r="AG707">
        <f t="shared" si="178"/>
        <v>54623.345849145742</v>
      </c>
      <c r="AH707" t="b">
        <f t="shared" si="173"/>
        <v>1</v>
      </c>
    </row>
    <row r="708" spans="4:34" hidden="1" x14ac:dyDescent="0.4">
      <c r="D708" t="s">
        <v>53</v>
      </c>
      <c r="E708" t="s">
        <v>37</v>
      </c>
      <c r="F708" s="9">
        <v>45858.625</v>
      </c>
      <c r="G708">
        <v>749.65</v>
      </c>
      <c r="H708" s="9">
        <v>45860.625</v>
      </c>
      <c r="I708">
        <v>760.23</v>
      </c>
      <c r="J708">
        <v>12.568</v>
      </c>
      <c r="K708" s="12">
        <v>9421.93</v>
      </c>
      <c r="L708">
        <v>14.23</v>
      </c>
      <c r="M708">
        <v>118.74</v>
      </c>
      <c r="N708" s="13">
        <v>1.26E-2</v>
      </c>
      <c r="O708" t="s">
        <v>38</v>
      </c>
      <c r="Q708">
        <f t="shared" si="174"/>
        <v>132.9694400000005</v>
      </c>
      <c r="R708">
        <f t="shared" si="175"/>
        <v>118.7394400000005</v>
      </c>
      <c r="S708">
        <f t="shared" si="176"/>
        <v>9554.5706399999999</v>
      </c>
      <c r="U708">
        <f t="shared" si="163"/>
        <v>2.2010269999999998</v>
      </c>
      <c r="V708">
        <f t="shared" si="177"/>
        <v>1649.9998905499999</v>
      </c>
      <c r="W708">
        <f t="shared" si="164"/>
        <v>23.286865660000089</v>
      </c>
      <c r="X708">
        <f t="shared" si="165"/>
        <v>3.3232866467600002</v>
      </c>
      <c r="Y708">
        <f t="shared" si="166"/>
        <v>19.963579013240089</v>
      </c>
      <c r="Z708">
        <f t="shared" si="167"/>
        <v>36564.061718013545</v>
      </c>
      <c r="AB708">
        <f t="shared" si="168"/>
        <v>7.2692589999999999</v>
      </c>
      <c r="AC708">
        <f t="shared" si="169"/>
        <v>5449.4000093499999</v>
      </c>
      <c r="AD708">
        <f t="shared" si="170"/>
        <v>76.908760220000303</v>
      </c>
      <c r="AE708">
        <f t="shared" si="171"/>
        <v>10.975708778920001</v>
      </c>
      <c r="AF708">
        <f t="shared" si="172"/>
        <v>65.933051441080295</v>
      </c>
      <c r="AG708">
        <f t="shared" si="178"/>
        <v>54559.932327798553</v>
      </c>
      <c r="AH708" t="b">
        <f t="shared" si="173"/>
        <v>1</v>
      </c>
    </row>
    <row r="709" spans="4:34" hidden="1" x14ac:dyDescent="0.4">
      <c r="D709" t="s">
        <v>43</v>
      </c>
      <c r="E709" t="s">
        <v>37</v>
      </c>
      <c r="F709" s="9">
        <v>45858.541666666664</v>
      </c>
      <c r="G709">
        <v>3.9668000000000001</v>
      </c>
      <c r="H709" s="9">
        <v>45860.541666666664</v>
      </c>
      <c r="I709">
        <v>3.8961000000000001</v>
      </c>
      <c r="J709" s="12">
        <v>483.1</v>
      </c>
      <c r="K709" s="12">
        <v>1916.71</v>
      </c>
      <c r="L709">
        <v>2.85</v>
      </c>
      <c r="M709">
        <v>-37</v>
      </c>
      <c r="N709" s="13">
        <v>-1.9300000000000001E-2</v>
      </c>
      <c r="O709" t="s">
        <v>38</v>
      </c>
      <c r="Q709">
        <f t="shared" si="174"/>
        <v>-34.155169999999991</v>
      </c>
      <c r="R709">
        <f t="shared" si="175"/>
        <v>-37.005169999999993</v>
      </c>
      <c r="S709">
        <f t="shared" si="176"/>
        <v>1882.2059100000001</v>
      </c>
      <c r="U709">
        <f t="shared" si="163"/>
        <v>415.952405</v>
      </c>
      <c r="V709">
        <f t="shared" si="177"/>
        <v>1650.000000154</v>
      </c>
      <c r="W709">
        <f t="shared" si="164"/>
        <v>-29.407835033499993</v>
      </c>
      <c r="X709">
        <f t="shared" si="165"/>
        <v>3.2705921652745005</v>
      </c>
      <c r="Y709">
        <f t="shared" si="166"/>
        <v>-32.678427198774493</v>
      </c>
      <c r="Z709">
        <f t="shared" si="167"/>
        <v>36544.098139000307</v>
      </c>
      <c r="AB709">
        <f t="shared" si="168"/>
        <v>1376.478255</v>
      </c>
      <c r="AC709">
        <f t="shared" si="169"/>
        <v>5460.2139419340001</v>
      </c>
      <c r="AD709">
        <f t="shared" si="170"/>
        <v>-97.317012628499981</v>
      </c>
      <c r="AE709">
        <f t="shared" si="171"/>
        <v>10.823110871239502</v>
      </c>
      <c r="AF709">
        <f t="shared" si="172"/>
        <v>-108.14012349973949</v>
      </c>
      <c r="AG709">
        <f t="shared" si="178"/>
        <v>54493.99927635747</v>
      </c>
      <c r="AH709" t="b">
        <f t="shared" si="173"/>
        <v>1</v>
      </c>
    </row>
    <row r="710" spans="4:34" hidden="1" x14ac:dyDescent="0.4">
      <c r="D710" t="s">
        <v>50</v>
      </c>
      <c r="E710" t="s">
        <v>37</v>
      </c>
      <c r="F710" s="9">
        <v>45858.291666666664</v>
      </c>
      <c r="G710">
        <v>418.1</v>
      </c>
      <c r="H710" s="9">
        <v>45860.291666666664</v>
      </c>
      <c r="I710">
        <v>432.8</v>
      </c>
      <c r="J710" s="12">
        <v>31.381</v>
      </c>
      <c r="K710" s="12">
        <v>13120.4</v>
      </c>
      <c r="L710">
        <v>20.03</v>
      </c>
      <c r="M710">
        <v>441.27</v>
      </c>
      <c r="N710" s="13">
        <v>3.3599999999999998E-2</v>
      </c>
      <c r="O710" t="s">
        <v>38</v>
      </c>
      <c r="Q710">
        <f t="shared" si="174"/>
        <v>461.30069999999967</v>
      </c>
      <c r="R710">
        <f t="shared" si="175"/>
        <v>441.27069999999969</v>
      </c>
      <c r="S710">
        <f t="shared" si="176"/>
        <v>13581.6968</v>
      </c>
      <c r="U710">
        <f t="shared" si="163"/>
        <v>3.9464239999999999</v>
      </c>
      <c r="V710">
        <f t="shared" si="177"/>
        <v>1649.9998744</v>
      </c>
      <c r="W710">
        <f t="shared" si="164"/>
        <v>58.012432799999957</v>
      </c>
      <c r="X710">
        <f t="shared" si="165"/>
        <v>3.3580121816000004</v>
      </c>
      <c r="Y710">
        <f t="shared" si="166"/>
        <v>54.654420618399953</v>
      </c>
      <c r="Z710">
        <f t="shared" si="167"/>
        <v>36576.776566199085</v>
      </c>
      <c r="AB710">
        <f t="shared" si="168"/>
        <v>13.016473</v>
      </c>
      <c r="AC710">
        <f t="shared" si="169"/>
        <v>5442.1873612999998</v>
      </c>
      <c r="AD710">
        <f t="shared" si="170"/>
        <v>191.34215309999985</v>
      </c>
      <c r="AE710">
        <f t="shared" si="171"/>
        <v>11.075716875700001</v>
      </c>
      <c r="AF710">
        <f t="shared" si="172"/>
        <v>180.26643622429984</v>
      </c>
      <c r="AG710">
        <f t="shared" si="178"/>
        <v>54602.139399857209</v>
      </c>
      <c r="AH710" t="b">
        <f t="shared" si="173"/>
        <v>1</v>
      </c>
    </row>
    <row r="711" spans="4:34" hidden="1" x14ac:dyDescent="0.4">
      <c r="D711" t="s">
        <v>56</v>
      </c>
      <c r="E711" t="s">
        <v>37</v>
      </c>
      <c r="F711" s="9">
        <v>45860</v>
      </c>
      <c r="G711" s="12">
        <v>3762.9</v>
      </c>
      <c r="H711" s="9">
        <v>45860.25</v>
      </c>
      <c r="I711" s="12">
        <v>3674.19</v>
      </c>
      <c r="J711">
        <v>1.4996</v>
      </c>
      <c r="K711" s="12">
        <v>5643.02</v>
      </c>
      <c r="L711">
        <v>8.36</v>
      </c>
      <c r="M711">
        <v>-141.38999999999999</v>
      </c>
      <c r="N711" s="13">
        <v>-2.5100000000000001E-2</v>
      </c>
      <c r="O711" t="s">
        <v>49</v>
      </c>
      <c r="Q711">
        <f t="shared" si="174"/>
        <v>-133.02951600000006</v>
      </c>
      <c r="R711">
        <f t="shared" si="175"/>
        <v>-141.38951600000007</v>
      </c>
      <c r="S711">
        <f t="shared" si="176"/>
        <v>5509.8153240000001</v>
      </c>
      <c r="U711">
        <f t="shared" si="163"/>
        <v>0.43849199999999999</v>
      </c>
      <c r="V711">
        <f t="shared" si="177"/>
        <v>1650.0015467999999</v>
      </c>
      <c r="W711">
        <f t="shared" si="164"/>
        <v>-38.898625320000015</v>
      </c>
      <c r="X711">
        <f t="shared" si="165"/>
        <v>3.2611044682800001</v>
      </c>
      <c r="Y711">
        <f t="shared" si="166"/>
        <v>-42.159729788280018</v>
      </c>
      <c r="Z711">
        <f t="shared" si="167"/>
        <v>36522.122145580688</v>
      </c>
      <c r="AB711">
        <f t="shared" si="168"/>
        <v>1.44998</v>
      </c>
      <c r="AC711">
        <f t="shared" si="169"/>
        <v>5456.1297420000001</v>
      </c>
      <c r="AD711">
        <f t="shared" si="170"/>
        <v>-128.62772580000006</v>
      </c>
      <c r="AE711">
        <f t="shared" si="171"/>
        <v>10.7836317582</v>
      </c>
      <c r="AF711">
        <f t="shared" si="172"/>
        <v>-139.41135755820005</v>
      </c>
      <c r="AG711">
        <f t="shared" si="178"/>
        <v>54421.872963632908</v>
      </c>
      <c r="AH711" t="b">
        <f t="shared" si="173"/>
        <v>1</v>
      </c>
    </row>
    <row r="712" spans="4:34" hidden="1" x14ac:dyDescent="0.4">
      <c r="D712" t="s">
        <v>60</v>
      </c>
      <c r="E712" t="s">
        <v>37</v>
      </c>
      <c r="F712" s="9">
        <v>45857.708333333336</v>
      </c>
      <c r="G712">
        <v>3.4117999999999999</v>
      </c>
      <c r="H712" s="9">
        <v>45860.208333333336</v>
      </c>
      <c r="I712">
        <v>3.5022000000000002</v>
      </c>
      <c r="J712">
        <v>670.3</v>
      </c>
      <c r="K712" s="12">
        <v>2287.09</v>
      </c>
      <c r="L712">
        <v>3.48</v>
      </c>
      <c r="M712">
        <v>57.12</v>
      </c>
      <c r="N712" s="13">
        <v>2.5000000000000001E-2</v>
      </c>
      <c r="O712" t="s">
        <v>57</v>
      </c>
      <c r="Q712">
        <f t="shared" si="174"/>
        <v>60.595120000000172</v>
      </c>
      <c r="R712">
        <f t="shared" si="175"/>
        <v>57.115120000000175</v>
      </c>
      <c r="S712">
        <f t="shared" si="176"/>
        <v>2347.52466</v>
      </c>
      <c r="U712">
        <f t="shared" si="163"/>
        <v>483.61568699999998</v>
      </c>
      <c r="V712">
        <f t="shared" si="177"/>
        <v>1650.0000009066</v>
      </c>
      <c r="W712">
        <f t="shared" si="164"/>
        <v>43.71885810480012</v>
      </c>
      <c r="X712">
        <f t="shared" si="165"/>
        <v>3.3437188599179999</v>
      </c>
      <c r="Y712">
        <f t="shared" si="166"/>
        <v>40.375139244882121</v>
      </c>
      <c r="Z712">
        <f t="shared" si="167"/>
        <v>36564.281875368972</v>
      </c>
      <c r="AB712">
        <f t="shared" si="168"/>
        <v>1595.2898749999999</v>
      </c>
      <c r="AC712">
        <f t="shared" si="169"/>
        <v>5442.809995525</v>
      </c>
      <c r="AD712">
        <f t="shared" si="170"/>
        <v>144.21420470000041</v>
      </c>
      <c r="AE712">
        <f t="shared" si="171"/>
        <v>11.02983419575</v>
      </c>
      <c r="AF712">
        <f t="shared" si="172"/>
        <v>133.18437050425041</v>
      </c>
      <c r="AG712">
        <f t="shared" si="178"/>
        <v>54561.284321191109</v>
      </c>
      <c r="AH712" t="b">
        <f t="shared" si="173"/>
        <v>1</v>
      </c>
    </row>
    <row r="713" spans="4:34" hidden="1" x14ac:dyDescent="0.4">
      <c r="D713" t="s">
        <v>52</v>
      </c>
      <c r="E713" t="s">
        <v>37</v>
      </c>
      <c r="F713" s="9">
        <v>45858.041666666664</v>
      </c>
      <c r="G713">
        <v>5.8109999999999999</v>
      </c>
      <c r="H713" s="9">
        <v>45860.041666666664</v>
      </c>
      <c r="I713">
        <v>6.1479999999999997</v>
      </c>
      <c r="J713">
        <v>409.76</v>
      </c>
      <c r="K713" s="12">
        <v>2381.16</v>
      </c>
      <c r="L713">
        <v>3.68</v>
      </c>
      <c r="M713">
        <v>134.41</v>
      </c>
      <c r="N713" s="13">
        <v>5.6399999999999999E-2</v>
      </c>
      <c r="O713" t="s">
        <v>38</v>
      </c>
      <c r="Q713">
        <f t="shared" si="174"/>
        <v>138.08911999999989</v>
      </c>
      <c r="R713">
        <f t="shared" si="175"/>
        <v>134.40911999999989</v>
      </c>
      <c r="S713">
        <f t="shared" si="176"/>
        <v>2519.2044799999999</v>
      </c>
      <c r="U713">
        <f t="shared" si="163"/>
        <v>283.94424400000003</v>
      </c>
      <c r="V713">
        <f t="shared" si="177"/>
        <v>1650.0000018840001</v>
      </c>
      <c r="W713">
        <f t="shared" si="164"/>
        <v>95.689210227999936</v>
      </c>
      <c r="X713">
        <f t="shared" si="165"/>
        <v>3.395689213996</v>
      </c>
      <c r="Y713">
        <f t="shared" si="166"/>
        <v>92.293521014003943</v>
      </c>
      <c r="Z713">
        <f t="shared" si="167"/>
        <v>36523.906736124089</v>
      </c>
      <c r="AB713">
        <f t="shared" si="168"/>
        <v>931.42913899999996</v>
      </c>
      <c r="AC713">
        <f t="shared" si="169"/>
        <v>5412.5347267289999</v>
      </c>
      <c r="AD713">
        <f t="shared" si="170"/>
        <v>313.89161984299977</v>
      </c>
      <c r="AE713">
        <f t="shared" si="171"/>
        <v>11.138961073300999</v>
      </c>
      <c r="AF713">
        <f t="shared" si="172"/>
        <v>302.75265876969877</v>
      </c>
      <c r="AG713">
        <f t="shared" si="178"/>
        <v>54428.099950686861</v>
      </c>
      <c r="AH713" t="b">
        <f t="shared" si="173"/>
        <v>1</v>
      </c>
    </row>
    <row r="714" spans="4:34" hidden="1" x14ac:dyDescent="0.4">
      <c r="D714" t="s">
        <v>55</v>
      </c>
      <c r="E714" t="s">
        <v>37</v>
      </c>
      <c r="F714" s="9">
        <v>45858.041666666664</v>
      </c>
      <c r="G714">
        <v>6.6669999999999997E-5</v>
      </c>
      <c r="H714" s="9">
        <v>45860.041666666664</v>
      </c>
      <c r="I714">
        <v>7.0179999999999996E-5</v>
      </c>
      <c r="J714" s="12">
        <v>89988952.090000004</v>
      </c>
      <c r="K714" s="12">
        <v>5999.56</v>
      </c>
      <c r="L714">
        <v>9.24</v>
      </c>
      <c r="M714">
        <v>306.62</v>
      </c>
      <c r="N714" s="13">
        <v>5.11E-2</v>
      </c>
      <c r="O714" t="s">
        <v>38</v>
      </c>
      <c r="Q714">
        <f t="shared" si="174"/>
        <v>315.86122183589987</v>
      </c>
      <c r="R714">
        <f t="shared" si="175"/>
        <v>306.62122183589986</v>
      </c>
      <c r="S714">
        <f t="shared" si="176"/>
        <v>6315.4246576761998</v>
      </c>
      <c r="U714">
        <f t="shared" si="163"/>
        <v>24748762.561872002</v>
      </c>
      <c r="V714">
        <f t="shared" si="177"/>
        <v>1650.0000000000064</v>
      </c>
      <c r="W714">
        <f t="shared" si="164"/>
        <v>86.868156592170692</v>
      </c>
      <c r="X714">
        <f t="shared" si="165"/>
        <v>3.386868156592183</v>
      </c>
      <c r="Y714">
        <f t="shared" si="166"/>
        <v>83.481288435578506</v>
      </c>
      <c r="Z714">
        <f t="shared" si="167"/>
        <v>36431.613215110083</v>
      </c>
      <c r="AB714">
        <f t="shared" si="168"/>
        <v>80775281.462803006</v>
      </c>
      <c r="AC714">
        <f t="shared" si="169"/>
        <v>5385.2880151250765</v>
      </c>
      <c r="AD714">
        <f t="shared" si="170"/>
        <v>283.52123793443843</v>
      </c>
      <c r="AE714">
        <f t="shared" si="171"/>
        <v>11.05409726818459</v>
      </c>
      <c r="AF714">
        <f t="shared" si="172"/>
        <v>272.46714066625384</v>
      </c>
      <c r="AG714">
        <f t="shared" si="178"/>
        <v>54125.347291917162</v>
      </c>
      <c r="AH714" t="b">
        <f t="shared" si="173"/>
        <v>1</v>
      </c>
    </row>
    <row r="715" spans="4:34" hidden="1" x14ac:dyDescent="0.4">
      <c r="D715" t="s">
        <v>54</v>
      </c>
      <c r="E715" t="s">
        <v>37</v>
      </c>
      <c r="F715" s="9">
        <v>45857.833333333336</v>
      </c>
      <c r="G715">
        <v>176.89</v>
      </c>
      <c r="H715" s="9">
        <v>45859.833333333336</v>
      </c>
      <c r="I715">
        <v>193.9</v>
      </c>
      <c r="J715" s="12">
        <v>27.465</v>
      </c>
      <c r="K715" s="12">
        <v>4858.42</v>
      </c>
      <c r="L715">
        <v>7.64</v>
      </c>
      <c r="M715">
        <v>459.54</v>
      </c>
      <c r="N715" s="13">
        <v>9.4600000000000004E-2</v>
      </c>
      <c r="O715" t="s">
        <v>38</v>
      </c>
      <c r="Q715">
        <f t="shared" si="174"/>
        <v>467.17965000000055</v>
      </c>
      <c r="R715">
        <f t="shared" si="175"/>
        <v>459.53965000000056</v>
      </c>
      <c r="S715">
        <f t="shared" si="176"/>
        <v>5325.4634999999998</v>
      </c>
      <c r="U715">
        <f t="shared" si="163"/>
        <v>9.3278309999999998</v>
      </c>
      <c r="V715">
        <f t="shared" si="177"/>
        <v>1650.0000255899997</v>
      </c>
      <c r="W715">
        <f t="shared" si="164"/>
        <v>158.66640531000019</v>
      </c>
      <c r="X715">
        <f t="shared" si="165"/>
        <v>3.4586664564899996</v>
      </c>
      <c r="Y715">
        <f t="shared" si="166"/>
        <v>155.20773885351019</v>
      </c>
      <c r="Z715">
        <f t="shared" si="167"/>
        <v>36348.131926674505</v>
      </c>
      <c r="AB715">
        <f t="shared" si="168"/>
        <v>30.16057</v>
      </c>
      <c r="AC715">
        <f t="shared" si="169"/>
        <v>5335.1032272999992</v>
      </c>
      <c r="AD715">
        <f t="shared" si="170"/>
        <v>513.03129570000056</v>
      </c>
      <c r="AE715">
        <f t="shared" si="171"/>
        <v>11.183237750299998</v>
      </c>
      <c r="AF715">
        <f t="shared" si="172"/>
        <v>501.84805794970055</v>
      </c>
      <c r="AG715">
        <f t="shared" si="178"/>
        <v>53852.880151250909</v>
      </c>
      <c r="AH715" t="b">
        <f t="shared" si="173"/>
        <v>1</v>
      </c>
    </row>
    <row r="716" spans="4:34" hidden="1" x14ac:dyDescent="0.4">
      <c r="D716" t="s">
        <v>61</v>
      </c>
      <c r="E716" t="s">
        <v>37</v>
      </c>
      <c r="F716" s="9">
        <v>45857.833333333336</v>
      </c>
      <c r="G716">
        <v>0.82389999999999997</v>
      </c>
      <c r="H716" s="9">
        <v>45859.833333333336</v>
      </c>
      <c r="I716">
        <v>0.88480000000000003</v>
      </c>
      <c r="J716" s="12">
        <v>10191.1</v>
      </c>
      <c r="K716" s="12">
        <v>8396.5</v>
      </c>
      <c r="L716">
        <v>13.06</v>
      </c>
      <c r="M716">
        <v>607.58000000000004</v>
      </c>
      <c r="N716" s="13">
        <v>7.2400000000000006E-2</v>
      </c>
      <c r="O716" t="s">
        <v>38</v>
      </c>
      <c r="Q716">
        <f t="shared" si="174"/>
        <v>620.63799000000074</v>
      </c>
      <c r="R716">
        <f t="shared" si="175"/>
        <v>607.5779900000008</v>
      </c>
      <c r="S716">
        <f t="shared" si="176"/>
        <v>9017.0852800000011</v>
      </c>
      <c r="U716">
        <f t="shared" si="163"/>
        <v>2002.6702270000001</v>
      </c>
      <c r="V716">
        <f t="shared" si="177"/>
        <v>1650.0000000253001</v>
      </c>
      <c r="W716">
        <f t="shared" si="164"/>
        <v>121.96261682430014</v>
      </c>
      <c r="X716">
        <f t="shared" si="165"/>
        <v>3.4219626168748998</v>
      </c>
      <c r="Y716">
        <f t="shared" si="166"/>
        <v>118.54065420742525</v>
      </c>
      <c r="Z716">
        <f t="shared" si="167"/>
        <v>36192.924187820994</v>
      </c>
      <c r="AB716">
        <f t="shared" si="168"/>
        <v>6429.2362229999999</v>
      </c>
      <c r="AC716">
        <f t="shared" si="169"/>
        <v>5297.0477241296994</v>
      </c>
      <c r="AD716">
        <f t="shared" si="170"/>
        <v>391.5404859807004</v>
      </c>
      <c r="AE716">
        <f t="shared" si="171"/>
        <v>10.985635934240099</v>
      </c>
      <c r="AF716">
        <f t="shared" si="172"/>
        <v>380.55485004646027</v>
      </c>
      <c r="AG716">
        <f t="shared" si="178"/>
        <v>53351.032093301212</v>
      </c>
      <c r="AH716" t="b">
        <f t="shared" si="173"/>
        <v>1</v>
      </c>
    </row>
    <row r="717" spans="4:34" hidden="1" x14ac:dyDescent="0.4">
      <c r="D717" t="s">
        <v>56</v>
      </c>
      <c r="E717" t="s">
        <v>37</v>
      </c>
      <c r="F717" s="9">
        <v>45857.125</v>
      </c>
      <c r="G717" s="12">
        <v>3548.28</v>
      </c>
      <c r="H717" s="9">
        <v>45859.625</v>
      </c>
      <c r="I717" s="12">
        <v>3821</v>
      </c>
      <c r="J717">
        <v>1.5784</v>
      </c>
      <c r="K717" s="12">
        <v>5600.85</v>
      </c>
      <c r="L717">
        <v>8.7200000000000006</v>
      </c>
      <c r="M717">
        <v>421.74</v>
      </c>
      <c r="N717" s="13">
        <v>7.5300000000000006E-2</v>
      </c>
      <c r="O717" t="s">
        <v>57</v>
      </c>
      <c r="Q717">
        <f t="shared" si="174"/>
        <v>430.46124799999967</v>
      </c>
      <c r="R717">
        <f t="shared" si="175"/>
        <v>421.74124799999964</v>
      </c>
      <c r="S717">
        <f t="shared" si="176"/>
        <v>6031.0663999999997</v>
      </c>
      <c r="U717">
        <f t="shared" ref="U717:U780" si="179">ROUND(($Q$2)/G717,6)</f>
        <v>0.46501399999999998</v>
      </c>
      <c r="V717">
        <f t="shared" si="177"/>
        <v>1649.99987592</v>
      </c>
      <c r="W717">
        <f t="shared" ref="W717:W780" si="180">U717*(I717-G717)</f>
        <v>126.81861807999991</v>
      </c>
      <c r="X717">
        <f t="shared" ref="X717:X780" si="181">(G717+I717)*$R$2*U717</f>
        <v>3.4268183699200003</v>
      </c>
      <c r="Y717">
        <f t="shared" ref="Y717:Y780" si="182">W717-X717</f>
        <v>123.39179971007991</v>
      </c>
      <c r="Z717">
        <f t="shared" ref="Z717:Z780" si="183">Z718+Y717</f>
        <v>36074.383533613567</v>
      </c>
      <c r="AB717">
        <f t="shared" ref="AB717:AB780" si="184">ROUND(((AH717*AG718 +(1-AH717)*AI717)/$P$2)/G717,6)</f>
        <v>1.481768</v>
      </c>
      <c r="AC717">
        <f t="shared" ref="AC717:AC780" si="185">AB717*G717</f>
        <v>5257.7277590399999</v>
      </c>
      <c r="AD717">
        <f t="shared" ref="AD717:AD780" si="186">AB717*(I717-G717)</f>
        <v>404.1077689599997</v>
      </c>
      <c r="AE717">
        <f t="shared" ref="AE717:AE780" si="187">(G717+I717)*$R$2*AB717</f>
        <v>10.919563287040001</v>
      </c>
      <c r="AF717">
        <f t="shared" ref="AF717:AF780" si="188">AD717-AE717</f>
        <v>393.18820567295973</v>
      </c>
      <c r="AG717">
        <f t="shared" si="178"/>
        <v>52970.477243254754</v>
      </c>
      <c r="AH717" t="b">
        <f t="shared" ref="AH717:AH780" si="189">ISBLANK(AI717)</f>
        <v>1</v>
      </c>
    </row>
    <row r="718" spans="4:34" hidden="1" x14ac:dyDescent="0.4">
      <c r="D718" t="s">
        <v>58</v>
      </c>
      <c r="E718" t="s">
        <v>37</v>
      </c>
      <c r="F718" s="9">
        <v>45856.583333333336</v>
      </c>
      <c r="G718">
        <v>18.600000000000001</v>
      </c>
      <c r="H718" s="9">
        <v>45858.583333333336</v>
      </c>
      <c r="I718">
        <v>19.3</v>
      </c>
      <c r="J718">
        <v>393.36</v>
      </c>
      <c r="K718" s="12">
        <v>7316.62</v>
      </c>
      <c r="L718">
        <v>11.18</v>
      </c>
      <c r="M718">
        <v>264.17</v>
      </c>
      <c r="N718" s="13">
        <v>3.61E-2</v>
      </c>
      <c r="O718" t="s">
        <v>38</v>
      </c>
      <c r="Q718">
        <f t="shared" ref="Q718:Q781" si="190">(I718-G718)*J718</f>
        <v>275.35199999999975</v>
      </c>
      <c r="R718">
        <f t="shared" ref="R718:R781" si="191">Q718-L718</f>
        <v>264.17199999999974</v>
      </c>
      <c r="S718">
        <f t="shared" ref="S718:S781" si="192">I718*J718</f>
        <v>7591.8480000000009</v>
      </c>
      <c r="U718">
        <f t="shared" si="179"/>
        <v>88.709676999999999</v>
      </c>
      <c r="V718">
        <f t="shared" ref="V718:V781" si="193">U718*G718</f>
        <v>1649.9999922000002</v>
      </c>
      <c r="W718">
        <f t="shared" si="180"/>
        <v>62.096773899999938</v>
      </c>
      <c r="X718">
        <f t="shared" si="181"/>
        <v>3.3620967583000003</v>
      </c>
      <c r="Y718">
        <f t="shared" si="182"/>
        <v>58.73467714169994</v>
      </c>
      <c r="Z718">
        <f t="shared" si="183"/>
        <v>35950.991733903487</v>
      </c>
      <c r="AB718">
        <f t="shared" si="184"/>
        <v>281.67093899999998</v>
      </c>
      <c r="AC718">
        <f t="shared" si="185"/>
        <v>5239.0794654000001</v>
      </c>
      <c r="AD718">
        <f t="shared" si="186"/>
        <v>197.16965729999978</v>
      </c>
      <c r="AE718">
        <f t="shared" si="187"/>
        <v>10.675328588099999</v>
      </c>
      <c r="AF718">
        <f t="shared" si="188"/>
        <v>186.49432871189978</v>
      </c>
      <c r="AG718">
        <f t="shared" si="178"/>
        <v>52577.289037581795</v>
      </c>
      <c r="AH718" t="b">
        <f t="shared" si="189"/>
        <v>1</v>
      </c>
    </row>
    <row r="719" spans="4:34" hidden="1" x14ac:dyDescent="0.4">
      <c r="D719" t="s">
        <v>53</v>
      </c>
      <c r="E719" t="s">
        <v>37</v>
      </c>
      <c r="F719" s="9">
        <v>45856.583333333336</v>
      </c>
      <c r="G719">
        <v>750.14</v>
      </c>
      <c r="H719" s="9">
        <v>45858.583333333336</v>
      </c>
      <c r="I719">
        <v>747.81</v>
      </c>
      <c r="J719">
        <v>12.566000000000001</v>
      </c>
      <c r="K719" s="12">
        <v>9426.27</v>
      </c>
      <c r="L719">
        <v>14.12</v>
      </c>
      <c r="M719">
        <v>-43.4</v>
      </c>
      <c r="N719" s="13">
        <v>-4.5999999999999999E-3</v>
      </c>
      <c r="O719" t="s">
        <v>38</v>
      </c>
      <c r="Q719">
        <f t="shared" si="190"/>
        <v>-29.278780000000516</v>
      </c>
      <c r="R719">
        <f t="shared" si="191"/>
        <v>-43.398780000000514</v>
      </c>
      <c r="S719">
        <f t="shared" si="192"/>
        <v>9396.9804600000007</v>
      </c>
      <c r="U719">
        <f t="shared" si="179"/>
        <v>2.199589</v>
      </c>
      <c r="V719">
        <f t="shared" si="193"/>
        <v>1649.99969246</v>
      </c>
      <c r="W719">
        <f t="shared" si="180"/>
        <v>-5.1250423700000898</v>
      </c>
      <c r="X719">
        <f t="shared" si="181"/>
        <v>3.29487434255</v>
      </c>
      <c r="Y719">
        <f t="shared" si="182"/>
        <v>-8.4199167125500907</v>
      </c>
      <c r="Z719">
        <f t="shared" si="183"/>
        <v>35892.257056761788</v>
      </c>
      <c r="AB719">
        <f t="shared" si="184"/>
        <v>6.9877010000000004</v>
      </c>
      <c r="AC719">
        <f t="shared" si="185"/>
        <v>5241.7540281400006</v>
      </c>
      <c r="AD719">
        <f t="shared" si="186"/>
        <v>-16.281343330000286</v>
      </c>
      <c r="AE719">
        <f t="shared" si="187"/>
        <v>10.46722671295</v>
      </c>
      <c r="AF719">
        <f t="shared" si="188"/>
        <v>-26.748570042950284</v>
      </c>
      <c r="AG719">
        <f t="shared" si="178"/>
        <v>52390.794708869893</v>
      </c>
      <c r="AH719" t="b">
        <f t="shared" si="189"/>
        <v>1</v>
      </c>
    </row>
    <row r="720" spans="4:34" hidden="1" x14ac:dyDescent="0.4">
      <c r="D720" t="s">
        <v>48</v>
      </c>
      <c r="E720" t="s">
        <v>37</v>
      </c>
      <c r="F720" s="9">
        <v>45856.5</v>
      </c>
      <c r="G720">
        <v>0.15260000000000001</v>
      </c>
      <c r="H720" s="9">
        <v>45858.5</v>
      </c>
      <c r="I720">
        <v>0.1507</v>
      </c>
      <c r="J720" s="12">
        <v>20647.8</v>
      </c>
      <c r="K720" s="12">
        <v>3150.87</v>
      </c>
      <c r="L720">
        <v>4.7</v>
      </c>
      <c r="M720">
        <v>-43.93</v>
      </c>
      <c r="N720" s="13">
        <v>-1.3899999999999999E-2</v>
      </c>
      <c r="O720" t="s">
        <v>38</v>
      </c>
      <c r="Q720">
        <f t="shared" si="190"/>
        <v>-39.230820000000264</v>
      </c>
      <c r="R720">
        <f t="shared" si="191"/>
        <v>-43.930820000000267</v>
      </c>
      <c r="S720">
        <f t="shared" si="192"/>
        <v>3111.6234599999998</v>
      </c>
      <c r="U720">
        <f t="shared" si="179"/>
        <v>10812.581913</v>
      </c>
      <c r="V720">
        <f t="shared" si="193"/>
        <v>1649.9999999238</v>
      </c>
      <c r="W720">
        <f t="shared" si="180"/>
        <v>-20.543905634700138</v>
      </c>
      <c r="X720">
        <f t="shared" si="181"/>
        <v>3.2794560942128999</v>
      </c>
      <c r="Y720">
        <f t="shared" si="182"/>
        <v>-23.823361728913039</v>
      </c>
      <c r="Z720">
        <f t="shared" si="183"/>
        <v>35900.676973474336</v>
      </c>
      <c r="AB720">
        <f t="shared" si="184"/>
        <v>34399.302267999999</v>
      </c>
      <c r="AC720">
        <f t="shared" si="185"/>
        <v>5249.3335260968006</v>
      </c>
      <c r="AD720">
        <f t="shared" si="186"/>
        <v>-65.358674309200438</v>
      </c>
      <c r="AE720">
        <f t="shared" si="187"/>
        <v>10.4333083778844</v>
      </c>
      <c r="AF720">
        <f t="shared" si="188"/>
        <v>-75.79198268708484</v>
      </c>
      <c r="AG720">
        <f t="shared" si="178"/>
        <v>52417.543278912846</v>
      </c>
      <c r="AH720" t="b">
        <f t="shared" si="189"/>
        <v>1</v>
      </c>
    </row>
    <row r="721" spans="4:34" hidden="1" x14ac:dyDescent="0.4">
      <c r="D721" t="s">
        <v>59</v>
      </c>
      <c r="E721" t="s">
        <v>37</v>
      </c>
      <c r="F721" s="9">
        <v>45855.625</v>
      </c>
      <c r="G721" s="12">
        <v>118331.99</v>
      </c>
      <c r="H721" s="9">
        <v>45858.125</v>
      </c>
      <c r="I721" s="12">
        <v>118010</v>
      </c>
      <c r="J721">
        <v>8.8749999999999996E-2</v>
      </c>
      <c r="K721" s="12">
        <v>10502.34</v>
      </c>
      <c r="L721">
        <v>15.73</v>
      </c>
      <c r="M721">
        <v>-44.31</v>
      </c>
      <c r="N721" s="13">
        <v>-4.1999999999999997E-3</v>
      </c>
      <c r="O721" t="s">
        <v>57</v>
      </c>
      <c r="Q721">
        <f t="shared" si="190"/>
        <v>-28.576612500000465</v>
      </c>
      <c r="R721">
        <f t="shared" si="191"/>
        <v>-44.306612500000469</v>
      </c>
      <c r="S721">
        <f t="shared" si="192"/>
        <v>10473.387499999999</v>
      </c>
      <c r="U721">
        <f t="shared" si="179"/>
        <v>1.3944E-2</v>
      </c>
      <c r="V721">
        <f t="shared" si="193"/>
        <v>1650.02126856</v>
      </c>
      <c r="W721">
        <f t="shared" si="180"/>
        <v>-4.4898285600000731</v>
      </c>
      <c r="X721">
        <f t="shared" si="181"/>
        <v>3.2955527085600003</v>
      </c>
      <c r="Y721">
        <f t="shared" si="182"/>
        <v>-7.785381268560073</v>
      </c>
      <c r="Z721">
        <f t="shared" si="183"/>
        <v>35924.500335203251</v>
      </c>
      <c r="AB721">
        <f t="shared" si="184"/>
        <v>4.4381999999999998E-2</v>
      </c>
      <c r="AC721">
        <f t="shared" si="185"/>
        <v>5251.8103801799998</v>
      </c>
      <c r="AD721">
        <f t="shared" si="186"/>
        <v>-14.290560180000233</v>
      </c>
      <c r="AE721">
        <f t="shared" si="187"/>
        <v>10.48933020018</v>
      </c>
      <c r="AF721">
        <f t="shared" si="188"/>
        <v>-24.779890380180234</v>
      </c>
      <c r="AG721">
        <f t="shared" si="178"/>
        <v>52493.335261599932</v>
      </c>
      <c r="AH721" t="b">
        <f t="shared" si="189"/>
        <v>1</v>
      </c>
    </row>
    <row r="722" spans="4:34" hidden="1" x14ac:dyDescent="0.4">
      <c r="D722" t="s">
        <v>52</v>
      </c>
      <c r="E722" t="s">
        <v>37</v>
      </c>
      <c r="F722" s="9">
        <v>45855.791666666664</v>
      </c>
      <c r="G722" s="12">
        <v>5.6</v>
      </c>
      <c r="H722" s="9">
        <v>45857.791666666664</v>
      </c>
      <c r="I722" s="12">
        <v>5.6180000000000003</v>
      </c>
      <c r="J722">
        <v>425.13</v>
      </c>
      <c r="K722" s="12">
        <v>2380.75</v>
      </c>
      <c r="L722">
        <v>3.58</v>
      </c>
      <c r="M722">
        <v>4.08</v>
      </c>
      <c r="N722" s="13">
        <v>1.6999999999999999E-3</v>
      </c>
      <c r="O722" t="s">
        <v>38</v>
      </c>
      <c r="Q722">
        <f t="shared" si="190"/>
        <v>7.6523400000002901</v>
      </c>
      <c r="R722">
        <f t="shared" si="191"/>
        <v>4.0723400000002901</v>
      </c>
      <c r="S722">
        <f t="shared" si="192"/>
        <v>2388.3803400000002</v>
      </c>
      <c r="U722">
        <f t="shared" si="179"/>
        <v>294.64285699999999</v>
      </c>
      <c r="V722">
        <f t="shared" si="193"/>
        <v>1649.9999991999998</v>
      </c>
      <c r="W722">
        <f t="shared" si="180"/>
        <v>5.3035714260002011</v>
      </c>
      <c r="X722">
        <f t="shared" si="181"/>
        <v>3.305303569826</v>
      </c>
      <c r="Y722">
        <f t="shared" si="182"/>
        <v>1.9982678561742011</v>
      </c>
      <c r="Z722">
        <f t="shared" si="183"/>
        <v>35932.285716471808</v>
      </c>
      <c r="AB722">
        <f t="shared" si="184"/>
        <v>937.70992100000001</v>
      </c>
      <c r="AC722">
        <f t="shared" si="185"/>
        <v>5251.1755575999996</v>
      </c>
      <c r="AD722">
        <f t="shared" si="186"/>
        <v>16.878778578000638</v>
      </c>
      <c r="AE722">
        <f t="shared" si="187"/>
        <v>10.519229893778</v>
      </c>
      <c r="AF722">
        <f t="shared" si="188"/>
        <v>6.3595486842226379</v>
      </c>
      <c r="AG722">
        <f t="shared" si="178"/>
        <v>52518.115151980113</v>
      </c>
      <c r="AH722" t="b">
        <f t="shared" si="189"/>
        <v>1</v>
      </c>
    </row>
    <row r="723" spans="4:34" hidden="1" x14ac:dyDescent="0.4">
      <c r="D723" t="s">
        <v>54</v>
      </c>
      <c r="E723" t="s">
        <v>37</v>
      </c>
      <c r="F723" s="9">
        <v>45855.791666666664</v>
      </c>
      <c r="G723">
        <v>174.32</v>
      </c>
      <c r="H723" s="9">
        <v>45857.791666666664</v>
      </c>
      <c r="I723">
        <v>176.41</v>
      </c>
      <c r="J723" s="12">
        <v>27.841000000000001</v>
      </c>
      <c r="K723" s="12">
        <v>4853.34</v>
      </c>
      <c r="L723">
        <v>7.32</v>
      </c>
      <c r="M723">
        <v>50.86</v>
      </c>
      <c r="N723" s="13">
        <v>1.0500000000000001E-2</v>
      </c>
      <c r="O723" t="s">
        <v>38</v>
      </c>
      <c r="Q723">
        <f t="shared" si="190"/>
        <v>58.187690000000096</v>
      </c>
      <c r="R723">
        <f t="shared" si="191"/>
        <v>50.867690000000096</v>
      </c>
      <c r="S723">
        <f t="shared" si="192"/>
        <v>4911.4308099999998</v>
      </c>
      <c r="U723">
        <f t="shared" si="179"/>
        <v>9.4653510000000001</v>
      </c>
      <c r="V723">
        <f t="shared" si="193"/>
        <v>1649.9999863199998</v>
      </c>
      <c r="W723">
        <f t="shared" si="180"/>
        <v>19.782583590000034</v>
      </c>
      <c r="X723">
        <f t="shared" si="181"/>
        <v>3.3197825562300003</v>
      </c>
      <c r="Y723">
        <f t="shared" si="182"/>
        <v>16.462801033770035</v>
      </c>
      <c r="Z723">
        <f t="shared" si="183"/>
        <v>35930.287448615636</v>
      </c>
      <c r="AB723">
        <f t="shared" si="184"/>
        <v>30.093744000000001</v>
      </c>
      <c r="AC723">
        <f t="shared" si="185"/>
        <v>5245.9414540799999</v>
      </c>
      <c r="AD723">
        <f t="shared" si="186"/>
        <v>62.895924960000102</v>
      </c>
      <c r="AE723">
        <f t="shared" si="187"/>
        <v>10.554778833120002</v>
      </c>
      <c r="AF723">
        <f t="shared" si="188"/>
        <v>52.341146126880098</v>
      </c>
      <c r="AG723">
        <f t="shared" si="178"/>
        <v>52511.755603295889</v>
      </c>
      <c r="AH723" t="b">
        <f t="shared" si="189"/>
        <v>1</v>
      </c>
    </row>
    <row r="724" spans="4:34" hidden="1" x14ac:dyDescent="0.4">
      <c r="D724" t="s">
        <v>55</v>
      </c>
      <c r="E724" t="s">
        <v>37</v>
      </c>
      <c r="F724" s="9">
        <v>45855.791666666664</v>
      </c>
      <c r="G724" s="12">
        <v>6.3689999999999995E-5</v>
      </c>
      <c r="H724" s="9">
        <v>45857.791666666664</v>
      </c>
      <c r="I724" s="12">
        <v>6.5530000000000004E-5</v>
      </c>
      <c r="J724" s="12">
        <v>93942353.349999994</v>
      </c>
      <c r="K724" s="12">
        <v>5983.19</v>
      </c>
      <c r="L724">
        <v>9.1</v>
      </c>
      <c r="M724">
        <v>163.75</v>
      </c>
      <c r="N724" s="13">
        <v>2.7400000000000001E-2</v>
      </c>
      <c r="O724" t="s">
        <v>38</v>
      </c>
      <c r="Q724">
        <f t="shared" si="190"/>
        <v>172.85393016400087</v>
      </c>
      <c r="R724">
        <f t="shared" si="191"/>
        <v>163.75393016400088</v>
      </c>
      <c r="S724">
        <f t="shared" si="192"/>
        <v>6156.0424150255003</v>
      </c>
      <c r="U724">
        <f t="shared" si="179"/>
        <v>25906735.751295</v>
      </c>
      <c r="V724">
        <f t="shared" si="193"/>
        <v>1649.9999999999784</v>
      </c>
      <c r="W724">
        <f t="shared" si="180"/>
        <v>47.668393782383049</v>
      </c>
      <c r="X724">
        <f t="shared" si="181"/>
        <v>3.3476683937823397</v>
      </c>
      <c r="Y724">
        <f t="shared" si="182"/>
        <v>44.320725388600707</v>
      </c>
      <c r="Z724">
        <f t="shared" si="183"/>
        <v>35913.824647581867</v>
      </c>
      <c r="AB724">
        <f t="shared" si="184"/>
        <v>82146146.134847999</v>
      </c>
      <c r="AC724">
        <f t="shared" si="185"/>
        <v>5231.8880473284689</v>
      </c>
      <c r="AD724">
        <f t="shared" si="186"/>
        <v>151.1489088881211</v>
      </c>
      <c r="AE724">
        <f t="shared" si="187"/>
        <v>10.614925003545057</v>
      </c>
      <c r="AF724">
        <f t="shared" si="188"/>
        <v>140.53398388457603</v>
      </c>
      <c r="AG724">
        <f t="shared" si="178"/>
        <v>52459.414457169012</v>
      </c>
      <c r="AH724" t="b">
        <f t="shared" si="189"/>
        <v>1</v>
      </c>
    </row>
    <row r="725" spans="4:34" hidden="1" x14ac:dyDescent="0.4">
      <c r="D725" t="s">
        <v>61</v>
      </c>
      <c r="E725" t="s">
        <v>37</v>
      </c>
      <c r="F725" s="9">
        <v>45855.791666666664</v>
      </c>
      <c r="G725">
        <v>0.80289999999999995</v>
      </c>
      <c r="H725" s="9">
        <v>45857.791666666664</v>
      </c>
      <c r="I725">
        <v>0.8216</v>
      </c>
      <c r="J725" s="12">
        <v>10434.9</v>
      </c>
      <c r="K725" s="12">
        <v>8378.26</v>
      </c>
      <c r="L725">
        <v>12.71</v>
      </c>
      <c r="M725">
        <v>182.42</v>
      </c>
      <c r="N725" s="13">
        <v>2.18E-2</v>
      </c>
      <c r="O725" t="s">
        <v>38</v>
      </c>
      <c r="Q725">
        <f t="shared" si="190"/>
        <v>195.13263000000052</v>
      </c>
      <c r="R725">
        <f t="shared" si="191"/>
        <v>182.42263000000051</v>
      </c>
      <c r="S725">
        <f t="shared" si="192"/>
        <v>8573.3138399999989</v>
      </c>
      <c r="U725">
        <f t="shared" si="179"/>
        <v>2055.0504420000002</v>
      </c>
      <c r="V725">
        <f t="shared" si="193"/>
        <v>1649.9999998818</v>
      </c>
      <c r="W725">
        <f t="shared" si="180"/>
        <v>38.42944326540011</v>
      </c>
      <c r="X725">
        <f t="shared" si="181"/>
        <v>3.3384294430290002</v>
      </c>
      <c r="Y725">
        <f t="shared" si="182"/>
        <v>35.09101382237111</v>
      </c>
      <c r="Z725">
        <f t="shared" si="183"/>
        <v>35869.503922193267</v>
      </c>
      <c r="AB725">
        <f t="shared" si="184"/>
        <v>6502.4098359999998</v>
      </c>
      <c r="AC725">
        <f t="shared" si="185"/>
        <v>5220.7848573243991</v>
      </c>
      <c r="AD725">
        <f t="shared" si="186"/>
        <v>121.59506393320032</v>
      </c>
      <c r="AE725">
        <f t="shared" si="187"/>
        <v>10.563164778581999</v>
      </c>
      <c r="AF725">
        <f t="shared" si="188"/>
        <v>111.03189915461832</v>
      </c>
      <c r="AG725">
        <f t="shared" si="178"/>
        <v>52318.880473284436</v>
      </c>
      <c r="AH725" t="b">
        <f t="shared" si="189"/>
        <v>1</v>
      </c>
    </row>
    <row r="726" spans="4:34" hidden="1" x14ac:dyDescent="0.4">
      <c r="D726" t="s">
        <v>60</v>
      </c>
      <c r="E726" t="s">
        <v>37</v>
      </c>
      <c r="F726" s="9">
        <v>45855.166666666664</v>
      </c>
      <c r="G726">
        <v>3.0505</v>
      </c>
      <c r="H726" s="9">
        <v>45857.666666666664</v>
      </c>
      <c r="I726">
        <v>3.3624999999999998</v>
      </c>
      <c r="J726">
        <v>742.2</v>
      </c>
      <c r="K726" s="12">
        <v>2264.29</v>
      </c>
      <c r="L726">
        <v>3.57</v>
      </c>
      <c r="M726">
        <v>228</v>
      </c>
      <c r="N726" s="13">
        <v>0.1007</v>
      </c>
      <c r="O726" t="s">
        <v>57</v>
      </c>
      <c r="Q726">
        <f t="shared" si="190"/>
        <v>231.5663999999999</v>
      </c>
      <c r="R726">
        <f t="shared" si="191"/>
        <v>227.99639999999991</v>
      </c>
      <c r="S726">
        <f t="shared" si="192"/>
        <v>2495.6475</v>
      </c>
      <c r="U726">
        <f t="shared" si="179"/>
        <v>540.89493500000003</v>
      </c>
      <c r="V726">
        <f t="shared" si="193"/>
        <v>1649.9999992175001</v>
      </c>
      <c r="W726">
        <f t="shared" si="180"/>
        <v>168.75921971999992</v>
      </c>
      <c r="X726">
        <f t="shared" si="181"/>
        <v>3.4687592181550002</v>
      </c>
      <c r="Y726">
        <f t="shared" si="182"/>
        <v>165.2904605018449</v>
      </c>
      <c r="Z726">
        <f t="shared" si="183"/>
        <v>35834.412908370898</v>
      </c>
      <c r="AB726">
        <f t="shared" si="184"/>
        <v>1694.4775689999999</v>
      </c>
      <c r="AC726">
        <f t="shared" si="185"/>
        <v>5169.0038242344999</v>
      </c>
      <c r="AD726">
        <f t="shared" si="186"/>
        <v>528.67700152799966</v>
      </c>
      <c r="AE726">
        <f t="shared" si="187"/>
        <v>10.866684649997</v>
      </c>
      <c r="AF726">
        <f t="shared" si="188"/>
        <v>517.81031687800271</v>
      </c>
      <c r="AG726">
        <f t="shared" si="178"/>
        <v>52207.848574129821</v>
      </c>
      <c r="AH726" t="b">
        <f t="shared" si="189"/>
        <v>1</v>
      </c>
    </row>
    <row r="727" spans="4:34" hidden="1" x14ac:dyDescent="0.4">
      <c r="D727" t="s">
        <v>56</v>
      </c>
      <c r="E727" t="s">
        <v>37</v>
      </c>
      <c r="F727" s="9">
        <v>45856.791666666664</v>
      </c>
      <c r="G727" s="12">
        <v>3602.39</v>
      </c>
      <c r="H727" s="9">
        <v>45856.916666666664</v>
      </c>
      <c r="I727" s="12">
        <v>3498.2</v>
      </c>
      <c r="J727">
        <v>1.5595000000000001</v>
      </c>
      <c r="K727" s="12">
        <v>5617.93</v>
      </c>
      <c r="L727">
        <v>8.31</v>
      </c>
      <c r="M727">
        <v>-170.79</v>
      </c>
      <c r="N727" s="13">
        <v>-3.04E-2</v>
      </c>
      <c r="O727" t="s">
        <v>49</v>
      </c>
      <c r="Q727">
        <f t="shared" si="190"/>
        <v>-162.48430500000009</v>
      </c>
      <c r="R727">
        <f t="shared" si="191"/>
        <v>-170.79430500000009</v>
      </c>
      <c r="S727">
        <f t="shared" si="192"/>
        <v>5455.4429</v>
      </c>
      <c r="U727">
        <f t="shared" si="179"/>
        <v>0.45802900000000002</v>
      </c>
      <c r="V727">
        <f t="shared" si="193"/>
        <v>1649.99908931</v>
      </c>
      <c r="W727">
        <f t="shared" si="180"/>
        <v>-47.722041510000025</v>
      </c>
      <c r="X727">
        <f t="shared" si="181"/>
        <v>3.2522761371100004</v>
      </c>
      <c r="Y727">
        <f t="shared" si="182"/>
        <v>-50.974317647110027</v>
      </c>
      <c r="Z727">
        <f t="shared" si="183"/>
        <v>35669.122447869049</v>
      </c>
      <c r="AB727">
        <f t="shared" si="184"/>
        <v>1.4393279999999999</v>
      </c>
      <c r="AC727">
        <f t="shared" si="185"/>
        <v>5185.02079392</v>
      </c>
      <c r="AD727">
        <f t="shared" si="186"/>
        <v>-149.96358432000008</v>
      </c>
      <c r="AE727">
        <f t="shared" si="187"/>
        <v>10.220078003519999</v>
      </c>
      <c r="AF727">
        <f t="shared" si="188"/>
        <v>-160.18366232352008</v>
      </c>
      <c r="AG727">
        <f t="shared" si="178"/>
        <v>51690.038257251821</v>
      </c>
      <c r="AH727" t="b">
        <f t="shared" si="189"/>
        <v>1</v>
      </c>
    </row>
    <row r="728" spans="4:34" hidden="1" x14ac:dyDescent="0.4">
      <c r="D728" t="s">
        <v>56</v>
      </c>
      <c r="E728" t="s">
        <v>37</v>
      </c>
      <c r="F728" s="9">
        <v>45856.583333333336</v>
      </c>
      <c r="G728" s="12">
        <v>3640.2</v>
      </c>
      <c r="H728" s="9">
        <v>45856.708333333336</v>
      </c>
      <c r="I728" s="12">
        <v>3546.85</v>
      </c>
      <c r="J728">
        <v>1.5474000000000001</v>
      </c>
      <c r="K728" s="12">
        <v>5633.21</v>
      </c>
      <c r="L728">
        <v>8.34</v>
      </c>
      <c r="M728">
        <v>-152.79</v>
      </c>
      <c r="N728" s="13">
        <v>-2.7099999999999999E-2</v>
      </c>
      <c r="O728" t="s">
        <v>49</v>
      </c>
      <c r="Q728">
        <f t="shared" si="190"/>
        <v>-144.44978999999987</v>
      </c>
      <c r="R728">
        <f t="shared" si="191"/>
        <v>-152.78978999999987</v>
      </c>
      <c r="S728">
        <f t="shared" si="192"/>
        <v>5488.3956900000003</v>
      </c>
      <c r="U728">
        <f t="shared" si="179"/>
        <v>0.45327200000000001</v>
      </c>
      <c r="V728">
        <f t="shared" si="193"/>
        <v>1650.0007344000001</v>
      </c>
      <c r="W728">
        <f t="shared" si="180"/>
        <v>-42.312941199999962</v>
      </c>
      <c r="X728">
        <f t="shared" si="181"/>
        <v>3.2576885275999996</v>
      </c>
      <c r="Y728">
        <f t="shared" si="182"/>
        <v>-45.570629727599965</v>
      </c>
      <c r="Z728">
        <f t="shared" si="183"/>
        <v>35720.096765516158</v>
      </c>
      <c r="AB728">
        <f t="shared" si="184"/>
        <v>1.428323</v>
      </c>
      <c r="AC728">
        <f t="shared" si="185"/>
        <v>5199.3813845999994</v>
      </c>
      <c r="AD728">
        <f t="shared" si="186"/>
        <v>-133.33395204999988</v>
      </c>
      <c r="AE728">
        <f t="shared" si="187"/>
        <v>10.265428817149999</v>
      </c>
      <c r="AF728">
        <f t="shared" si="188"/>
        <v>-143.59938086714988</v>
      </c>
      <c r="AG728">
        <f t="shared" si="178"/>
        <v>51850.221919575342</v>
      </c>
      <c r="AH728" t="b">
        <f t="shared" si="189"/>
        <v>1</v>
      </c>
    </row>
    <row r="729" spans="4:34" hidden="1" x14ac:dyDescent="0.4">
      <c r="D729" t="s">
        <v>56</v>
      </c>
      <c r="E729" t="s">
        <v>37</v>
      </c>
      <c r="F729" s="9">
        <v>45853.958333333336</v>
      </c>
      <c r="G729" s="12">
        <v>3081.15</v>
      </c>
      <c r="H729" s="9">
        <v>45856.458333333336</v>
      </c>
      <c r="I729" s="12">
        <v>3622.91</v>
      </c>
      <c r="J729" s="12">
        <v>1.7968999999999999</v>
      </c>
      <c r="K729" s="12">
        <v>5536.76</v>
      </c>
      <c r="L729">
        <v>9.0299999999999994</v>
      </c>
      <c r="M729">
        <v>964.45</v>
      </c>
      <c r="N729" s="13">
        <v>0.17419999999999999</v>
      </c>
      <c r="O729" t="s">
        <v>57</v>
      </c>
      <c r="Q729">
        <f t="shared" si="190"/>
        <v>973.48854399999959</v>
      </c>
      <c r="R729">
        <f t="shared" si="191"/>
        <v>964.45854399999962</v>
      </c>
      <c r="S729">
        <f t="shared" si="192"/>
        <v>6510.0069789999998</v>
      </c>
      <c r="U729">
        <f t="shared" si="179"/>
        <v>0.53551400000000005</v>
      </c>
      <c r="V729">
        <f t="shared" si="193"/>
        <v>1649.9989611000001</v>
      </c>
      <c r="W729">
        <f t="shared" si="180"/>
        <v>290.1200646399999</v>
      </c>
      <c r="X729">
        <f t="shared" si="181"/>
        <v>3.5901179868399997</v>
      </c>
      <c r="Y729">
        <f t="shared" si="182"/>
        <v>286.52994665315987</v>
      </c>
      <c r="Z729">
        <f t="shared" si="183"/>
        <v>35765.667395243756</v>
      </c>
      <c r="AB729">
        <f t="shared" si="184"/>
        <v>1.658677</v>
      </c>
      <c r="AC729">
        <f t="shared" si="185"/>
        <v>5110.6326385499997</v>
      </c>
      <c r="AD729">
        <f t="shared" si="186"/>
        <v>898.60485151999956</v>
      </c>
      <c r="AE729">
        <f t="shared" si="187"/>
        <v>11.119870128619999</v>
      </c>
      <c r="AF729">
        <f t="shared" si="188"/>
        <v>887.48498139137951</v>
      </c>
      <c r="AG729">
        <f t="shared" si="178"/>
        <v>51993.821300442491</v>
      </c>
      <c r="AH729" t="b">
        <f t="shared" si="189"/>
        <v>1</v>
      </c>
    </row>
    <row r="730" spans="4:34" hidden="1" x14ac:dyDescent="0.4">
      <c r="D730" t="s">
        <v>48</v>
      </c>
      <c r="E730" t="s">
        <v>37</v>
      </c>
      <c r="F730" s="9">
        <v>45854.291666666664</v>
      </c>
      <c r="G730">
        <v>0.14729999999999999</v>
      </c>
      <c r="H730" s="9">
        <v>45856.291666666664</v>
      </c>
      <c r="I730">
        <v>0.15559999999999999</v>
      </c>
      <c r="J730" s="12">
        <v>21274.2</v>
      </c>
      <c r="K730" s="12">
        <v>3133.69</v>
      </c>
      <c r="L730">
        <v>4.83</v>
      </c>
      <c r="M730">
        <v>171.74</v>
      </c>
      <c r="N730" s="13">
        <v>5.4800000000000001E-2</v>
      </c>
      <c r="O730" t="s">
        <v>38</v>
      </c>
      <c r="Q730">
        <f t="shared" si="190"/>
        <v>176.57586000000003</v>
      </c>
      <c r="R730">
        <f t="shared" si="191"/>
        <v>171.74586000000002</v>
      </c>
      <c r="S730">
        <f t="shared" si="192"/>
        <v>3310.2655199999999</v>
      </c>
      <c r="U730">
        <f t="shared" si="179"/>
        <v>11201.629328000001</v>
      </c>
      <c r="V730">
        <f t="shared" si="193"/>
        <v>1650.0000000144</v>
      </c>
      <c r="W730">
        <f t="shared" si="180"/>
        <v>92.973523422400021</v>
      </c>
      <c r="X730">
        <f t="shared" si="181"/>
        <v>3.3929735234511997</v>
      </c>
      <c r="Y730">
        <f t="shared" si="182"/>
        <v>89.580549898948817</v>
      </c>
      <c r="Z730">
        <f t="shared" si="183"/>
        <v>35479.137448590598</v>
      </c>
      <c r="AB730">
        <f t="shared" si="184"/>
        <v>34508.059684</v>
      </c>
      <c r="AC730">
        <f t="shared" si="185"/>
        <v>5083.0371914531997</v>
      </c>
      <c r="AD730">
        <f t="shared" si="186"/>
        <v>286.41689537720003</v>
      </c>
      <c r="AE730">
        <f t="shared" si="187"/>
        <v>10.452491278283597</v>
      </c>
      <c r="AF730">
        <f t="shared" si="188"/>
        <v>275.96440409891642</v>
      </c>
      <c r="AG730">
        <f t="shared" si="178"/>
        <v>51106.336319051108</v>
      </c>
      <c r="AH730" t="b">
        <f t="shared" si="189"/>
        <v>1</v>
      </c>
    </row>
    <row r="731" spans="4:34" hidden="1" x14ac:dyDescent="0.4">
      <c r="D731" t="s">
        <v>53</v>
      </c>
      <c r="E731" t="s">
        <v>37</v>
      </c>
      <c r="F731" s="9">
        <v>45854.291666666664</v>
      </c>
      <c r="G731">
        <v>689.13</v>
      </c>
      <c r="H731" s="9">
        <v>45856.291666666664</v>
      </c>
      <c r="I731">
        <v>748.44</v>
      </c>
      <c r="J731">
        <v>13.563000000000001</v>
      </c>
      <c r="K731" s="12">
        <v>9347.2900000000009</v>
      </c>
      <c r="L731">
        <v>14.62</v>
      </c>
      <c r="M731">
        <v>789.8</v>
      </c>
      <c r="N731" s="13">
        <v>8.4500000000000006E-2</v>
      </c>
      <c r="O731" t="s">
        <v>38</v>
      </c>
      <c r="Q731">
        <f t="shared" si="190"/>
        <v>804.42153000000087</v>
      </c>
      <c r="R731">
        <f t="shared" si="191"/>
        <v>789.80153000000087</v>
      </c>
      <c r="S731">
        <f t="shared" si="192"/>
        <v>10151.09172</v>
      </c>
      <c r="U731">
        <f t="shared" si="179"/>
        <v>2.394323</v>
      </c>
      <c r="V731">
        <f t="shared" si="193"/>
        <v>1649.99980899</v>
      </c>
      <c r="W731">
        <f t="shared" si="180"/>
        <v>142.00729713000015</v>
      </c>
      <c r="X731">
        <f t="shared" si="181"/>
        <v>3.4420069151100003</v>
      </c>
      <c r="Y731">
        <f t="shared" si="182"/>
        <v>138.56529021489015</v>
      </c>
      <c r="Z731">
        <f t="shared" si="183"/>
        <v>35389.556898691648</v>
      </c>
      <c r="AB731">
        <f t="shared" si="184"/>
        <v>7.3145939999999996</v>
      </c>
      <c r="AC731">
        <f t="shared" si="185"/>
        <v>5040.7061632199993</v>
      </c>
      <c r="AD731">
        <f t="shared" si="186"/>
        <v>433.82857014000041</v>
      </c>
      <c r="AE731">
        <f t="shared" si="187"/>
        <v>10.515240896580002</v>
      </c>
      <c r="AF731">
        <f t="shared" si="188"/>
        <v>423.31332924342041</v>
      </c>
      <c r="AG731">
        <f t="shared" si="178"/>
        <v>50830.371914952193</v>
      </c>
      <c r="AH731" t="b">
        <f t="shared" si="189"/>
        <v>1</v>
      </c>
    </row>
    <row r="732" spans="4:34" hidden="1" x14ac:dyDescent="0.4">
      <c r="D732" t="s">
        <v>58</v>
      </c>
      <c r="E732" t="s">
        <v>37</v>
      </c>
      <c r="F732" s="9">
        <v>45854.25</v>
      </c>
      <c r="G732" s="12">
        <v>15.96</v>
      </c>
      <c r="H732" s="9">
        <v>45856.25</v>
      </c>
      <c r="I732" s="12">
        <v>18.940000000000001</v>
      </c>
      <c r="J732">
        <v>450.1</v>
      </c>
      <c r="K732" s="12">
        <v>7183.67</v>
      </c>
      <c r="L732">
        <v>11.78</v>
      </c>
      <c r="M732" s="12">
        <v>1329.52</v>
      </c>
      <c r="N732" s="13">
        <v>0.18509999999999999</v>
      </c>
      <c r="O732" t="s">
        <v>38</v>
      </c>
      <c r="Q732">
        <f t="shared" si="190"/>
        <v>1341.2980000000002</v>
      </c>
      <c r="R732">
        <f t="shared" si="191"/>
        <v>1329.5180000000003</v>
      </c>
      <c r="S732">
        <f t="shared" si="192"/>
        <v>8524.8940000000002</v>
      </c>
      <c r="U732">
        <f t="shared" si="179"/>
        <v>103.383459</v>
      </c>
      <c r="V732">
        <f t="shared" si="193"/>
        <v>1650.0000056400002</v>
      </c>
      <c r="W732">
        <f t="shared" si="180"/>
        <v>308.08270782000005</v>
      </c>
      <c r="X732">
        <f t="shared" si="181"/>
        <v>3.6080827191000009</v>
      </c>
      <c r="Y732">
        <f t="shared" si="182"/>
        <v>304.47462510090003</v>
      </c>
      <c r="Z732">
        <f t="shared" si="183"/>
        <v>35250.991608476761</v>
      </c>
      <c r="AB732">
        <f t="shared" si="184"/>
        <v>310.11121600000001</v>
      </c>
      <c r="AC732">
        <f t="shared" si="185"/>
        <v>4949.3750073600004</v>
      </c>
      <c r="AD732">
        <f t="shared" si="186"/>
        <v>924.13142368000013</v>
      </c>
      <c r="AE732">
        <f t="shared" si="187"/>
        <v>10.822881438400003</v>
      </c>
      <c r="AF732">
        <f t="shared" si="188"/>
        <v>913.30854224160009</v>
      </c>
      <c r="AG732">
        <f t="shared" si="178"/>
        <v>50407.058585708772</v>
      </c>
      <c r="AH732" t="b">
        <f t="shared" si="189"/>
        <v>1</v>
      </c>
    </row>
    <row r="733" spans="4:34" hidden="1" x14ac:dyDescent="0.4">
      <c r="D733" t="s">
        <v>52</v>
      </c>
      <c r="E733" t="s">
        <v>37</v>
      </c>
      <c r="F733" s="9">
        <v>45853.708333333336</v>
      </c>
      <c r="G733">
        <v>5.4340000000000002</v>
      </c>
      <c r="H733" s="9">
        <v>45855.708333333336</v>
      </c>
      <c r="I733">
        <v>5.6</v>
      </c>
      <c r="J733">
        <v>436.85</v>
      </c>
      <c r="K733" s="12">
        <v>2373.86</v>
      </c>
      <c r="L733">
        <v>3.62</v>
      </c>
      <c r="M733">
        <v>68.900000000000006</v>
      </c>
      <c r="N733" s="13">
        <v>2.9000000000000001E-2</v>
      </c>
      <c r="O733" t="s">
        <v>38</v>
      </c>
      <c r="Q733">
        <f t="shared" si="190"/>
        <v>72.517099999999772</v>
      </c>
      <c r="R733">
        <f t="shared" si="191"/>
        <v>68.897099999999767</v>
      </c>
      <c r="S733">
        <f t="shared" si="192"/>
        <v>2446.36</v>
      </c>
      <c r="U733">
        <f t="shared" si="179"/>
        <v>303.64372500000002</v>
      </c>
      <c r="V733">
        <f t="shared" si="193"/>
        <v>1650.0000016500001</v>
      </c>
      <c r="W733">
        <f t="shared" si="180"/>
        <v>50.404858349999849</v>
      </c>
      <c r="X733">
        <f t="shared" si="181"/>
        <v>3.35040486165</v>
      </c>
      <c r="Y733">
        <f t="shared" si="182"/>
        <v>47.05445348834985</v>
      </c>
      <c r="Z733">
        <f t="shared" si="183"/>
        <v>34946.516983375863</v>
      </c>
      <c r="AB733">
        <f t="shared" si="184"/>
        <v>908.22609299999999</v>
      </c>
      <c r="AC733">
        <f t="shared" si="185"/>
        <v>4935.3005893620002</v>
      </c>
      <c r="AD733">
        <f t="shared" si="186"/>
        <v>150.76553143799953</v>
      </c>
      <c r="AE733">
        <f t="shared" si="187"/>
        <v>10.021366710161999</v>
      </c>
      <c r="AF733">
        <f t="shared" si="188"/>
        <v>140.74416472783753</v>
      </c>
      <c r="AG733">
        <f t="shared" si="178"/>
        <v>49493.750043467175</v>
      </c>
      <c r="AH733" t="b">
        <f t="shared" si="189"/>
        <v>1</v>
      </c>
    </row>
    <row r="734" spans="4:34" hidden="1" x14ac:dyDescent="0.4">
      <c r="D734" t="s">
        <v>54</v>
      </c>
      <c r="E734" t="s">
        <v>37</v>
      </c>
      <c r="F734" s="9">
        <v>45853.708333333336</v>
      </c>
      <c r="G734">
        <v>160.43</v>
      </c>
      <c r="H734" s="9">
        <v>45855.708333333336</v>
      </c>
      <c r="I734">
        <v>174.23</v>
      </c>
      <c r="J734" s="12">
        <v>29.998000000000001</v>
      </c>
      <c r="K734" s="12">
        <v>4812.6899999999996</v>
      </c>
      <c r="L734">
        <v>7.53</v>
      </c>
      <c r="M734">
        <v>406.44</v>
      </c>
      <c r="N734" s="13">
        <v>8.4500000000000006E-2</v>
      </c>
      <c r="O734" t="s">
        <v>38</v>
      </c>
      <c r="Q734">
        <f t="shared" si="190"/>
        <v>413.97239999999948</v>
      </c>
      <c r="R734">
        <f t="shared" si="191"/>
        <v>406.44239999999951</v>
      </c>
      <c r="S734">
        <f t="shared" si="192"/>
        <v>5226.5515399999995</v>
      </c>
      <c r="U734">
        <f t="shared" si="179"/>
        <v>10.284859000000001</v>
      </c>
      <c r="V734">
        <f t="shared" si="193"/>
        <v>1649.9999293700002</v>
      </c>
      <c r="W734">
        <f t="shared" si="180"/>
        <v>141.93105419999983</v>
      </c>
      <c r="X734">
        <f t="shared" si="181"/>
        <v>3.4419309129399998</v>
      </c>
      <c r="Y734">
        <f t="shared" si="182"/>
        <v>138.48912328705984</v>
      </c>
      <c r="Z734">
        <f t="shared" si="183"/>
        <v>34899.462529887511</v>
      </c>
      <c r="AB734">
        <f t="shared" si="184"/>
        <v>30.506900000000002</v>
      </c>
      <c r="AC734">
        <f t="shared" si="185"/>
        <v>4894.2219670000004</v>
      </c>
      <c r="AD734">
        <f t="shared" si="186"/>
        <v>420.99521999999951</v>
      </c>
      <c r="AE734">
        <f t="shared" si="187"/>
        <v>10.209439154</v>
      </c>
      <c r="AF734">
        <f t="shared" si="188"/>
        <v>410.78578084599951</v>
      </c>
      <c r="AG734">
        <f t="shared" si="178"/>
        <v>49353.005878739335</v>
      </c>
      <c r="AH734" t="b">
        <f t="shared" si="189"/>
        <v>1</v>
      </c>
    </row>
    <row r="735" spans="4:34" hidden="1" x14ac:dyDescent="0.4">
      <c r="D735" t="s">
        <v>55</v>
      </c>
      <c r="E735" t="s">
        <v>37</v>
      </c>
      <c r="F735" s="9">
        <v>45853.708333333336</v>
      </c>
      <c r="G735">
        <v>6.1970000000000005E-5</v>
      </c>
      <c r="H735" s="9">
        <v>45855.708333333336</v>
      </c>
      <c r="I735">
        <v>6.3709999999999998E-5</v>
      </c>
      <c r="J735" s="12">
        <v>96294029.230000004</v>
      </c>
      <c r="K735" s="12">
        <v>5967.34</v>
      </c>
      <c r="L735">
        <v>9.08</v>
      </c>
      <c r="M735">
        <v>158.47</v>
      </c>
      <c r="N735" s="13">
        <v>2.6599999999999999E-2</v>
      </c>
      <c r="O735" t="s">
        <v>38</v>
      </c>
      <c r="Q735">
        <f t="shared" si="190"/>
        <v>167.55161086019939</v>
      </c>
      <c r="R735">
        <f t="shared" si="191"/>
        <v>158.47161086019938</v>
      </c>
      <c r="S735">
        <f t="shared" si="192"/>
        <v>6134.8926022432997</v>
      </c>
      <c r="U735">
        <f t="shared" si="179"/>
        <v>26625786.67097</v>
      </c>
      <c r="V735">
        <f t="shared" si="193"/>
        <v>1650.0000000000111</v>
      </c>
      <c r="W735">
        <f t="shared" si="180"/>
        <v>46.32886880748763</v>
      </c>
      <c r="X735">
        <f t="shared" si="181"/>
        <v>3.3463288688075097</v>
      </c>
      <c r="Y735">
        <f t="shared" si="182"/>
        <v>42.982539938680119</v>
      </c>
      <c r="Z735">
        <f t="shared" si="183"/>
        <v>34760.973406600453</v>
      </c>
      <c r="AB735">
        <f t="shared" si="184"/>
        <v>78772078.032730997</v>
      </c>
      <c r="AC735">
        <f t="shared" si="185"/>
        <v>4881.5056756883405</v>
      </c>
      <c r="AD735">
        <f t="shared" si="186"/>
        <v>137.06341577695142</v>
      </c>
      <c r="AE735">
        <f t="shared" si="187"/>
        <v>9.9000747671536313</v>
      </c>
      <c r="AF735">
        <f t="shared" si="188"/>
        <v>127.16334100979779</v>
      </c>
      <c r="AG735">
        <f t="shared" si="178"/>
        <v>48942.220097893332</v>
      </c>
      <c r="AH735" t="b">
        <f t="shared" si="189"/>
        <v>1</v>
      </c>
    </row>
    <row r="736" spans="4:34" hidden="1" x14ac:dyDescent="0.4">
      <c r="D736" t="s">
        <v>61</v>
      </c>
      <c r="E736" t="s">
        <v>37</v>
      </c>
      <c r="F736" s="9">
        <v>45853.583333333336</v>
      </c>
      <c r="G736">
        <v>0.73209999999999997</v>
      </c>
      <c r="H736" s="9">
        <v>45855.583333333336</v>
      </c>
      <c r="I736">
        <v>0.81040000000000001</v>
      </c>
      <c r="J736" s="12">
        <v>11324.8</v>
      </c>
      <c r="K736" s="12">
        <v>8290.89</v>
      </c>
      <c r="L736">
        <v>13.1</v>
      </c>
      <c r="M736">
        <v>873.63</v>
      </c>
      <c r="N736" s="13">
        <v>0.10539999999999999</v>
      </c>
      <c r="O736" t="s">
        <v>38</v>
      </c>
      <c r="Q736">
        <f t="shared" si="190"/>
        <v>886.73184000000037</v>
      </c>
      <c r="R736">
        <f t="shared" si="191"/>
        <v>873.63184000000035</v>
      </c>
      <c r="S736">
        <f t="shared" si="192"/>
        <v>9177.6179199999988</v>
      </c>
      <c r="U736">
        <f t="shared" si="179"/>
        <v>2253.7904659999999</v>
      </c>
      <c r="V736">
        <f t="shared" si="193"/>
        <v>1650.0000001586</v>
      </c>
      <c r="W736">
        <f t="shared" si="180"/>
        <v>176.47179348780008</v>
      </c>
      <c r="X736">
        <f t="shared" si="181"/>
        <v>3.476471793805</v>
      </c>
      <c r="Y736">
        <f t="shared" si="182"/>
        <v>172.99532169399509</v>
      </c>
      <c r="Z736">
        <f t="shared" si="183"/>
        <v>34717.99086666177</v>
      </c>
      <c r="AB736">
        <f t="shared" si="184"/>
        <v>6598.628944</v>
      </c>
      <c r="AC736">
        <f t="shared" si="185"/>
        <v>4830.8562499024001</v>
      </c>
      <c r="AD736">
        <f t="shared" si="186"/>
        <v>516.67264631520027</v>
      </c>
      <c r="AE736">
        <f t="shared" si="187"/>
        <v>10.17838514612</v>
      </c>
      <c r="AF736">
        <f t="shared" si="188"/>
        <v>506.49426116908029</v>
      </c>
      <c r="AG736">
        <f t="shared" si="178"/>
        <v>48815.056756883532</v>
      </c>
      <c r="AH736" t="b">
        <f t="shared" si="189"/>
        <v>1</v>
      </c>
    </row>
    <row r="737" spans="4:34" hidden="1" x14ac:dyDescent="0.4">
      <c r="D737" t="s">
        <v>50</v>
      </c>
      <c r="E737" t="s">
        <v>37</v>
      </c>
      <c r="F737" s="9">
        <v>45853.5</v>
      </c>
      <c r="G737">
        <v>419.6</v>
      </c>
      <c r="H737" s="9">
        <v>45855.5</v>
      </c>
      <c r="I737">
        <v>428.3</v>
      </c>
      <c r="J737">
        <v>31.2088</v>
      </c>
      <c r="K737" s="12">
        <v>13095.24</v>
      </c>
      <c r="L737">
        <v>19.850000000000001</v>
      </c>
      <c r="M737">
        <v>251.67</v>
      </c>
      <c r="N737" s="13">
        <v>1.9199999999999998E-2</v>
      </c>
      <c r="O737" t="s">
        <v>38</v>
      </c>
      <c r="Q737">
        <f t="shared" si="190"/>
        <v>271.51655999999963</v>
      </c>
      <c r="R737">
        <f t="shared" si="191"/>
        <v>251.66655999999963</v>
      </c>
      <c r="S737">
        <f t="shared" si="192"/>
        <v>13366.72904</v>
      </c>
      <c r="U737">
        <f t="shared" si="179"/>
        <v>3.9323160000000001</v>
      </c>
      <c r="V737">
        <f t="shared" si="193"/>
        <v>1649.9997936000002</v>
      </c>
      <c r="W737">
        <f t="shared" si="180"/>
        <v>34.211149199999959</v>
      </c>
      <c r="X737">
        <f t="shared" si="181"/>
        <v>3.3342107364000007</v>
      </c>
      <c r="Y737">
        <f t="shared" si="182"/>
        <v>30.876938463599959</v>
      </c>
      <c r="Z737">
        <f t="shared" si="183"/>
        <v>34544.995544967773</v>
      </c>
      <c r="AB737">
        <f t="shared" si="184"/>
        <v>11.491498999999999</v>
      </c>
      <c r="AC737">
        <f t="shared" si="185"/>
        <v>4821.8329803999995</v>
      </c>
      <c r="AD737">
        <f t="shared" si="186"/>
        <v>99.976041299999864</v>
      </c>
      <c r="AE737">
        <f t="shared" si="187"/>
        <v>9.7436420020999996</v>
      </c>
      <c r="AF737">
        <f t="shared" si="188"/>
        <v>90.23239929789986</v>
      </c>
      <c r="AG737">
        <f t="shared" si="178"/>
        <v>48308.562495714454</v>
      </c>
      <c r="AH737" t="b">
        <f t="shared" si="189"/>
        <v>1</v>
      </c>
    </row>
    <row r="738" spans="4:34" hidden="1" x14ac:dyDescent="0.4">
      <c r="D738" t="s">
        <v>59</v>
      </c>
      <c r="E738" t="s">
        <v>37</v>
      </c>
      <c r="F738" s="9">
        <v>45852.916666666664</v>
      </c>
      <c r="G738" s="12">
        <v>120192</v>
      </c>
      <c r="H738" s="9">
        <v>45855.416666666664</v>
      </c>
      <c r="I738" s="12">
        <v>118389.7</v>
      </c>
      <c r="J738">
        <v>8.7520000000000001E-2</v>
      </c>
      <c r="K738" s="12">
        <v>10519.68</v>
      </c>
      <c r="L738">
        <v>15.66</v>
      </c>
      <c r="M738">
        <v>-173.4</v>
      </c>
      <c r="N738" s="13">
        <v>-1.6500000000000001E-2</v>
      </c>
      <c r="O738" t="s">
        <v>57</v>
      </c>
      <c r="Q738">
        <f t="shared" si="190"/>
        <v>-157.73729600000024</v>
      </c>
      <c r="R738">
        <f t="shared" si="191"/>
        <v>-173.39729600000024</v>
      </c>
      <c r="S738">
        <f t="shared" si="192"/>
        <v>10361.466543999999</v>
      </c>
      <c r="U738">
        <f t="shared" si="179"/>
        <v>1.3728000000000001E-2</v>
      </c>
      <c r="V738">
        <f t="shared" si="193"/>
        <v>1649.995776</v>
      </c>
      <c r="W738">
        <f t="shared" si="180"/>
        <v>-24.741974400000043</v>
      </c>
      <c r="X738">
        <f t="shared" si="181"/>
        <v>3.2752495776000004</v>
      </c>
      <c r="Y738">
        <f t="shared" si="182"/>
        <v>-28.017223977600043</v>
      </c>
      <c r="Z738">
        <f t="shared" si="183"/>
        <v>34514.118606504169</v>
      </c>
      <c r="AB738">
        <f t="shared" si="184"/>
        <v>4.0185999999999999E-2</v>
      </c>
      <c r="AC738">
        <f t="shared" si="185"/>
        <v>4830.0357119999999</v>
      </c>
      <c r="AD738">
        <f t="shared" si="186"/>
        <v>-72.427227800000111</v>
      </c>
      <c r="AE738">
        <f t="shared" si="187"/>
        <v>9.5876441962000012</v>
      </c>
      <c r="AF738">
        <f t="shared" si="188"/>
        <v>-82.014871996200114</v>
      </c>
      <c r="AG738">
        <f t="shared" si="178"/>
        <v>48218.330096416554</v>
      </c>
      <c r="AH738" t="b">
        <f t="shared" si="189"/>
        <v>1</v>
      </c>
    </row>
    <row r="739" spans="4:34" hidden="1" x14ac:dyDescent="0.4">
      <c r="D739" t="s">
        <v>43</v>
      </c>
      <c r="E739" t="s">
        <v>37</v>
      </c>
      <c r="F739" s="9">
        <v>45853.333333333336</v>
      </c>
      <c r="G739">
        <v>3.9245999999999999</v>
      </c>
      <c r="H739" s="9">
        <v>45855.333333333336</v>
      </c>
      <c r="I739">
        <v>4.0099</v>
      </c>
      <c r="J739" s="12">
        <v>487.3</v>
      </c>
      <c r="K739" s="12">
        <v>1912.84</v>
      </c>
      <c r="L739">
        <v>2.9</v>
      </c>
      <c r="M739">
        <v>38.67</v>
      </c>
      <c r="N739" s="13">
        <v>2.0199999999999999E-2</v>
      </c>
      <c r="O739" t="s">
        <v>38</v>
      </c>
      <c r="Q739">
        <f t="shared" si="190"/>
        <v>41.566690000000072</v>
      </c>
      <c r="R739">
        <f t="shared" si="191"/>
        <v>38.666690000000074</v>
      </c>
      <c r="S739">
        <f t="shared" si="192"/>
        <v>1954.0242700000001</v>
      </c>
      <c r="U739">
        <f t="shared" si="179"/>
        <v>420.42501099999998</v>
      </c>
      <c r="V739">
        <f t="shared" si="193"/>
        <v>1649.9999981705998</v>
      </c>
      <c r="W739">
        <f t="shared" si="180"/>
        <v>35.862253438300066</v>
      </c>
      <c r="X739">
        <f t="shared" si="181"/>
        <v>3.3358622497795003</v>
      </c>
      <c r="Y739">
        <f t="shared" si="182"/>
        <v>32.526391188520563</v>
      </c>
      <c r="Z739">
        <f t="shared" si="183"/>
        <v>34542.13583048177</v>
      </c>
      <c r="AB739">
        <f t="shared" si="184"/>
        <v>1228.2861439999999</v>
      </c>
      <c r="AC739">
        <f t="shared" si="185"/>
        <v>4820.5318007423994</v>
      </c>
      <c r="AD739">
        <f t="shared" si="186"/>
        <v>104.77280808320018</v>
      </c>
      <c r="AE739">
        <f t="shared" si="187"/>
        <v>9.7458364095679997</v>
      </c>
      <c r="AF739">
        <f t="shared" si="188"/>
        <v>95.026971673632175</v>
      </c>
      <c r="AG739">
        <f t="shared" si="178"/>
        <v>48300.344968412755</v>
      </c>
      <c r="AH739" t="b">
        <f t="shared" si="189"/>
        <v>1</v>
      </c>
    </row>
    <row r="740" spans="4:34" hidden="1" x14ac:dyDescent="0.4">
      <c r="D740" t="s">
        <v>60</v>
      </c>
      <c r="E740" t="s">
        <v>37</v>
      </c>
      <c r="F740" s="9">
        <v>45852.625</v>
      </c>
      <c r="G740">
        <v>3.0034999999999998</v>
      </c>
      <c r="H740" s="9">
        <v>45855.125</v>
      </c>
      <c r="I740">
        <v>3.0230000000000001</v>
      </c>
      <c r="J740">
        <v>753.5</v>
      </c>
      <c r="K740" s="12">
        <v>2263.16</v>
      </c>
      <c r="L740">
        <v>3.41</v>
      </c>
      <c r="M740">
        <v>11.29</v>
      </c>
      <c r="N740" s="13">
        <v>5.0000000000000001E-3</v>
      </c>
      <c r="O740" t="s">
        <v>57</v>
      </c>
      <c r="Q740">
        <f t="shared" si="190"/>
        <v>14.693250000000223</v>
      </c>
      <c r="R740">
        <f t="shared" si="191"/>
        <v>11.283250000000223</v>
      </c>
      <c r="S740">
        <f t="shared" si="192"/>
        <v>2277.8305</v>
      </c>
      <c r="U740">
        <f t="shared" si="179"/>
        <v>549.35908099999995</v>
      </c>
      <c r="V740">
        <f t="shared" si="193"/>
        <v>1649.9999997834998</v>
      </c>
      <c r="W740">
        <f t="shared" si="180"/>
        <v>10.712502079500162</v>
      </c>
      <c r="X740">
        <f t="shared" si="181"/>
        <v>3.3107125016465</v>
      </c>
      <c r="Y740">
        <f t="shared" si="182"/>
        <v>7.4017895778536618</v>
      </c>
      <c r="Z740">
        <f t="shared" si="183"/>
        <v>34509.60943929325</v>
      </c>
      <c r="AB740">
        <f t="shared" si="184"/>
        <v>1604.25181</v>
      </c>
      <c r="AC740">
        <f t="shared" si="185"/>
        <v>4818.3703113349993</v>
      </c>
      <c r="AD740">
        <f t="shared" si="186"/>
        <v>31.282910295000473</v>
      </c>
      <c r="AE740">
        <f t="shared" si="187"/>
        <v>9.6680235329650017</v>
      </c>
      <c r="AF740">
        <f t="shared" si="188"/>
        <v>21.614886762035471</v>
      </c>
      <c r="AG740">
        <f t="shared" si="178"/>
        <v>48205.317996739126</v>
      </c>
      <c r="AH740" t="b">
        <f t="shared" si="189"/>
        <v>1</v>
      </c>
    </row>
    <row r="741" spans="4:34" hidden="1" x14ac:dyDescent="0.4">
      <c r="D741" t="s">
        <v>58</v>
      </c>
      <c r="E741" t="s">
        <v>37</v>
      </c>
      <c r="F741" s="9">
        <v>45852.125</v>
      </c>
      <c r="G741">
        <v>15.76</v>
      </c>
      <c r="H741" s="9">
        <v>45854.125</v>
      </c>
      <c r="I741">
        <v>16.14</v>
      </c>
      <c r="J741">
        <v>454.78</v>
      </c>
      <c r="K741" s="12">
        <v>7167.48</v>
      </c>
      <c r="L741">
        <v>10.88</v>
      </c>
      <c r="M741">
        <v>161.94</v>
      </c>
      <c r="N741" s="13">
        <v>2.2599999999999999E-2</v>
      </c>
      <c r="O741" t="s">
        <v>38</v>
      </c>
      <c r="Q741">
        <f t="shared" si="190"/>
        <v>172.81640000000036</v>
      </c>
      <c r="R741">
        <f t="shared" si="191"/>
        <v>161.93640000000036</v>
      </c>
      <c r="S741">
        <f t="shared" si="192"/>
        <v>7340.1491999999998</v>
      </c>
      <c r="U741">
        <f t="shared" si="179"/>
        <v>104.695431</v>
      </c>
      <c r="V741">
        <f t="shared" si="193"/>
        <v>1649.99999256</v>
      </c>
      <c r="W741">
        <f t="shared" si="180"/>
        <v>39.784263780000082</v>
      </c>
      <c r="X741">
        <f t="shared" si="181"/>
        <v>3.3397842488999996</v>
      </c>
      <c r="Y741">
        <f t="shared" si="182"/>
        <v>36.444479531100079</v>
      </c>
      <c r="Z741">
        <f t="shared" si="183"/>
        <v>34502.207649715398</v>
      </c>
      <c r="AB741">
        <f t="shared" si="184"/>
        <v>305.06035300000002</v>
      </c>
      <c r="AC741">
        <f t="shared" si="185"/>
        <v>4807.7511632800006</v>
      </c>
      <c r="AD741">
        <f t="shared" si="186"/>
        <v>115.92293414000025</v>
      </c>
      <c r="AE741">
        <f t="shared" si="187"/>
        <v>9.7314252607</v>
      </c>
      <c r="AF741">
        <f t="shared" si="188"/>
        <v>106.19150887930024</v>
      </c>
      <c r="AG741">
        <f t="shared" si="178"/>
        <v>48183.70310997709</v>
      </c>
      <c r="AH741" t="b">
        <f t="shared" si="189"/>
        <v>1</v>
      </c>
    </row>
    <row r="742" spans="4:34" hidden="1" x14ac:dyDescent="0.4">
      <c r="D742" t="s">
        <v>56</v>
      </c>
      <c r="E742" t="s">
        <v>37</v>
      </c>
      <c r="F742" s="9">
        <v>45851.333333333336</v>
      </c>
      <c r="G742" s="12">
        <v>2960.92</v>
      </c>
      <c r="H742" s="9">
        <v>45853.833333333336</v>
      </c>
      <c r="I742" s="12">
        <v>3065.26</v>
      </c>
      <c r="J742">
        <v>1.8635999999999999</v>
      </c>
      <c r="K742" s="12">
        <v>5518.16</v>
      </c>
      <c r="L742">
        <v>8.42</v>
      </c>
      <c r="M742" s="12">
        <v>186.03</v>
      </c>
      <c r="N742" s="13">
        <v>3.3700000000000001E-2</v>
      </c>
      <c r="O742" t="s">
        <v>57</v>
      </c>
      <c r="Q742">
        <f t="shared" si="190"/>
        <v>194.44802400000026</v>
      </c>
      <c r="R742">
        <f t="shared" si="191"/>
        <v>186.02802400000027</v>
      </c>
      <c r="S742">
        <f t="shared" si="192"/>
        <v>5712.4185360000001</v>
      </c>
      <c r="U742">
        <f t="shared" si="179"/>
        <v>0.55725899999999995</v>
      </c>
      <c r="V742">
        <f t="shared" si="193"/>
        <v>1649.9993182799999</v>
      </c>
      <c r="W742">
        <f t="shared" si="180"/>
        <v>58.144404060000078</v>
      </c>
      <c r="X742">
        <f t="shared" si="181"/>
        <v>3.3581430406199999</v>
      </c>
      <c r="Y742">
        <f t="shared" si="182"/>
        <v>54.786261019380078</v>
      </c>
      <c r="Z742">
        <f t="shared" si="183"/>
        <v>34465.763170184298</v>
      </c>
      <c r="AB742">
        <f t="shared" si="184"/>
        <v>1.6183620000000001</v>
      </c>
      <c r="AC742">
        <f t="shared" si="185"/>
        <v>4791.8404130400004</v>
      </c>
      <c r="AD742">
        <f t="shared" si="186"/>
        <v>168.85989108000024</v>
      </c>
      <c r="AE742">
        <f t="shared" si="187"/>
        <v>9.7525407171600005</v>
      </c>
      <c r="AF742">
        <f t="shared" si="188"/>
        <v>159.10735036284024</v>
      </c>
      <c r="AG742">
        <f t="shared" si="178"/>
        <v>48077.511601097787</v>
      </c>
      <c r="AH742" t="b">
        <f t="shared" si="189"/>
        <v>1</v>
      </c>
    </row>
    <row r="743" spans="4:34" hidden="1" x14ac:dyDescent="0.4">
      <c r="D743" t="s">
        <v>48</v>
      </c>
      <c r="E743" t="s">
        <v>37</v>
      </c>
      <c r="F743" s="9">
        <v>45851.791666666664</v>
      </c>
      <c r="G743" s="12">
        <v>0.14199999999999999</v>
      </c>
      <c r="H743" s="9">
        <v>45853.791666666664</v>
      </c>
      <c r="I743" s="12">
        <v>0.14360000000000001</v>
      </c>
      <c r="J743" s="12">
        <v>22046.7</v>
      </c>
      <c r="K743" s="12">
        <v>3130.64</v>
      </c>
      <c r="L743">
        <v>4.72</v>
      </c>
      <c r="M743">
        <v>30.55</v>
      </c>
      <c r="N743" s="13">
        <v>9.7999999999999997E-3</v>
      </c>
      <c r="O743" t="s">
        <v>38</v>
      </c>
      <c r="Q743">
        <f t="shared" si="190"/>
        <v>35.2747200000004</v>
      </c>
      <c r="R743">
        <f t="shared" si="191"/>
        <v>30.554720000000401</v>
      </c>
      <c r="S743">
        <f t="shared" si="192"/>
        <v>3165.9061200000001</v>
      </c>
      <c r="U743">
        <f t="shared" si="179"/>
        <v>11619.71831</v>
      </c>
      <c r="V743">
        <f t="shared" si="193"/>
        <v>1650.0000000199998</v>
      </c>
      <c r="W743">
        <f t="shared" si="180"/>
        <v>18.59154929600021</v>
      </c>
      <c r="X743">
        <f t="shared" si="181"/>
        <v>3.3185915493359994</v>
      </c>
      <c r="Y743">
        <f t="shared" si="182"/>
        <v>15.272957746664211</v>
      </c>
      <c r="Z743">
        <f t="shared" si="183"/>
        <v>34410.976909164921</v>
      </c>
      <c r="AB743">
        <f t="shared" si="184"/>
        <v>33714.148151000001</v>
      </c>
      <c r="AC743">
        <f t="shared" si="185"/>
        <v>4787.4090374419993</v>
      </c>
      <c r="AD743">
        <f t="shared" si="186"/>
        <v>53.942637041600612</v>
      </c>
      <c r="AE743">
        <f t="shared" si="187"/>
        <v>9.6287607119255991</v>
      </c>
      <c r="AF743">
        <f t="shared" si="188"/>
        <v>44.313876329675011</v>
      </c>
      <c r="AG743">
        <f t="shared" si="178"/>
        <v>47918.404250734944</v>
      </c>
      <c r="AH743" t="b">
        <f t="shared" si="189"/>
        <v>1</v>
      </c>
    </row>
    <row r="744" spans="4:34" hidden="1" x14ac:dyDescent="0.4">
      <c r="D744" t="s">
        <v>61</v>
      </c>
      <c r="E744" t="s">
        <v>37</v>
      </c>
      <c r="F744" s="9">
        <v>45851.583333333336</v>
      </c>
      <c r="G744" s="12">
        <v>0.73980000000000001</v>
      </c>
      <c r="H744" s="9">
        <v>45853.583333333336</v>
      </c>
      <c r="I744" s="12">
        <v>0.73209999999999997</v>
      </c>
      <c r="J744" s="12">
        <v>11220.2</v>
      </c>
      <c r="K744" s="12">
        <v>8300.77</v>
      </c>
      <c r="L744">
        <v>12.39</v>
      </c>
      <c r="M744">
        <v>-98.78</v>
      </c>
      <c r="N744" s="13">
        <v>-1.1900000000000001E-2</v>
      </c>
      <c r="O744" t="s">
        <v>38</v>
      </c>
      <c r="Q744">
        <f t="shared" si="190"/>
        <v>-86.395540000000452</v>
      </c>
      <c r="R744">
        <f t="shared" si="191"/>
        <v>-98.785540000000452</v>
      </c>
      <c r="S744">
        <f t="shared" si="192"/>
        <v>8214.3084199999994</v>
      </c>
      <c r="U744">
        <f t="shared" si="179"/>
        <v>2230.3325220000002</v>
      </c>
      <c r="V744">
        <f t="shared" si="193"/>
        <v>1649.9999997756001</v>
      </c>
      <c r="W744">
        <f t="shared" si="180"/>
        <v>-17.17356041940009</v>
      </c>
      <c r="X744">
        <f t="shared" si="181"/>
        <v>3.2828264391318003</v>
      </c>
      <c r="Y744">
        <f t="shared" si="182"/>
        <v>-20.456386858531889</v>
      </c>
      <c r="Z744">
        <f t="shared" si="183"/>
        <v>34395.703951418254</v>
      </c>
      <c r="AB744">
        <f t="shared" si="184"/>
        <v>6479.253506</v>
      </c>
      <c r="AC744">
        <f t="shared" si="185"/>
        <v>4793.3517437388</v>
      </c>
      <c r="AD744">
        <f t="shared" si="186"/>
        <v>-49.890251996200263</v>
      </c>
      <c r="AE744">
        <f t="shared" si="187"/>
        <v>9.5368132354814001</v>
      </c>
      <c r="AF744">
        <f t="shared" si="188"/>
        <v>-59.427065231681667</v>
      </c>
      <c r="AG744">
        <f t="shared" si="178"/>
        <v>47874.09037440527</v>
      </c>
      <c r="AH744" t="b">
        <f t="shared" si="189"/>
        <v>1</v>
      </c>
    </row>
    <row r="745" spans="4:34" hidden="1" x14ac:dyDescent="0.4">
      <c r="D745" t="s">
        <v>53</v>
      </c>
      <c r="E745" t="s">
        <v>37</v>
      </c>
      <c r="F745" s="9">
        <v>45851.5</v>
      </c>
      <c r="G745">
        <v>690.26</v>
      </c>
      <c r="H745" s="9">
        <v>45853.5</v>
      </c>
      <c r="I745">
        <v>679.25</v>
      </c>
      <c r="J745">
        <v>13.565</v>
      </c>
      <c r="K745" s="12">
        <v>9363.6200000000008</v>
      </c>
      <c r="L745">
        <v>13.93</v>
      </c>
      <c r="M745">
        <v>-163.28</v>
      </c>
      <c r="N745" s="13">
        <v>-1.7399999999999999E-2</v>
      </c>
      <c r="O745" t="s">
        <v>38</v>
      </c>
      <c r="Q745">
        <f t="shared" si="190"/>
        <v>-149.35064999999986</v>
      </c>
      <c r="R745">
        <f t="shared" si="191"/>
        <v>-163.28064999999987</v>
      </c>
      <c r="S745">
        <f t="shared" si="192"/>
        <v>9214.026249999999</v>
      </c>
      <c r="U745">
        <f t="shared" si="179"/>
        <v>2.3904040000000002</v>
      </c>
      <c r="V745">
        <f t="shared" si="193"/>
        <v>1650.0002650400002</v>
      </c>
      <c r="W745">
        <f t="shared" si="180"/>
        <v>-26.318348039999979</v>
      </c>
      <c r="X745">
        <f t="shared" si="181"/>
        <v>3.2736821820400004</v>
      </c>
      <c r="Y745">
        <f t="shared" si="182"/>
        <v>-29.59203022203998</v>
      </c>
      <c r="Z745">
        <f t="shared" si="183"/>
        <v>34416.160338276786</v>
      </c>
      <c r="AB745">
        <f t="shared" si="184"/>
        <v>6.956747</v>
      </c>
      <c r="AC745">
        <f t="shared" si="185"/>
        <v>4801.9641842199999</v>
      </c>
      <c r="AD745">
        <f t="shared" si="186"/>
        <v>-76.593784469999932</v>
      </c>
      <c r="AE745">
        <f t="shared" si="187"/>
        <v>9.5273345839699992</v>
      </c>
      <c r="AF745">
        <f t="shared" si="188"/>
        <v>-86.121119053969934</v>
      </c>
      <c r="AG745">
        <f t="shared" si="178"/>
        <v>47933.517439636955</v>
      </c>
      <c r="AH745" t="b">
        <f t="shared" si="189"/>
        <v>1</v>
      </c>
    </row>
    <row r="746" spans="4:34" hidden="1" x14ac:dyDescent="0.4">
      <c r="D746" t="s">
        <v>50</v>
      </c>
      <c r="E746" t="s">
        <v>37</v>
      </c>
      <c r="F746" s="9">
        <v>45851.5</v>
      </c>
      <c r="G746">
        <v>390</v>
      </c>
      <c r="H746" s="9">
        <v>45853.5</v>
      </c>
      <c r="I746">
        <v>419.6</v>
      </c>
      <c r="J746">
        <v>33.329700000000003</v>
      </c>
      <c r="K746" s="12">
        <v>12998.6</v>
      </c>
      <c r="L746">
        <v>20.239999999999998</v>
      </c>
      <c r="M746">
        <v>966.32</v>
      </c>
      <c r="N746" s="13">
        <v>7.4300000000000005E-2</v>
      </c>
      <c r="O746" t="s">
        <v>38</v>
      </c>
      <c r="Q746">
        <f t="shared" si="190"/>
        <v>986.5591200000008</v>
      </c>
      <c r="R746">
        <f t="shared" si="191"/>
        <v>966.31912000000079</v>
      </c>
      <c r="S746">
        <f t="shared" si="192"/>
        <v>13985.142120000002</v>
      </c>
      <c r="U746">
        <f t="shared" si="179"/>
        <v>4.2307689999999996</v>
      </c>
      <c r="V746">
        <f t="shared" si="193"/>
        <v>1649.9999099999998</v>
      </c>
      <c r="W746">
        <f t="shared" si="180"/>
        <v>125.23076240000009</v>
      </c>
      <c r="X746">
        <f t="shared" si="181"/>
        <v>3.4252305823999998</v>
      </c>
      <c r="Y746">
        <f t="shared" si="182"/>
        <v>121.80553181760008</v>
      </c>
      <c r="Z746">
        <f t="shared" si="183"/>
        <v>34445.752368498826</v>
      </c>
      <c r="AB746">
        <f t="shared" si="184"/>
        <v>12.222498999999999</v>
      </c>
      <c r="AC746">
        <f t="shared" si="185"/>
        <v>4766.7746099999995</v>
      </c>
      <c r="AD746">
        <f t="shared" si="186"/>
        <v>361.78597040000022</v>
      </c>
      <c r="AE746">
        <f t="shared" si="187"/>
        <v>9.8953351903999991</v>
      </c>
      <c r="AF746">
        <f t="shared" si="188"/>
        <v>351.89063520960025</v>
      </c>
      <c r="AG746">
        <f t="shared" ref="AG746:AG809" si="194">AG747*AH746 + (1-AH746)*AI746+AF746</f>
        <v>48019.638558690924</v>
      </c>
      <c r="AH746" t="b">
        <f t="shared" si="189"/>
        <v>1</v>
      </c>
    </row>
    <row r="747" spans="4:34" hidden="1" x14ac:dyDescent="0.4">
      <c r="D747" t="s">
        <v>55</v>
      </c>
      <c r="E747" t="s">
        <v>37</v>
      </c>
      <c r="F747" s="9">
        <v>45851.375</v>
      </c>
      <c r="G747">
        <v>6.2669999999999995E-5</v>
      </c>
      <c r="H747" s="9">
        <v>45853.375</v>
      </c>
      <c r="I747">
        <v>6.1849999999999999E-5</v>
      </c>
      <c r="J747" s="12">
        <v>95357441.280000001</v>
      </c>
      <c r="K747" s="12">
        <v>5976.05</v>
      </c>
      <c r="L747">
        <v>8.91</v>
      </c>
      <c r="M747">
        <v>-87.1</v>
      </c>
      <c r="N747" s="13">
        <v>-1.46E-2</v>
      </c>
      <c r="O747" t="s">
        <v>38</v>
      </c>
      <c r="Q747">
        <f t="shared" si="190"/>
        <v>-78.193101849599572</v>
      </c>
      <c r="R747">
        <f t="shared" si="191"/>
        <v>-87.103101849599568</v>
      </c>
      <c r="S747">
        <f t="shared" si="192"/>
        <v>5897.8577431679996</v>
      </c>
      <c r="U747">
        <f t="shared" si="179"/>
        <v>26328386.787937</v>
      </c>
      <c r="V747">
        <f t="shared" si="193"/>
        <v>1650.0000000000116</v>
      </c>
      <c r="W747">
        <f t="shared" si="180"/>
        <v>-21.589277166108221</v>
      </c>
      <c r="X747">
        <f t="shared" si="181"/>
        <v>3.2784107228339145</v>
      </c>
      <c r="Y747">
        <f t="shared" si="182"/>
        <v>-24.867687888942136</v>
      </c>
      <c r="Z747">
        <f t="shared" si="183"/>
        <v>34323.946836681229</v>
      </c>
      <c r="AB747">
        <f t="shared" si="184"/>
        <v>76176317.183001995</v>
      </c>
      <c r="AC747">
        <f t="shared" si="185"/>
        <v>4773.9697978587346</v>
      </c>
      <c r="AD747">
        <f t="shared" si="186"/>
        <v>-62.464580090061297</v>
      </c>
      <c r="AE747">
        <f t="shared" si="187"/>
        <v>9.4854750156274061</v>
      </c>
      <c r="AF747">
        <f t="shared" si="188"/>
        <v>-71.950055105688705</v>
      </c>
      <c r="AG747">
        <f t="shared" si="194"/>
        <v>47667.747923481322</v>
      </c>
      <c r="AH747" t="b">
        <f t="shared" si="189"/>
        <v>1</v>
      </c>
    </row>
    <row r="748" spans="4:34" hidden="1" x14ac:dyDescent="0.4">
      <c r="D748" t="s">
        <v>43</v>
      </c>
      <c r="E748" t="s">
        <v>37</v>
      </c>
      <c r="F748" s="9">
        <v>45851.333333333336</v>
      </c>
      <c r="G748">
        <v>3.4188000000000001</v>
      </c>
      <c r="H748" s="9">
        <v>45853.333333333336</v>
      </c>
      <c r="I748">
        <v>3.9245999999999999</v>
      </c>
      <c r="J748">
        <v>551.4</v>
      </c>
      <c r="K748" s="12">
        <v>1885.26</v>
      </c>
      <c r="L748">
        <v>3.04</v>
      </c>
      <c r="M748">
        <v>275.86</v>
      </c>
      <c r="N748" s="13">
        <v>0.14630000000000001</v>
      </c>
      <c r="O748" t="s">
        <v>38</v>
      </c>
      <c r="Q748">
        <f t="shared" si="190"/>
        <v>278.89811999999989</v>
      </c>
      <c r="R748">
        <f t="shared" si="191"/>
        <v>275.85811999999987</v>
      </c>
      <c r="S748">
        <f t="shared" si="192"/>
        <v>2164.0244399999997</v>
      </c>
      <c r="U748">
        <f t="shared" si="179"/>
        <v>482.62548299999997</v>
      </c>
      <c r="V748">
        <f t="shared" si="193"/>
        <v>1650.0000012803998</v>
      </c>
      <c r="W748">
        <f t="shared" si="180"/>
        <v>244.11196930139988</v>
      </c>
      <c r="X748">
        <f t="shared" si="181"/>
        <v>3.5441119718621996</v>
      </c>
      <c r="Y748">
        <f t="shared" si="182"/>
        <v>240.56785732953767</v>
      </c>
      <c r="Z748">
        <f t="shared" si="183"/>
        <v>34348.814524570174</v>
      </c>
      <c r="AB748">
        <f t="shared" si="184"/>
        <v>1376.3209810000001</v>
      </c>
      <c r="AC748">
        <f t="shared" si="185"/>
        <v>4705.3661698428004</v>
      </c>
      <c r="AD748">
        <f t="shared" si="186"/>
        <v>696.14315218979982</v>
      </c>
      <c r="AE748">
        <f t="shared" si="187"/>
        <v>10.1068754918754</v>
      </c>
      <c r="AF748">
        <f t="shared" si="188"/>
        <v>686.03627669792445</v>
      </c>
      <c r="AG748">
        <f t="shared" si="194"/>
        <v>47739.697978587013</v>
      </c>
      <c r="AH748" t="b">
        <f t="shared" si="189"/>
        <v>1</v>
      </c>
    </row>
    <row r="749" spans="4:34" hidden="1" x14ac:dyDescent="0.4">
      <c r="D749" t="s">
        <v>52</v>
      </c>
      <c r="E749" t="s">
        <v>37</v>
      </c>
      <c r="F749" s="9">
        <v>45851.25</v>
      </c>
      <c r="G749">
        <v>5.4109999999999996</v>
      </c>
      <c r="H749" s="9">
        <v>45853.25</v>
      </c>
      <c r="I749">
        <v>5.28</v>
      </c>
      <c r="J749" s="12">
        <v>439.84</v>
      </c>
      <c r="K749" s="12">
        <v>2379.98</v>
      </c>
      <c r="L749">
        <v>3.53</v>
      </c>
      <c r="M749">
        <v>-61.15</v>
      </c>
      <c r="N749" s="13">
        <v>-2.5700000000000001E-2</v>
      </c>
      <c r="O749" t="s">
        <v>38</v>
      </c>
      <c r="Q749">
        <f t="shared" si="190"/>
        <v>-57.619039999999707</v>
      </c>
      <c r="R749">
        <f t="shared" si="191"/>
        <v>-61.149039999999708</v>
      </c>
      <c r="S749">
        <f t="shared" si="192"/>
        <v>2322.3552</v>
      </c>
      <c r="U749">
        <f t="shared" si="179"/>
        <v>304.934393</v>
      </c>
      <c r="V749">
        <f t="shared" si="193"/>
        <v>1650.0000005229999</v>
      </c>
      <c r="W749">
        <f t="shared" si="180"/>
        <v>-39.946405482999801</v>
      </c>
      <c r="X749">
        <f t="shared" si="181"/>
        <v>3.2600535955629999</v>
      </c>
      <c r="Y749">
        <f t="shared" si="182"/>
        <v>-43.206459078562801</v>
      </c>
      <c r="Z749">
        <f t="shared" si="183"/>
        <v>34108.246667240637</v>
      </c>
      <c r="AB749">
        <f t="shared" si="184"/>
        <v>871.87578399999995</v>
      </c>
      <c r="AC749">
        <f t="shared" si="185"/>
        <v>4717.7198672239992</v>
      </c>
      <c r="AD749">
        <f t="shared" si="186"/>
        <v>-114.21572770399942</v>
      </c>
      <c r="AE749">
        <f t="shared" si="187"/>
        <v>9.3212240067439982</v>
      </c>
      <c r="AF749">
        <f t="shared" si="188"/>
        <v>-123.53695171074342</v>
      </c>
      <c r="AG749">
        <f t="shared" si="194"/>
        <v>47053.66170188909</v>
      </c>
      <c r="AH749" t="b">
        <f t="shared" si="189"/>
        <v>1</v>
      </c>
    </row>
    <row r="750" spans="4:34" hidden="1" x14ac:dyDescent="0.4">
      <c r="D750" t="s">
        <v>54</v>
      </c>
      <c r="E750" t="s">
        <v>37</v>
      </c>
      <c r="F750" s="9">
        <v>45851.25</v>
      </c>
      <c r="G750">
        <v>162.03</v>
      </c>
      <c r="H750" s="9">
        <v>45853.25</v>
      </c>
      <c r="I750">
        <v>160.13</v>
      </c>
      <c r="J750" s="12">
        <v>29.741</v>
      </c>
      <c r="K750" s="12">
        <v>4819.0600000000004</v>
      </c>
      <c r="L750">
        <v>7.19</v>
      </c>
      <c r="M750">
        <v>-63.69</v>
      </c>
      <c r="N750" s="13">
        <v>-1.32E-2</v>
      </c>
      <c r="O750" t="s">
        <v>38</v>
      </c>
      <c r="Q750">
        <f t="shared" si="190"/>
        <v>-56.50790000000017</v>
      </c>
      <c r="R750">
        <f t="shared" si="191"/>
        <v>-63.697900000000168</v>
      </c>
      <c r="S750">
        <f t="shared" si="192"/>
        <v>4762.4263300000002</v>
      </c>
      <c r="U750">
        <f t="shared" si="179"/>
        <v>10.183299</v>
      </c>
      <c r="V750">
        <f t="shared" si="193"/>
        <v>1649.9999369699999</v>
      </c>
      <c r="W750">
        <f t="shared" si="180"/>
        <v>-19.348268100000059</v>
      </c>
      <c r="X750">
        <f t="shared" si="181"/>
        <v>3.2806516058400002</v>
      </c>
      <c r="Y750">
        <f t="shared" si="182"/>
        <v>-22.628919705840058</v>
      </c>
      <c r="Z750">
        <f t="shared" si="183"/>
        <v>34151.453126319197</v>
      </c>
      <c r="AB750">
        <f t="shared" si="184"/>
        <v>29.156321999999999</v>
      </c>
      <c r="AC750">
        <f t="shared" si="185"/>
        <v>4724.1988536600002</v>
      </c>
      <c r="AD750">
        <f t="shared" si="186"/>
        <v>-55.397011800000165</v>
      </c>
      <c r="AE750">
        <f t="shared" si="187"/>
        <v>9.3930006955199996</v>
      </c>
      <c r="AF750">
        <f t="shared" si="188"/>
        <v>-64.790012495520159</v>
      </c>
      <c r="AG750">
        <f t="shared" si="194"/>
        <v>47177.198653599837</v>
      </c>
      <c r="AH750" t="b">
        <f t="shared" si="189"/>
        <v>1</v>
      </c>
    </row>
    <row r="751" spans="4:34" hidden="1" x14ac:dyDescent="0.4">
      <c r="D751" t="s">
        <v>60</v>
      </c>
      <c r="E751" t="s">
        <v>37</v>
      </c>
      <c r="F751" s="9">
        <v>45850.125</v>
      </c>
      <c r="G751">
        <v>2.8243</v>
      </c>
      <c r="H751" s="9">
        <v>45852.625</v>
      </c>
      <c r="I751">
        <v>3.0034999999999998</v>
      </c>
      <c r="J751">
        <v>796.3</v>
      </c>
      <c r="K751" s="12">
        <v>2249.2399999999998</v>
      </c>
      <c r="L751">
        <v>3.48</v>
      </c>
      <c r="M751">
        <v>139.22</v>
      </c>
      <c r="N751" s="13">
        <v>6.1899999999999997E-2</v>
      </c>
      <c r="O751" t="s">
        <v>57</v>
      </c>
      <c r="Q751">
        <f t="shared" si="190"/>
        <v>142.69695999999985</v>
      </c>
      <c r="R751">
        <f t="shared" si="191"/>
        <v>139.21695999999986</v>
      </c>
      <c r="S751">
        <f t="shared" si="192"/>
        <v>2391.6870499999995</v>
      </c>
      <c r="U751">
        <f t="shared" si="179"/>
        <v>584.21555799999999</v>
      </c>
      <c r="V751">
        <f t="shared" si="193"/>
        <v>1650.0000004593999</v>
      </c>
      <c r="W751">
        <f t="shared" si="180"/>
        <v>104.69142799359989</v>
      </c>
      <c r="X751">
        <f t="shared" si="181"/>
        <v>3.4046914289124</v>
      </c>
      <c r="Y751">
        <f t="shared" si="182"/>
        <v>101.28673656468749</v>
      </c>
      <c r="Z751">
        <f t="shared" si="183"/>
        <v>34174.08204602504</v>
      </c>
      <c r="AB751">
        <f t="shared" si="184"/>
        <v>1662.491902</v>
      </c>
      <c r="AC751">
        <f t="shared" si="185"/>
        <v>4695.3758788185996</v>
      </c>
      <c r="AD751">
        <f t="shared" si="186"/>
        <v>297.91854883839966</v>
      </c>
      <c r="AE751">
        <f t="shared" si="187"/>
        <v>9.6886703064756006</v>
      </c>
      <c r="AF751">
        <f t="shared" si="188"/>
        <v>288.22987853192404</v>
      </c>
      <c r="AG751">
        <f t="shared" si="194"/>
        <v>47241.988666095356</v>
      </c>
      <c r="AH751" t="b">
        <f t="shared" si="189"/>
        <v>1</v>
      </c>
    </row>
    <row r="752" spans="4:34" hidden="1" x14ac:dyDescent="0.4">
      <c r="D752" t="s">
        <v>59</v>
      </c>
      <c r="E752" t="s">
        <v>37</v>
      </c>
      <c r="F752" s="9">
        <v>45850.125</v>
      </c>
      <c r="G752" s="12">
        <v>117687.89</v>
      </c>
      <c r="H752" s="9">
        <v>45852.625</v>
      </c>
      <c r="I752" s="12">
        <v>121742.01</v>
      </c>
      <c r="J752">
        <v>8.9090000000000003E-2</v>
      </c>
      <c r="K752" s="12">
        <v>10485.16</v>
      </c>
      <c r="L752">
        <v>16</v>
      </c>
      <c r="M752">
        <v>345.18</v>
      </c>
      <c r="N752" s="13">
        <v>3.2899999999999999E-2</v>
      </c>
      <c r="O752" t="s">
        <v>57</v>
      </c>
      <c r="Q752">
        <f t="shared" si="190"/>
        <v>361.18155079999957</v>
      </c>
      <c r="R752">
        <f t="shared" si="191"/>
        <v>345.18155079999957</v>
      </c>
      <c r="S752">
        <f t="shared" si="192"/>
        <v>10845.9956709</v>
      </c>
      <c r="U752">
        <f t="shared" si="179"/>
        <v>1.4019999999999999E-2</v>
      </c>
      <c r="V752">
        <f t="shared" si="193"/>
        <v>1649.9842177999999</v>
      </c>
      <c r="W752">
        <f t="shared" si="180"/>
        <v>56.838762399999929</v>
      </c>
      <c r="X752">
        <f t="shared" si="181"/>
        <v>3.3568071979999998</v>
      </c>
      <c r="Y752">
        <f t="shared" si="182"/>
        <v>53.481955201999931</v>
      </c>
      <c r="Z752">
        <f t="shared" si="183"/>
        <v>34072.795309460351</v>
      </c>
      <c r="AB752">
        <f t="shared" si="184"/>
        <v>3.9767999999999998E-2</v>
      </c>
      <c r="AC752">
        <f t="shared" si="185"/>
        <v>4680.2120095199998</v>
      </c>
      <c r="AD752">
        <f t="shared" si="186"/>
        <v>161.22424415999981</v>
      </c>
      <c r="AE752">
        <f t="shared" si="187"/>
        <v>9.5216482631999995</v>
      </c>
      <c r="AF752">
        <f t="shared" si="188"/>
        <v>151.70259589679981</v>
      </c>
      <c r="AG752">
        <f t="shared" si="194"/>
        <v>46953.758787563434</v>
      </c>
      <c r="AH752" t="b">
        <f t="shared" si="189"/>
        <v>1</v>
      </c>
    </row>
    <row r="753" spans="4:34" hidden="1" x14ac:dyDescent="0.4">
      <c r="D753" t="s">
        <v>48</v>
      </c>
      <c r="E753" t="s">
        <v>37</v>
      </c>
      <c r="F753" s="9">
        <v>45849.791666666664</v>
      </c>
      <c r="G753">
        <v>0.1429</v>
      </c>
      <c r="H753" s="9">
        <v>45851.791666666664</v>
      </c>
      <c r="I753">
        <v>0.14199999999999999</v>
      </c>
      <c r="J753" s="12">
        <v>21924.9</v>
      </c>
      <c r="K753" s="12">
        <v>3133.08</v>
      </c>
      <c r="L753">
        <v>4.68</v>
      </c>
      <c r="M753" s="12">
        <v>-24.42</v>
      </c>
      <c r="N753" s="13">
        <v>-7.7999999999999996E-3</v>
      </c>
      <c r="O753" t="s">
        <v>38</v>
      </c>
      <c r="Q753">
        <f t="shared" si="190"/>
        <v>-19.732410000000261</v>
      </c>
      <c r="R753">
        <f t="shared" si="191"/>
        <v>-24.412410000000261</v>
      </c>
      <c r="S753">
        <f t="shared" si="192"/>
        <v>3113.3357999999998</v>
      </c>
      <c r="U753">
        <f t="shared" si="179"/>
        <v>11546.536039000001</v>
      </c>
      <c r="V753">
        <f t="shared" si="193"/>
        <v>1649.9999999731001</v>
      </c>
      <c r="W753">
        <f t="shared" si="180"/>
        <v>-10.391882435100138</v>
      </c>
      <c r="X753">
        <f t="shared" si="181"/>
        <v>3.2896081175110998</v>
      </c>
      <c r="Y753">
        <f t="shared" si="182"/>
        <v>-13.681490552611237</v>
      </c>
      <c r="Z753">
        <f t="shared" si="183"/>
        <v>34019.313354258353</v>
      </c>
      <c r="AB753">
        <f t="shared" si="184"/>
        <v>32778.793410999999</v>
      </c>
      <c r="AC753">
        <f t="shared" si="185"/>
        <v>4684.0895784319</v>
      </c>
      <c r="AD753">
        <f t="shared" si="186"/>
        <v>-29.500914069900389</v>
      </c>
      <c r="AE753">
        <f t="shared" si="187"/>
        <v>9.3386782427938986</v>
      </c>
      <c r="AF753">
        <f t="shared" si="188"/>
        <v>-38.839592312694286</v>
      </c>
      <c r="AG753">
        <f t="shared" si="194"/>
        <v>46802.056191666634</v>
      </c>
      <c r="AH753" t="b">
        <f t="shared" si="189"/>
        <v>1</v>
      </c>
    </row>
    <row r="754" spans="4:34" hidden="1" x14ac:dyDescent="0.4">
      <c r="D754" t="s">
        <v>58</v>
      </c>
      <c r="E754" t="s">
        <v>37</v>
      </c>
      <c r="F754" s="9">
        <v>45849.416666666664</v>
      </c>
      <c r="G754">
        <v>15.35</v>
      </c>
      <c r="H754" s="9">
        <v>45851.416666666664</v>
      </c>
      <c r="I754">
        <v>15.38</v>
      </c>
      <c r="J754">
        <v>466.91</v>
      </c>
      <c r="K754" s="12">
        <v>7167.15</v>
      </c>
      <c r="L754">
        <v>10.76</v>
      </c>
      <c r="M754">
        <v>3.25</v>
      </c>
      <c r="N754" s="13">
        <v>5.0000000000000001E-4</v>
      </c>
      <c r="O754" t="s">
        <v>38</v>
      </c>
      <c r="Q754">
        <f t="shared" si="190"/>
        <v>14.007300000000532</v>
      </c>
      <c r="R754">
        <f t="shared" si="191"/>
        <v>3.2473000000005321</v>
      </c>
      <c r="S754">
        <f t="shared" si="192"/>
        <v>7181.0758000000005</v>
      </c>
      <c r="U754">
        <f t="shared" si="179"/>
        <v>107.491857</v>
      </c>
      <c r="V754">
        <f t="shared" si="193"/>
        <v>1650.0000049499999</v>
      </c>
      <c r="W754">
        <f t="shared" si="180"/>
        <v>3.2247557100001223</v>
      </c>
      <c r="X754">
        <f t="shared" si="181"/>
        <v>3.30322476561</v>
      </c>
      <c r="Y754">
        <f t="shared" si="182"/>
        <v>-7.8469055609877714E-2</v>
      </c>
      <c r="Z754">
        <f t="shared" si="183"/>
        <v>34032.994844810964</v>
      </c>
      <c r="AB754">
        <f t="shared" si="184"/>
        <v>305.15386699999999</v>
      </c>
      <c r="AC754">
        <f t="shared" si="185"/>
        <v>4684.11185845</v>
      </c>
      <c r="AD754">
        <f t="shared" si="186"/>
        <v>9.1546160100003462</v>
      </c>
      <c r="AE754">
        <f t="shared" si="187"/>
        <v>9.3773783329100002</v>
      </c>
      <c r="AF754">
        <f t="shared" si="188"/>
        <v>-0.22276232290965403</v>
      </c>
      <c r="AG754">
        <f t="shared" si="194"/>
        <v>46840.895783979329</v>
      </c>
      <c r="AH754" t="b">
        <f t="shared" si="189"/>
        <v>1</v>
      </c>
    </row>
    <row r="755" spans="4:34" hidden="1" x14ac:dyDescent="0.4">
      <c r="D755" t="s">
        <v>50</v>
      </c>
      <c r="E755" t="s">
        <v>37</v>
      </c>
      <c r="F755" s="9">
        <v>45849.416666666664</v>
      </c>
      <c r="G755" s="12">
        <v>385</v>
      </c>
      <c r="H755" s="9">
        <v>45851.416666666664</v>
      </c>
      <c r="I755" s="12">
        <v>389.4</v>
      </c>
      <c r="J755">
        <v>33.729100000000003</v>
      </c>
      <c r="K755" s="12">
        <v>12985.72</v>
      </c>
      <c r="L755">
        <v>19.59</v>
      </c>
      <c r="M755">
        <v>128.82</v>
      </c>
      <c r="N755" s="13">
        <v>9.9000000000000008E-3</v>
      </c>
      <c r="O755" t="s">
        <v>38</v>
      </c>
      <c r="Q755">
        <f t="shared" si="190"/>
        <v>148.40803999999923</v>
      </c>
      <c r="R755">
        <f t="shared" si="191"/>
        <v>128.81803999999923</v>
      </c>
      <c r="S755">
        <f t="shared" si="192"/>
        <v>13134.11154</v>
      </c>
      <c r="U755">
        <f t="shared" si="179"/>
        <v>4.2857139999999996</v>
      </c>
      <c r="V755">
        <f t="shared" si="193"/>
        <v>1649.9998899999998</v>
      </c>
      <c r="W755">
        <f t="shared" si="180"/>
        <v>18.857141599999899</v>
      </c>
      <c r="X755">
        <f t="shared" si="181"/>
        <v>3.3188569215999997</v>
      </c>
      <c r="Y755">
        <f t="shared" si="182"/>
        <v>15.538284678399899</v>
      </c>
      <c r="Z755">
        <f t="shared" si="183"/>
        <v>34033.073313866575</v>
      </c>
      <c r="AB755">
        <f t="shared" si="184"/>
        <v>12.155078</v>
      </c>
      <c r="AC755">
        <f t="shared" si="185"/>
        <v>4679.7050300000001</v>
      </c>
      <c r="AD755">
        <f t="shared" si="186"/>
        <v>53.482343199999725</v>
      </c>
      <c r="AE755">
        <f t="shared" si="187"/>
        <v>9.412892403199999</v>
      </c>
      <c r="AF755">
        <f t="shared" si="188"/>
        <v>44.069450796799728</v>
      </c>
      <c r="AG755">
        <f t="shared" si="194"/>
        <v>46841.118546302241</v>
      </c>
      <c r="AH755" t="b">
        <f t="shared" si="189"/>
        <v>1</v>
      </c>
    </row>
    <row r="756" spans="4:34" hidden="1" x14ac:dyDescent="0.4">
      <c r="D756" t="s">
        <v>61</v>
      </c>
      <c r="E756" t="s">
        <v>37</v>
      </c>
      <c r="F756" s="9">
        <v>45849.375</v>
      </c>
      <c r="G756">
        <v>0.69940000000000002</v>
      </c>
      <c r="H756" s="9">
        <v>45851.375</v>
      </c>
      <c r="I756">
        <v>0.74050000000000005</v>
      </c>
      <c r="J756" s="12">
        <v>11800.8</v>
      </c>
      <c r="K756" s="12">
        <v>8253.5499999999993</v>
      </c>
      <c r="L756">
        <v>12.74</v>
      </c>
      <c r="M756">
        <v>472.27</v>
      </c>
      <c r="N756" s="13">
        <v>5.7200000000000001E-2</v>
      </c>
      <c r="O756" t="s">
        <v>38</v>
      </c>
      <c r="Q756">
        <f t="shared" si="190"/>
        <v>485.01288000000028</v>
      </c>
      <c r="R756">
        <f t="shared" si="191"/>
        <v>472.27288000000027</v>
      </c>
      <c r="S756">
        <f t="shared" si="192"/>
        <v>8738.4923999999992</v>
      </c>
      <c r="U756">
        <f t="shared" si="179"/>
        <v>2359.1649990000001</v>
      </c>
      <c r="V756">
        <f t="shared" si="193"/>
        <v>1650.0000003006</v>
      </c>
      <c r="W756">
        <f t="shared" si="180"/>
        <v>96.96168145890006</v>
      </c>
      <c r="X756">
        <f t="shared" si="181"/>
        <v>3.3969616820601005</v>
      </c>
      <c r="Y756">
        <f t="shared" si="182"/>
        <v>93.564719776839965</v>
      </c>
      <c r="Z756">
        <f t="shared" si="183"/>
        <v>34017.535029188177</v>
      </c>
      <c r="AB756">
        <f t="shared" si="184"/>
        <v>6653.2997660000001</v>
      </c>
      <c r="AC756">
        <f t="shared" si="185"/>
        <v>4653.3178563403999</v>
      </c>
      <c r="AD756">
        <f t="shared" si="186"/>
        <v>273.45062038260016</v>
      </c>
      <c r="AE756">
        <f t="shared" si="187"/>
        <v>9.5800863330634023</v>
      </c>
      <c r="AF756">
        <f t="shared" si="188"/>
        <v>263.87053404953679</v>
      </c>
      <c r="AG756">
        <f t="shared" si="194"/>
        <v>46797.049095505441</v>
      </c>
      <c r="AH756" t="b">
        <f t="shared" si="189"/>
        <v>1</v>
      </c>
    </row>
    <row r="757" spans="4:34" hidden="1" x14ac:dyDescent="0.4">
      <c r="D757" t="s">
        <v>43</v>
      </c>
      <c r="E757" t="s">
        <v>37</v>
      </c>
      <c r="F757" s="9">
        <v>45849.291666666664</v>
      </c>
      <c r="G757" s="12">
        <v>3.5171999999999999</v>
      </c>
      <c r="H757" s="9">
        <v>45851.291666666664</v>
      </c>
      <c r="I757" s="12">
        <v>3.4089999999999998</v>
      </c>
      <c r="J757">
        <v>537.70000000000005</v>
      </c>
      <c r="K757" s="12">
        <v>1891.35</v>
      </c>
      <c r="L757">
        <v>2.79</v>
      </c>
      <c r="M757">
        <v>-60.97</v>
      </c>
      <c r="N757" s="13">
        <v>-3.2199999999999999E-2</v>
      </c>
      <c r="O757" t="s">
        <v>38</v>
      </c>
      <c r="Q757">
        <f t="shared" si="190"/>
        <v>-58.179140000000046</v>
      </c>
      <c r="R757">
        <f t="shared" si="191"/>
        <v>-60.969140000000046</v>
      </c>
      <c r="S757">
        <f t="shared" si="192"/>
        <v>1833.0193000000002</v>
      </c>
      <c r="U757">
        <f t="shared" si="179"/>
        <v>469.12316600000003</v>
      </c>
      <c r="V757">
        <f t="shared" si="193"/>
        <v>1649.9999994551999</v>
      </c>
      <c r="W757">
        <f t="shared" si="180"/>
        <v>-50.759126561200034</v>
      </c>
      <c r="X757">
        <f t="shared" si="181"/>
        <v>3.2492408723491999</v>
      </c>
      <c r="Y757">
        <f t="shared" si="182"/>
        <v>-54.008367433549232</v>
      </c>
      <c r="Z757">
        <f t="shared" si="183"/>
        <v>33923.970309411336</v>
      </c>
      <c r="AB757">
        <f t="shared" si="184"/>
        <v>1327.3624689999999</v>
      </c>
      <c r="AC757">
        <f t="shared" si="185"/>
        <v>4668.5992759667997</v>
      </c>
      <c r="AD757">
        <f t="shared" si="186"/>
        <v>-143.62061914580008</v>
      </c>
      <c r="AE757">
        <f t="shared" si="187"/>
        <v>9.1935779327877984</v>
      </c>
      <c r="AF757">
        <f t="shared" si="188"/>
        <v>-152.81419707858788</v>
      </c>
      <c r="AG757">
        <f t="shared" si="194"/>
        <v>46533.178561455905</v>
      </c>
      <c r="AH757" t="b">
        <f t="shared" si="189"/>
        <v>1</v>
      </c>
    </row>
    <row r="758" spans="4:34" hidden="1" x14ac:dyDescent="0.4">
      <c r="D758" t="s">
        <v>53</v>
      </c>
      <c r="E758" t="s">
        <v>37</v>
      </c>
      <c r="F758" s="9">
        <v>45849.291666666664</v>
      </c>
      <c r="G758">
        <v>693.56</v>
      </c>
      <c r="H758" s="9">
        <v>45851.291666666664</v>
      </c>
      <c r="I758">
        <v>688.52</v>
      </c>
      <c r="J758">
        <v>13.512</v>
      </c>
      <c r="K758" s="12">
        <v>9371.83</v>
      </c>
      <c r="L758">
        <v>14.01</v>
      </c>
      <c r="M758">
        <v>-82.11</v>
      </c>
      <c r="N758" s="13">
        <v>-8.8000000000000005E-3</v>
      </c>
      <c r="O758" t="s">
        <v>38</v>
      </c>
      <c r="Q758">
        <f t="shared" si="190"/>
        <v>-68.100479999999507</v>
      </c>
      <c r="R758">
        <f t="shared" si="191"/>
        <v>-82.110479999999512</v>
      </c>
      <c r="S758">
        <f t="shared" si="192"/>
        <v>9303.2822400000005</v>
      </c>
      <c r="U758">
        <f t="shared" si="179"/>
        <v>2.3790300000000002</v>
      </c>
      <c r="V758">
        <f t="shared" si="193"/>
        <v>1650.0000468000001</v>
      </c>
      <c r="W758">
        <f t="shared" si="180"/>
        <v>-11.990311199999914</v>
      </c>
      <c r="X758">
        <f t="shared" si="181"/>
        <v>3.2880097824000001</v>
      </c>
      <c r="Y758">
        <f t="shared" si="182"/>
        <v>-15.278320982399913</v>
      </c>
      <c r="Z758">
        <f t="shared" si="183"/>
        <v>33977.978676844883</v>
      </c>
      <c r="AB758">
        <f t="shared" si="184"/>
        <v>6.7375949999999998</v>
      </c>
      <c r="AC758">
        <f t="shared" si="185"/>
        <v>4672.9263881999996</v>
      </c>
      <c r="AD758">
        <f t="shared" si="186"/>
        <v>-33.957478799999755</v>
      </c>
      <c r="AE758">
        <f t="shared" si="187"/>
        <v>9.3118952975999996</v>
      </c>
      <c r="AF758">
        <f t="shared" si="188"/>
        <v>-43.269374097599751</v>
      </c>
      <c r="AG758">
        <f t="shared" si="194"/>
        <v>46685.992758534492</v>
      </c>
      <c r="AH758" t="b">
        <f t="shared" si="189"/>
        <v>1</v>
      </c>
    </row>
    <row r="759" spans="4:34" hidden="1" x14ac:dyDescent="0.4">
      <c r="D759" t="s">
        <v>56</v>
      </c>
      <c r="E759" t="s">
        <v>37</v>
      </c>
      <c r="F759" s="9">
        <v>45848.75</v>
      </c>
      <c r="G759" s="12">
        <v>2810.09</v>
      </c>
      <c r="H759" s="9">
        <v>45851.25</v>
      </c>
      <c r="I759" s="12">
        <v>2959.76</v>
      </c>
      <c r="J759" s="12">
        <v>1.9535</v>
      </c>
      <c r="K759" s="12">
        <v>5489.77</v>
      </c>
      <c r="L759">
        <v>8.4499999999999993</v>
      </c>
      <c r="M759">
        <v>283.93</v>
      </c>
      <c r="N759" s="13">
        <v>5.1700000000000003E-2</v>
      </c>
      <c r="O759" t="s">
        <v>57</v>
      </c>
      <c r="Q759">
        <f t="shared" si="190"/>
        <v>292.38034500000015</v>
      </c>
      <c r="R759">
        <f t="shared" si="191"/>
        <v>283.93034500000016</v>
      </c>
      <c r="S759">
        <f t="shared" si="192"/>
        <v>5781.8911600000001</v>
      </c>
      <c r="U759">
        <f t="shared" si="179"/>
        <v>0.58716999999999997</v>
      </c>
      <c r="V759">
        <f t="shared" si="193"/>
        <v>1650.0005453000001</v>
      </c>
      <c r="W759">
        <f t="shared" si="180"/>
        <v>87.881733900000043</v>
      </c>
      <c r="X759">
        <f t="shared" si="181"/>
        <v>3.3878828245000001</v>
      </c>
      <c r="Y759">
        <f t="shared" si="182"/>
        <v>84.493851075500046</v>
      </c>
      <c r="Z759">
        <f t="shared" si="183"/>
        <v>33993.25699782728</v>
      </c>
      <c r="AB759">
        <f t="shared" si="184"/>
        <v>1.6544380000000001</v>
      </c>
      <c r="AC759">
        <f t="shared" si="185"/>
        <v>4649.1196794200005</v>
      </c>
      <c r="AD759">
        <f t="shared" si="186"/>
        <v>247.61973546000013</v>
      </c>
      <c r="AE759">
        <f t="shared" si="187"/>
        <v>9.5458590943000026</v>
      </c>
      <c r="AF759">
        <f t="shared" si="188"/>
        <v>238.07387636570013</v>
      </c>
      <c r="AG759">
        <f t="shared" si="194"/>
        <v>46729.262132632095</v>
      </c>
      <c r="AH759" t="b">
        <f t="shared" si="189"/>
        <v>1</v>
      </c>
    </row>
    <row r="760" spans="4:34" hidden="1" x14ac:dyDescent="0.4">
      <c r="D760" t="s">
        <v>52</v>
      </c>
      <c r="E760" t="s">
        <v>37</v>
      </c>
      <c r="F760" s="9">
        <v>45849.125</v>
      </c>
      <c r="G760">
        <v>5.452</v>
      </c>
      <c r="H760" s="9">
        <v>45851.125</v>
      </c>
      <c r="I760">
        <v>5.3639999999999999</v>
      </c>
      <c r="J760" s="12">
        <v>437.3</v>
      </c>
      <c r="K760" s="12">
        <v>2384.1799999999998</v>
      </c>
      <c r="L760">
        <v>3.55</v>
      </c>
      <c r="M760">
        <v>-42.03</v>
      </c>
      <c r="N760" s="13">
        <v>-1.7600000000000001E-2</v>
      </c>
      <c r="O760" t="s">
        <v>38</v>
      </c>
      <c r="Q760">
        <f t="shared" si="190"/>
        <v>-38.482400000000034</v>
      </c>
      <c r="R760">
        <f t="shared" si="191"/>
        <v>-42.032400000000031</v>
      </c>
      <c r="S760">
        <f t="shared" si="192"/>
        <v>2345.6772000000001</v>
      </c>
      <c r="U760">
        <f t="shared" si="179"/>
        <v>302.641233</v>
      </c>
      <c r="V760">
        <f t="shared" si="193"/>
        <v>1650.0000023160001</v>
      </c>
      <c r="W760">
        <f t="shared" si="180"/>
        <v>-26.632428504000025</v>
      </c>
      <c r="X760">
        <f t="shared" si="181"/>
        <v>3.2733675761279999</v>
      </c>
      <c r="Y760">
        <f t="shared" si="182"/>
        <v>-29.905796080128024</v>
      </c>
      <c r="Z760">
        <f t="shared" si="183"/>
        <v>33908.763146751779</v>
      </c>
      <c r="AB760">
        <f t="shared" si="184"/>
        <v>854.284763</v>
      </c>
      <c r="AC760">
        <f t="shared" si="185"/>
        <v>4657.5605278760004</v>
      </c>
      <c r="AD760">
        <f t="shared" si="186"/>
        <v>-75.177059144000069</v>
      </c>
      <c r="AE760">
        <f t="shared" si="187"/>
        <v>9.2399439966079999</v>
      </c>
      <c r="AF760">
        <f t="shared" si="188"/>
        <v>-84.417003140608074</v>
      </c>
      <c r="AG760">
        <f t="shared" si="194"/>
        <v>46491.188256266396</v>
      </c>
      <c r="AH760" t="b">
        <f t="shared" si="189"/>
        <v>1</v>
      </c>
    </row>
    <row r="761" spans="4:34" hidden="1" x14ac:dyDescent="0.4">
      <c r="D761" t="s">
        <v>54</v>
      </c>
      <c r="E761" t="s">
        <v>37</v>
      </c>
      <c r="F761" s="9">
        <v>45849.125</v>
      </c>
      <c r="G761">
        <v>164.53</v>
      </c>
      <c r="H761" s="9">
        <v>45851.125</v>
      </c>
      <c r="I761">
        <v>161.55000000000001</v>
      </c>
      <c r="J761">
        <v>29.347000000000001</v>
      </c>
      <c r="K761" s="12">
        <v>4828.53</v>
      </c>
      <c r="L761">
        <v>7.18</v>
      </c>
      <c r="M761">
        <v>-94.63</v>
      </c>
      <c r="N761" s="13">
        <v>-1.9599999999999999E-2</v>
      </c>
      <c r="O761" t="s">
        <v>38</v>
      </c>
      <c r="Q761">
        <f t="shared" si="190"/>
        <v>-87.4540599999997</v>
      </c>
      <c r="R761">
        <f t="shared" si="191"/>
        <v>-94.634059999999693</v>
      </c>
      <c r="S761">
        <f t="shared" si="192"/>
        <v>4741.0078500000009</v>
      </c>
      <c r="U761">
        <f t="shared" si="179"/>
        <v>10.028566</v>
      </c>
      <c r="V761">
        <f t="shared" si="193"/>
        <v>1649.9999639799998</v>
      </c>
      <c r="W761">
        <f t="shared" si="180"/>
        <v>-29.885126679999896</v>
      </c>
      <c r="X761">
        <f t="shared" si="181"/>
        <v>3.2701148012800001</v>
      </c>
      <c r="Y761">
        <f t="shared" si="182"/>
        <v>-33.155241481279894</v>
      </c>
      <c r="Z761">
        <f t="shared" si="183"/>
        <v>33938.668942831908</v>
      </c>
      <c r="AB761">
        <f t="shared" si="184"/>
        <v>28.365272999999998</v>
      </c>
      <c r="AC761">
        <f t="shared" si="185"/>
        <v>4666.9383666899994</v>
      </c>
      <c r="AD761">
        <f t="shared" si="186"/>
        <v>-84.528513539999707</v>
      </c>
      <c r="AE761">
        <f t="shared" si="187"/>
        <v>9.2493482198399999</v>
      </c>
      <c r="AF761">
        <f t="shared" si="188"/>
        <v>-93.777861759839709</v>
      </c>
      <c r="AG761">
        <f t="shared" si="194"/>
        <v>46575.605259407006</v>
      </c>
      <c r="AH761" t="b">
        <f t="shared" si="189"/>
        <v>1</v>
      </c>
    </row>
    <row r="762" spans="4:34" hidden="1" x14ac:dyDescent="0.4">
      <c r="D762" t="s">
        <v>55</v>
      </c>
      <c r="E762" t="s">
        <v>37</v>
      </c>
      <c r="F762" s="9">
        <v>45848.75</v>
      </c>
      <c r="G762">
        <v>6.0770000000000003E-5</v>
      </c>
      <c r="H762" s="9">
        <v>45850.75</v>
      </c>
      <c r="I762">
        <v>6.1459999999999998E-5</v>
      </c>
      <c r="J762" s="12">
        <v>98242105.469999999</v>
      </c>
      <c r="K762" s="12">
        <v>5970.17</v>
      </c>
      <c r="L762">
        <v>9.01</v>
      </c>
      <c r="M762">
        <v>58.78</v>
      </c>
      <c r="N762" s="13">
        <v>9.7999999999999997E-3</v>
      </c>
      <c r="O762" t="s">
        <v>38</v>
      </c>
      <c r="Q762">
        <f t="shared" si="190"/>
        <v>67.787052774299511</v>
      </c>
      <c r="R762">
        <f t="shared" si="191"/>
        <v>58.777052774299513</v>
      </c>
      <c r="S762">
        <f t="shared" si="192"/>
        <v>6037.9598021861993</v>
      </c>
      <c r="U762">
        <f t="shared" si="179"/>
        <v>27151555.043607</v>
      </c>
      <c r="V762">
        <f t="shared" si="193"/>
        <v>1649.9999999999975</v>
      </c>
      <c r="W762">
        <f t="shared" si="180"/>
        <v>18.734572980088696</v>
      </c>
      <c r="X762">
        <f t="shared" si="181"/>
        <v>3.3187345729800839</v>
      </c>
      <c r="Y762">
        <f t="shared" si="182"/>
        <v>15.415838407108613</v>
      </c>
      <c r="Z762">
        <f t="shared" si="183"/>
        <v>33971.824184313191</v>
      </c>
      <c r="AB762">
        <f t="shared" si="184"/>
        <v>76725063.241748005</v>
      </c>
      <c r="AC762">
        <f t="shared" si="185"/>
        <v>4662.5820932010265</v>
      </c>
      <c r="AD762">
        <f t="shared" si="186"/>
        <v>52.940293636805748</v>
      </c>
      <c r="AE762">
        <f t="shared" si="187"/>
        <v>9.3781044800388589</v>
      </c>
      <c r="AF762">
        <f t="shared" si="188"/>
        <v>43.562189156766891</v>
      </c>
      <c r="AG762">
        <f t="shared" si="194"/>
        <v>46669.383121166844</v>
      </c>
      <c r="AH762" t="b">
        <f t="shared" si="189"/>
        <v>1</v>
      </c>
    </row>
    <row r="763" spans="4:34" hidden="1" x14ac:dyDescent="0.4">
      <c r="D763" t="s">
        <v>59</v>
      </c>
      <c r="E763" t="s">
        <v>37</v>
      </c>
      <c r="F763" s="9">
        <v>45847.458333333336</v>
      </c>
      <c r="G763" s="12">
        <v>108773.1</v>
      </c>
      <c r="H763" s="9">
        <v>45849.958333333336</v>
      </c>
      <c r="I763" s="12">
        <v>117678.29</v>
      </c>
      <c r="J763">
        <v>9.5619999999999997E-2</v>
      </c>
      <c r="K763" s="12">
        <v>10401.629999999999</v>
      </c>
      <c r="L763">
        <v>16.239999999999998</v>
      </c>
      <c r="M763">
        <v>835.27</v>
      </c>
      <c r="N763" s="13">
        <v>8.0299999999999996E-2</v>
      </c>
      <c r="O763" t="s">
        <v>57</v>
      </c>
      <c r="Q763">
        <f t="shared" si="190"/>
        <v>851.51426779999883</v>
      </c>
      <c r="R763">
        <f t="shared" si="191"/>
        <v>835.27426779999882</v>
      </c>
      <c r="S763">
        <f t="shared" si="192"/>
        <v>11252.398089799999</v>
      </c>
      <c r="U763">
        <f t="shared" si="179"/>
        <v>1.5169E-2</v>
      </c>
      <c r="V763">
        <f t="shared" si="193"/>
        <v>1649.9791539</v>
      </c>
      <c r="W763">
        <f t="shared" si="180"/>
        <v>135.08282710999981</v>
      </c>
      <c r="X763">
        <f t="shared" si="181"/>
        <v>3.4350411349100005</v>
      </c>
      <c r="Y763">
        <f t="shared" si="182"/>
        <v>131.64778597508982</v>
      </c>
      <c r="Z763">
        <f t="shared" si="183"/>
        <v>33956.408345906086</v>
      </c>
      <c r="AB763">
        <f t="shared" si="184"/>
        <v>4.2526000000000001E-2</v>
      </c>
      <c r="AC763">
        <f t="shared" si="185"/>
        <v>4625.6848506000006</v>
      </c>
      <c r="AD763">
        <f t="shared" si="186"/>
        <v>378.7021099399995</v>
      </c>
      <c r="AE763">
        <f t="shared" si="187"/>
        <v>9.6300718111400023</v>
      </c>
      <c r="AF763">
        <f t="shared" si="188"/>
        <v>369.0720381288595</v>
      </c>
      <c r="AG763">
        <f t="shared" si="194"/>
        <v>46625.82093201008</v>
      </c>
      <c r="AH763" t="b">
        <f t="shared" si="189"/>
        <v>1</v>
      </c>
    </row>
    <row r="764" spans="4:34" hidden="1" x14ac:dyDescent="0.4">
      <c r="D764" t="s">
        <v>48</v>
      </c>
      <c r="E764" t="s">
        <v>37</v>
      </c>
      <c r="F764" s="9">
        <v>45847.75</v>
      </c>
      <c r="G764" s="12">
        <v>0.1177</v>
      </c>
      <c r="H764" s="9">
        <v>45849.75</v>
      </c>
      <c r="I764" s="12">
        <v>0.1409</v>
      </c>
      <c r="J764" s="12">
        <v>26108.799999999999</v>
      </c>
      <c r="K764" s="12">
        <v>3073.02</v>
      </c>
      <c r="L764">
        <v>5.0599999999999996</v>
      </c>
      <c r="M764">
        <v>600.66</v>
      </c>
      <c r="N764" s="13">
        <v>0.19550000000000001</v>
      </c>
      <c r="O764" t="s">
        <v>38</v>
      </c>
      <c r="Q764">
        <f t="shared" si="190"/>
        <v>605.72415999999998</v>
      </c>
      <c r="R764">
        <f t="shared" si="191"/>
        <v>600.66416000000004</v>
      </c>
      <c r="S764">
        <f t="shared" si="192"/>
        <v>3678.7299199999998</v>
      </c>
      <c r="U764">
        <f t="shared" si="179"/>
        <v>14018.691589</v>
      </c>
      <c r="V764">
        <f t="shared" si="193"/>
        <v>1650.0000000253001</v>
      </c>
      <c r="W764">
        <f t="shared" si="180"/>
        <v>325.2336448648</v>
      </c>
      <c r="X764">
        <f t="shared" si="181"/>
        <v>3.6252336449153999</v>
      </c>
      <c r="Y764">
        <f t="shared" si="182"/>
        <v>321.6084112198846</v>
      </c>
      <c r="Z764">
        <f t="shared" si="183"/>
        <v>33824.760559930997</v>
      </c>
      <c r="AB764">
        <f t="shared" si="184"/>
        <v>38549.17323</v>
      </c>
      <c r="AC764">
        <f t="shared" si="185"/>
        <v>4537.2376891710001</v>
      </c>
      <c r="AD764">
        <f t="shared" si="186"/>
        <v>894.34081893599989</v>
      </c>
      <c r="AE764">
        <f t="shared" si="187"/>
        <v>9.9688161972780005</v>
      </c>
      <c r="AF764">
        <f t="shared" si="188"/>
        <v>884.3720027387219</v>
      </c>
      <c r="AG764">
        <f t="shared" si="194"/>
        <v>46256.748893881217</v>
      </c>
      <c r="AH764" t="b">
        <f t="shared" si="189"/>
        <v>1</v>
      </c>
    </row>
    <row r="765" spans="4:34" hidden="1" x14ac:dyDescent="0.4">
      <c r="D765" t="s">
        <v>60</v>
      </c>
      <c r="E765" t="s">
        <v>37</v>
      </c>
      <c r="F765" s="9">
        <v>45846.75</v>
      </c>
      <c r="G765">
        <v>2.2913000000000001</v>
      </c>
      <c r="H765" s="9">
        <v>45849.25</v>
      </c>
      <c r="I765">
        <v>2.5762999999999998</v>
      </c>
      <c r="J765">
        <v>969.7</v>
      </c>
      <c r="K765" s="12">
        <v>2221.96</v>
      </c>
      <c r="L765">
        <v>3.54</v>
      </c>
      <c r="M765">
        <v>272.82</v>
      </c>
      <c r="N765" s="13">
        <v>0.12280000000000001</v>
      </c>
      <c r="O765" t="s">
        <v>57</v>
      </c>
      <c r="Q765">
        <f t="shared" si="190"/>
        <v>276.36449999999974</v>
      </c>
      <c r="R765">
        <f t="shared" si="191"/>
        <v>272.82449999999972</v>
      </c>
      <c r="S765">
        <f t="shared" si="192"/>
        <v>2498.2381099999998</v>
      </c>
      <c r="U765">
        <f t="shared" si="179"/>
        <v>720.11521800000003</v>
      </c>
      <c r="V765">
        <f t="shared" si="193"/>
        <v>1649.9999990034</v>
      </c>
      <c r="W765">
        <f t="shared" si="180"/>
        <v>205.23283712999978</v>
      </c>
      <c r="X765">
        <f t="shared" si="181"/>
        <v>3.5052328351368001</v>
      </c>
      <c r="Y765">
        <f t="shared" si="182"/>
        <v>201.72760429486297</v>
      </c>
      <c r="Z765">
        <f t="shared" si="183"/>
        <v>33503.152148711109</v>
      </c>
      <c r="AB765">
        <f t="shared" si="184"/>
        <v>1956.284995</v>
      </c>
      <c r="AC765">
        <f t="shared" si="185"/>
        <v>4482.4358090434998</v>
      </c>
      <c r="AD765">
        <f t="shared" si="186"/>
        <v>557.54122357499944</v>
      </c>
      <c r="AE765">
        <f t="shared" si="187"/>
        <v>9.5224128416619997</v>
      </c>
      <c r="AF765">
        <f t="shared" si="188"/>
        <v>548.01881073333743</v>
      </c>
      <c r="AG765">
        <f t="shared" si="194"/>
        <v>45372.376891142492</v>
      </c>
      <c r="AH765" t="b">
        <f t="shared" si="189"/>
        <v>1</v>
      </c>
    </row>
    <row r="766" spans="4:34" hidden="1" x14ac:dyDescent="0.4">
      <c r="D766" t="s">
        <v>58</v>
      </c>
      <c r="E766" t="s">
        <v>37</v>
      </c>
      <c r="F766" s="9">
        <v>45847.25</v>
      </c>
      <c r="G766" s="12">
        <v>13.94</v>
      </c>
      <c r="H766" s="9">
        <v>45849.25</v>
      </c>
      <c r="I766" s="12">
        <v>15.46</v>
      </c>
      <c r="J766">
        <v>508.67</v>
      </c>
      <c r="K766" s="12">
        <v>7090.96</v>
      </c>
      <c r="L766">
        <v>11.22</v>
      </c>
      <c r="M766">
        <v>761.96</v>
      </c>
      <c r="N766" s="13">
        <v>0.1075</v>
      </c>
      <c r="O766" t="s">
        <v>38</v>
      </c>
      <c r="Q766">
        <f t="shared" si="190"/>
        <v>773.17840000000069</v>
      </c>
      <c r="R766">
        <f t="shared" si="191"/>
        <v>761.95840000000067</v>
      </c>
      <c r="S766">
        <f t="shared" si="192"/>
        <v>7864.0382000000009</v>
      </c>
      <c r="U766">
        <f t="shared" si="179"/>
        <v>118.364419</v>
      </c>
      <c r="V766">
        <f t="shared" si="193"/>
        <v>1650.00000086</v>
      </c>
      <c r="W766">
        <f t="shared" si="180"/>
        <v>179.91391688000016</v>
      </c>
      <c r="X766">
        <f t="shared" si="181"/>
        <v>3.4799139185999999</v>
      </c>
      <c r="Y766">
        <f t="shared" si="182"/>
        <v>176.43400296140015</v>
      </c>
      <c r="Z766">
        <f t="shared" si="183"/>
        <v>33301.424544416244</v>
      </c>
      <c r="AB766">
        <f t="shared" si="184"/>
        <v>318.15009700000002</v>
      </c>
      <c r="AC766">
        <f t="shared" si="185"/>
        <v>4435.0123521799997</v>
      </c>
      <c r="AD766">
        <f t="shared" si="186"/>
        <v>483.58814744000045</v>
      </c>
      <c r="AE766">
        <f t="shared" si="187"/>
        <v>9.3536128517999995</v>
      </c>
      <c r="AF766">
        <f t="shared" si="188"/>
        <v>474.23453458820046</v>
      </c>
      <c r="AG766">
        <f t="shared" si="194"/>
        <v>44824.358080409154</v>
      </c>
      <c r="AH766" t="b">
        <f t="shared" si="189"/>
        <v>1</v>
      </c>
    </row>
    <row r="767" spans="4:34" hidden="1" x14ac:dyDescent="0.4">
      <c r="D767" t="s">
        <v>50</v>
      </c>
      <c r="E767" t="s">
        <v>37</v>
      </c>
      <c r="F767" s="9">
        <v>45847.25</v>
      </c>
      <c r="G767">
        <v>320.8</v>
      </c>
      <c r="H767" s="9">
        <v>45849.25</v>
      </c>
      <c r="I767">
        <v>383.5</v>
      </c>
      <c r="J767">
        <v>39.709600000000002</v>
      </c>
      <c r="K767" s="12">
        <v>12738.84</v>
      </c>
      <c r="L767">
        <v>20.98</v>
      </c>
      <c r="M767" s="12">
        <v>2468.8200000000002</v>
      </c>
      <c r="N767" s="13">
        <v>0.1938</v>
      </c>
      <c r="O767" t="s">
        <v>38</v>
      </c>
      <c r="Q767">
        <f t="shared" si="190"/>
        <v>2489.7919199999997</v>
      </c>
      <c r="R767">
        <f t="shared" si="191"/>
        <v>2468.8119199999996</v>
      </c>
      <c r="S767">
        <f t="shared" si="192"/>
        <v>15228.631600000001</v>
      </c>
      <c r="U767">
        <f t="shared" si="179"/>
        <v>5.1433920000000004</v>
      </c>
      <c r="V767">
        <f t="shared" si="193"/>
        <v>1650.0001536000002</v>
      </c>
      <c r="W767">
        <f t="shared" si="180"/>
        <v>322.49067839999998</v>
      </c>
      <c r="X767">
        <f t="shared" si="181"/>
        <v>3.6224909855999998</v>
      </c>
      <c r="Y767">
        <f t="shared" si="182"/>
        <v>318.86818741439998</v>
      </c>
      <c r="Z767">
        <f t="shared" si="183"/>
        <v>33124.990541454841</v>
      </c>
      <c r="AB767">
        <f t="shared" si="184"/>
        <v>13.562747</v>
      </c>
      <c r="AC767">
        <f t="shared" si="185"/>
        <v>4350.9292376000003</v>
      </c>
      <c r="AD767">
        <f t="shared" si="186"/>
        <v>850.38423689999979</v>
      </c>
      <c r="AE767">
        <f t="shared" si="187"/>
        <v>9.5522427120999982</v>
      </c>
      <c r="AF767">
        <f t="shared" si="188"/>
        <v>840.8319941878998</v>
      </c>
      <c r="AG767">
        <f t="shared" si="194"/>
        <v>44350.123545820956</v>
      </c>
      <c r="AH767" t="b">
        <f t="shared" si="189"/>
        <v>1</v>
      </c>
    </row>
    <row r="768" spans="4:34" hidden="1" x14ac:dyDescent="0.4">
      <c r="D768" t="s">
        <v>43</v>
      </c>
      <c r="E768" t="s">
        <v>37</v>
      </c>
      <c r="F768" s="9">
        <v>45847.166666666664</v>
      </c>
      <c r="G768">
        <v>2.8927999999999998</v>
      </c>
      <c r="H768" s="9">
        <v>45849.166666666664</v>
      </c>
      <c r="I768">
        <v>3.4935999999999998</v>
      </c>
      <c r="J768">
        <v>640.6</v>
      </c>
      <c r="K768" s="12">
        <v>1853.17</v>
      </c>
      <c r="L768">
        <v>3.07</v>
      </c>
      <c r="M768">
        <v>381.8</v>
      </c>
      <c r="N768" s="13">
        <v>0.20599999999999999</v>
      </c>
      <c r="O768" t="s">
        <v>38</v>
      </c>
      <c r="Q768">
        <f t="shared" si="190"/>
        <v>384.87248</v>
      </c>
      <c r="R768">
        <f t="shared" si="191"/>
        <v>381.80248</v>
      </c>
      <c r="S768">
        <f t="shared" si="192"/>
        <v>2238.0001600000001</v>
      </c>
      <c r="U768">
        <f t="shared" si="179"/>
        <v>570.38163699999996</v>
      </c>
      <c r="V768">
        <f t="shared" si="193"/>
        <v>1649.9999995135997</v>
      </c>
      <c r="W768">
        <f t="shared" si="180"/>
        <v>342.68528750959996</v>
      </c>
      <c r="X768">
        <f t="shared" si="181"/>
        <v>3.6426852865367998</v>
      </c>
      <c r="Y768">
        <f t="shared" si="182"/>
        <v>339.04260222306317</v>
      </c>
      <c r="Z768">
        <f t="shared" si="183"/>
        <v>32806.122354040439</v>
      </c>
      <c r="AB768">
        <f t="shared" si="184"/>
        <v>1473.7714920000001</v>
      </c>
      <c r="AC768">
        <f t="shared" si="185"/>
        <v>4263.3261720576002</v>
      </c>
      <c r="AD768">
        <f t="shared" si="186"/>
        <v>885.44191239360009</v>
      </c>
      <c r="AE768">
        <f t="shared" si="187"/>
        <v>9.4120942565088015</v>
      </c>
      <c r="AF768">
        <f t="shared" si="188"/>
        <v>876.0298181370913</v>
      </c>
      <c r="AG768">
        <f t="shared" si="194"/>
        <v>43509.291551633054</v>
      </c>
      <c r="AH768" t="b">
        <f t="shared" si="189"/>
        <v>1</v>
      </c>
    </row>
    <row r="769" spans="4:34" hidden="1" x14ac:dyDescent="0.4">
      <c r="D769" t="s">
        <v>53</v>
      </c>
      <c r="E769" t="s">
        <v>37</v>
      </c>
      <c r="F769" s="9">
        <v>45847.166666666664</v>
      </c>
      <c r="G769">
        <v>661.74</v>
      </c>
      <c r="H769" s="9">
        <v>45849.166666666664</v>
      </c>
      <c r="I769">
        <v>690.32</v>
      </c>
      <c r="J769">
        <v>14.103</v>
      </c>
      <c r="K769" s="12">
        <v>9332.9500000000007</v>
      </c>
      <c r="L769">
        <v>14.3</v>
      </c>
      <c r="M769">
        <v>388.76</v>
      </c>
      <c r="N769" s="13">
        <v>4.1700000000000001E-2</v>
      </c>
      <c r="O769" t="s">
        <v>38</v>
      </c>
      <c r="Q769">
        <f t="shared" si="190"/>
        <v>403.06374000000056</v>
      </c>
      <c r="R769">
        <f t="shared" si="191"/>
        <v>388.76374000000055</v>
      </c>
      <c r="S769">
        <f t="shared" si="192"/>
        <v>9735.5829599999997</v>
      </c>
      <c r="U769">
        <f t="shared" si="179"/>
        <v>2.4934259999999999</v>
      </c>
      <c r="V769">
        <f t="shared" si="193"/>
        <v>1649.9997212399999</v>
      </c>
      <c r="W769">
        <f t="shared" si="180"/>
        <v>71.2621150800001</v>
      </c>
      <c r="X769">
        <f t="shared" si="181"/>
        <v>3.37126155756</v>
      </c>
      <c r="Y769">
        <f t="shared" si="182"/>
        <v>67.890853522440096</v>
      </c>
      <c r="Z769">
        <f t="shared" si="183"/>
        <v>32467.079751817379</v>
      </c>
      <c r="AB769">
        <f t="shared" si="184"/>
        <v>6.4161999999999999</v>
      </c>
      <c r="AC769">
        <f t="shared" si="185"/>
        <v>4245.8561879999997</v>
      </c>
      <c r="AD769">
        <f t="shared" si="186"/>
        <v>183.37499600000027</v>
      </c>
      <c r="AE769">
        <f t="shared" si="187"/>
        <v>8.6750873720000001</v>
      </c>
      <c r="AF769">
        <f t="shared" si="188"/>
        <v>174.69990862800026</v>
      </c>
      <c r="AG769">
        <f t="shared" si="194"/>
        <v>42633.261733495965</v>
      </c>
      <c r="AH769" t="b">
        <f t="shared" si="189"/>
        <v>1</v>
      </c>
    </row>
    <row r="770" spans="4:34" hidden="1" x14ac:dyDescent="0.4">
      <c r="D770" t="s">
        <v>54</v>
      </c>
      <c r="E770" t="s">
        <v>37</v>
      </c>
      <c r="F770" s="9">
        <v>45847</v>
      </c>
      <c r="G770">
        <v>151.61000000000001</v>
      </c>
      <c r="H770" s="9">
        <v>45849</v>
      </c>
      <c r="I770">
        <v>164.71</v>
      </c>
      <c r="J770">
        <v>31.58</v>
      </c>
      <c r="K770" s="12">
        <v>4787.91</v>
      </c>
      <c r="L770">
        <v>7.49</v>
      </c>
      <c r="M770">
        <v>406.21</v>
      </c>
      <c r="N770" s="13">
        <v>8.48E-2</v>
      </c>
      <c r="O770" t="s">
        <v>38</v>
      </c>
      <c r="Q770">
        <f t="shared" si="190"/>
        <v>413.69799999999981</v>
      </c>
      <c r="R770">
        <f t="shared" si="191"/>
        <v>406.2079999999998</v>
      </c>
      <c r="S770">
        <f t="shared" si="192"/>
        <v>5201.5418</v>
      </c>
      <c r="U770">
        <f t="shared" si="179"/>
        <v>10.883187</v>
      </c>
      <c r="V770">
        <f t="shared" si="193"/>
        <v>1649.9999810700001</v>
      </c>
      <c r="W770">
        <f t="shared" si="180"/>
        <v>142.56974969999993</v>
      </c>
      <c r="X770">
        <f t="shared" si="181"/>
        <v>3.4425697118400005</v>
      </c>
      <c r="Y770">
        <f t="shared" si="182"/>
        <v>139.12717998815992</v>
      </c>
      <c r="Z770">
        <f t="shared" si="183"/>
        <v>32399.188898294939</v>
      </c>
      <c r="AB770">
        <f t="shared" si="184"/>
        <v>27.770956000000002</v>
      </c>
      <c r="AC770">
        <f t="shared" si="185"/>
        <v>4210.3546391600003</v>
      </c>
      <c r="AD770">
        <f t="shared" si="186"/>
        <v>363.79952359999987</v>
      </c>
      <c r="AE770">
        <f t="shared" si="187"/>
        <v>8.7845088019200013</v>
      </c>
      <c r="AF770">
        <f t="shared" si="188"/>
        <v>355.01501479807985</v>
      </c>
      <c r="AG770">
        <f t="shared" si="194"/>
        <v>42458.561824867968</v>
      </c>
      <c r="AH770" t="b">
        <f t="shared" si="189"/>
        <v>1</v>
      </c>
    </row>
    <row r="771" spans="4:34" hidden="1" x14ac:dyDescent="0.4">
      <c r="D771" t="s">
        <v>52</v>
      </c>
      <c r="E771" t="s">
        <v>37</v>
      </c>
      <c r="F771" s="9">
        <v>45846.958333333336</v>
      </c>
      <c r="G771">
        <v>4.8369999999999997</v>
      </c>
      <c r="H771" s="9">
        <v>45848.958333333336</v>
      </c>
      <c r="I771">
        <v>5.3810000000000002</v>
      </c>
      <c r="J771" s="12">
        <v>487.49</v>
      </c>
      <c r="K771" s="12">
        <v>2358.0300000000002</v>
      </c>
      <c r="L771">
        <v>3.74</v>
      </c>
      <c r="M771">
        <v>261.45999999999998</v>
      </c>
      <c r="N771" s="13">
        <v>0.1109</v>
      </c>
      <c r="O771" t="s">
        <v>38</v>
      </c>
      <c r="Q771">
        <f t="shared" si="190"/>
        <v>265.19456000000025</v>
      </c>
      <c r="R771">
        <f t="shared" si="191"/>
        <v>261.45456000000024</v>
      </c>
      <c r="S771">
        <f t="shared" si="192"/>
        <v>2623.1836900000003</v>
      </c>
      <c r="U771">
        <f t="shared" si="179"/>
        <v>341.12052899999998</v>
      </c>
      <c r="V771">
        <f t="shared" si="193"/>
        <v>1649.9999987729998</v>
      </c>
      <c r="W771">
        <f t="shared" si="180"/>
        <v>185.56956777600016</v>
      </c>
      <c r="X771">
        <f t="shared" si="181"/>
        <v>3.4855695653219998</v>
      </c>
      <c r="Y771">
        <f t="shared" si="182"/>
        <v>182.08399821067815</v>
      </c>
      <c r="Z771">
        <f t="shared" si="183"/>
        <v>32260.061718306777</v>
      </c>
      <c r="AB771">
        <f t="shared" si="184"/>
        <v>860.94664</v>
      </c>
      <c r="AC771">
        <f t="shared" si="185"/>
        <v>4164.3988976800001</v>
      </c>
      <c r="AD771">
        <f t="shared" si="186"/>
        <v>468.35497216000044</v>
      </c>
      <c r="AE771">
        <f t="shared" si="187"/>
        <v>8.7971527675200001</v>
      </c>
      <c r="AF771">
        <f t="shared" si="188"/>
        <v>459.55781939248044</v>
      </c>
      <c r="AG771">
        <f t="shared" si="194"/>
        <v>42103.546810069885</v>
      </c>
      <c r="AH771" t="b">
        <f t="shared" si="189"/>
        <v>1</v>
      </c>
    </row>
    <row r="772" spans="4:34" hidden="1" x14ac:dyDescent="0.4">
      <c r="D772" t="s">
        <v>61</v>
      </c>
      <c r="E772" t="s">
        <v>37</v>
      </c>
      <c r="F772" s="9">
        <v>45846.958333333336</v>
      </c>
      <c r="G772">
        <v>0.5887</v>
      </c>
      <c r="H772" s="9">
        <v>45848.958333333336</v>
      </c>
      <c r="I772">
        <v>0.6714</v>
      </c>
      <c r="J772" s="12">
        <v>13827.9</v>
      </c>
      <c r="K772" s="12">
        <v>8140.5</v>
      </c>
      <c r="L772">
        <v>13.07</v>
      </c>
      <c r="M772" s="12">
        <v>1130.5</v>
      </c>
      <c r="N772" s="13">
        <v>0.1389</v>
      </c>
      <c r="O772" t="s">
        <v>38</v>
      </c>
      <c r="Q772">
        <f t="shared" si="190"/>
        <v>1143.5673299999999</v>
      </c>
      <c r="R772">
        <f t="shared" si="191"/>
        <v>1130.4973299999999</v>
      </c>
      <c r="S772">
        <f t="shared" si="192"/>
        <v>9284.05206</v>
      </c>
      <c r="U772">
        <f t="shared" si="179"/>
        <v>2802.7857990000002</v>
      </c>
      <c r="V772">
        <f t="shared" si="193"/>
        <v>1649.9999998713001</v>
      </c>
      <c r="W772">
        <f t="shared" si="180"/>
        <v>231.79038557730001</v>
      </c>
      <c r="X772">
        <f t="shared" si="181"/>
        <v>3.5317903853199004</v>
      </c>
      <c r="Y772">
        <f t="shared" si="182"/>
        <v>228.25859519198011</v>
      </c>
      <c r="Z772">
        <f t="shared" si="183"/>
        <v>32077.9777200961</v>
      </c>
      <c r="AB772">
        <f t="shared" si="184"/>
        <v>6977.3658930000001</v>
      </c>
      <c r="AC772">
        <f t="shared" si="185"/>
        <v>4107.5753012091</v>
      </c>
      <c r="AD772">
        <f t="shared" si="186"/>
        <v>577.02815935109993</v>
      </c>
      <c r="AE772">
        <f t="shared" si="187"/>
        <v>8.7921787617693017</v>
      </c>
      <c r="AF772">
        <f t="shared" si="188"/>
        <v>568.23598058933067</v>
      </c>
      <c r="AG772">
        <f t="shared" si="194"/>
        <v>41643.988990677404</v>
      </c>
      <c r="AH772" t="b">
        <f t="shared" si="189"/>
        <v>1</v>
      </c>
    </row>
    <row r="773" spans="4:34" hidden="1" x14ac:dyDescent="0.4">
      <c r="D773" t="s">
        <v>55</v>
      </c>
      <c r="E773" t="s">
        <v>37</v>
      </c>
      <c r="F773" s="9">
        <v>45846.75</v>
      </c>
      <c r="G773" s="12">
        <v>5.6480000000000001E-5</v>
      </c>
      <c r="H773" s="9">
        <v>45848.75</v>
      </c>
      <c r="I773" s="12">
        <v>6.0770000000000003E-5</v>
      </c>
      <c r="J773" s="12">
        <v>104923569.58</v>
      </c>
      <c r="K773" s="12">
        <v>5926.08</v>
      </c>
      <c r="L773">
        <v>9.23</v>
      </c>
      <c r="M773">
        <v>440.9</v>
      </c>
      <c r="N773" s="13">
        <v>7.4399999999999994E-2</v>
      </c>
      <c r="O773" t="s">
        <v>38</v>
      </c>
      <c r="Q773">
        <f t="shared" si="190"/>
        <v>450.12211349820012</v>
      </c>
      <c r="R773">
        <f t="shared" si="191"/>
        <v>440.8921134982001</v>
      </c>
      <c r="S773">
        <f t="shared" si="192"/>
        <v>6376.2053233766001</v>
      </c>
      <c r="U773">
        <f t="shared" si="179"/>
        <v>29213881.01983</v>
      </c>
      <c r="V773">
        <f t="shared" si="193"/>
        <v>1649.9999999999984</v>
      </c>
      <c r="W773">
        <f t="shared" si="180"/>
        <v>125.32754957507073</v>
      </c>
      <c r="X773">
        <f t="shared" si="181"/>
        <v>3.4253275495750675</v>
      </c>
      <c r="Y773">
        <f t="shared" si="182"/>
        <v>121.90222202549566</v>
      </c>
      <c r="Z773">
        <f t="shared" si="183"/>
        <v>31849.719124904121</v>
      </c>
      <c r="AB773">
        <f t="shared" si="184"/>
        <v>72192829.990695</v>
      </c>
      <c r="AC773">
        <f t="shared" si="185"/>
        <v>4077.4510378744535</v>
      </c>
      <c r="AD773">
        <f t="shared" si="186"/>
        <v>309.70724066008165</v>
      </c>
      <c r="AE773">
        <f t="shared" si="187"/>
        <v>8.4646093164089891</v>
      </c>
      <c r="AF773">
        <f t="shared" si="188"/>
        <v>301.24263134367266</v>
      </c>
      <c r="AG773">
        <f t="shared" si="194"/>
        <v>41075.753010088076</v>
      </c>
      <c r="AH773" t="b">
        <f t="shared" si="189"/>
        <v>1</v>
      </c>
    </row>
    <row r="774" spans="4:34" hidden="1" x14ac:dyDescent="0.4">
      <c r="D774" t="s">
        <v>56</v>
      </c>
      <c r="E774" t="s">
        <v>37</v>
      </c>
      <c r="F774" s="9">
        <v>45846.208333333336</v>
      </c>
      <c r="G774" s="12">
        <v>2538.1999999999998</v>
      </c>
      <c r="H774" s="9">
        <v>45848.708333333336</v>
      </c>
      <c r="I774" s="12">
        <v>2770.88</v>
      </c>
      <c r="J774" s="12">
        <v>2.1435</v>
      </c>
      <c r="K774" s="12">
        <v>5440.74</v>
      </c>
      <c r="L774">
        <v>8.5399999999999991</v>
      </c>
      <c r="M774">
        <v>490.21</v>
      </c>
      <c r="N774" s="13">
        <v>9.01E-2</v>
      </c>
      <c r="O774" t="s">
        <v>57</v>
      </c>
      <c r="Q774">
        <f t="shared" si="190"/>
        <v>498.74958000000061</v>
      </c>
      <c r="R774">
        <f t="shared" si="191"/>
        <v>490.20958000000059</v>
      </c>
      <c r="S774">
        <f t="shared" si="192"/>
        <v>5939.3812800000005</v>
      </c>
      <c r="U774">
        <f t="shared" si="179"/>
        <v>0.65006699999999995</v>
      </c>
      <c r="V774">
        <f t="shared" si="193"/>
        <v>1650.0000593999998</v>
      </c>
      <c r="W774">
        <f t="shared" si="180"/>
        <v>151.25758956000018</v>
      </c>
      <c r="X774">
        <f t="shared" si="181"/>
        <v>3.4512577083599996</v>
      </c>
      <c r="Y774">
        <f t="shared" si="182"/>
        <v>147.80633185164018</v>
      </c>
      <c r="Z774">
        <f t="shared" si="183"/>
        <v>31727.816902878625</v>
      </c>
      <c r="AB774">
        <f t="shared" si="184"/>
        <v>1.592171</v>
      </c>
      <c r="AC774">
        <f t="shared" si="185"/>
        <v>4041.2484321999996</v>
      </c>
      <c r="AD774">
        <f t="shared" si="186"/>
        <v>370.46634828000049</v>
      </c>
      <c r="AE774">
        <f t="shared" si="187"/>
        <v>8.4529632126800003</v>
      </c>
      <c r="AF774">
        <f t="shared" si="188"/>
        <v>362.01338506732048</v>
      </c>
      <c r="AG774">
        <f t="shared" si="194"/>
        <v>40774.510378744402</v>
      </c>
      <c r="AH774" t="b">
        <f t="shared" si="189"/>
        <v>1</v>
      </c>
    </row>
    <row r="775" spans="4:34" hidden="1" x14ac:dyDescent="0.4">
      <c r="D775" t="s">
        <v>48</v>
      </c>
      <c r="E775" t="s">
        <v>37</v>
      </c>
      <c r="F775" s="9">
        <v>45845.708333333336</v>
      </c>
      <c r="G775">
        <v>0.1144</v>
      </c>
      <c r="H775" s="9">
        <v>45847.708333333336</v>
      </c>
      <c r="I775">
        <v>0.1172</v>
      </c>
      <c r="J775" s="12">
        <v>26800.400000000001</v>
      </c>
      <c r="K775" s="12">
        <v>3065.98</v>
      </c>
      <c r="L775">
        <v>4.66</v>
      </c>
      <c r="M775">
        <v>70.39</v>
      </c>
      <c r="N775" s="13">
        <v>2.3E-2</v>
      </c>
      <c r="O775" t="s">
        <v>38</v>
      </c>
      <c r="Q775">
        <f t="shared" si="190"/>
        <v>75.041119999999921</v>
      </c>
      <c r="R775">
        <f t="shared" si="191"/>
        <v>70.381119999999925</v>
      </c>
      <c r="S775">
        <f t="shared" si="192"/>
        <v>3141.0068799999999</v>
      </c>
      <c r="U775">
        <f t="shared" si="179"/>
        <v>14423.076923000001</v>
      </c>
      <c r="V775">
        <f t="shared" si="193"/>
        <v>1649.9999999912002</v>
      </c>
      <c r="W775">
        <f t="shared" si="180"/>
        <v>40.384615384399957</v>
      </c>
      <c r="X775">
        <f t="shared" si="181"/>
        <v>3.3403846153668</v>
      </c>
      <c r="Y775">
        <f t="shared" si="182"/>
        <v>37.044230769033156</v>
      </c>
      <c r="Z775">
        <f t="shared" si="183"/>
        <v>31580.010571026985</v>
      </c>
      <c r="AB775">
        <f t="shared" si="184"/>
        <v>35246.477222000001</v>
      </c>
      <c r="AC775">
        <f t="shared" si="185"/>
        <v>4032.1969941968</v>
      </c>
      <c r="AD775">
        <f t="shared" si="186"/>
        <v>98.6901362215999</v>
      </c>
      <c r="AE775">
        <f t="shared" si="187"/>
        <v>8.1630841246151995</v>
      </c>
      <c r="AF775">
        <f t="shared" si="188"/>
        <v>90.527052096984704</v>
      </c>
      <c r="AG775">
        <f t="shared" si="194"/>
        <v>40412.496993677079</v>
      </c>
      <c r="AH775" t="b">
        <f t="shared" si="189"/>
        <v>1</v>
      </c>
    </row>
    <row r="776" spans="4:34" hidden="1" x14ac:dyDescent="0.4">
      <c r="D776" t="s">
        <v>59</v>
      </c>
      <c r="E776" t="s">
        <v>37</v>
      </c>
      <c r="F776" s="9">
        <v>45844.916666666664</v>
      </c>
      <c r="G776" s="12">
        <v>108700</v>
      </c>
      <c r="H776" s="9">
        <v>45847.416666666664</v>
      </c>
      <c r="I776" s="12">
        <v>108669.99</v>
      </c>
      <c r="J776">
        <v>9.5699999999999993E-2</v>
      </c>
      <c r="K776" s="12">
        <v>10403.48</v>
      </c>
      <c r="L776">
        <v>15.6</v>
      </c>
      <c r="M776">
        <v>-18.47</v>
      </c>
      <c r="N776" s="13">
        <v>-1.8E-3</v>
      </c>
      <c r="O776" t="s">
        <v>57</v>
      </c>
      <c r="Q776">
        <f t="shared" si="190"/>
        <v>-2.8719569999994983</v>
      </c>
      <c r="R776">
        <f t="shared" si="191"/>
        <v>-18.471956999999499</v>
      </c>
      <c r="S776">
        <f t="shared" si="192"/>
        <v>10399.718042999999</v>
      </c>
      <c r="U776">
        <f t="shared" si="179"/>
        <v>1.5179E-2</v>
      </c>
      <c r="V776">
        <f t="shared" si="193"/>
        <v>1649.9573</v>
      </c>
      <c r="W776">
        <f t="shared" si="180"/>
        <v>-0.45552178999992049</v>
      </c>
      <c r="X776">
        <f t="shared" si="181"/>
        <v>3.29945907821</v>
      </c>
      <c r="Y776">
        <f t="shared" si="182"/>
        <v>-3.7549808682099206</v>
      </c>
      <c r="Z776">
        <f t="shared" si="183"/>
        <v>31542.966340257954</v>
      </c>
      <c r="AB776">
        <f t="shared" si="184"/>
        <v>3.7102999999999997E-2</v>
      </c>
      <c r="AC776">
        <f t="shared" si="185"/>
        <v>4033.0960999999998</v>
      </c>
      <c r="AD776">
        <f t="shared" si="186"/>
        <v>-1.1134610299998056</v>
      </c>
      <c r="AE776">
        <f t="shared" si="187"/>
        <v>8.0650787389699996</v>
      </c>
      <c r="AF776">
        <f t="shared" si="188"/>
        <v>-9.1785397689698058</v>
      </c>
      <c r="AG776">
        <f t="shared" si="194"/>
        <v>40321.969941580093</v>
      </c>
      <c r="AH776" t="b">
        <f t="shared" si="189"/>
        <v>1</v>
      </c>
    </row>
    <row r="777" spans="4:34" hidden="1" x14ac:dyDescent="0.4">
      <c r="D777" t="s">
        <v>54</v>
      </c>
      <c r="E777" t="s">
        <v>37</v>
      </c>
      <c r="F777" s="9">
        <v>45844.958333333336</v>
      </c>
      <c r="G777">
        <v>152.27000000000001</v>
      </c>
      <c r="H777" s="9">
        <v>45846.958333333336</v>
      </c>
      <c r="I777">
        <v>150.86000000000001</v>
      </c>
      <c r="J777">
        <v>31.477</v>
      </c>
      <c r="K777" s="12">
        <v>4793.0600000000004</v>
      </c>
      <c r="L777">
        <v>7.16</v>
      </c>
      <c r="M777">
        <v>-51.54</v>
      </c>
      <c r="N777" s="13">
        <v>-1.0800000000000001E-2</v>
      </c>
      <c r="O777" t="s">
        <v>38</v>
      </c>
      <c r="Q777">
        <f t="shared" si="190"/>
        <v>-44.382569999999895</v>
      </c>
      <c r="R777">
        <f t="shared" si="191"/>
        <v>-51.542569999999898</v>
      </c>
      <c r="S777">
        <f t="shared" si="192"/>
        <v>4748.6202200000007</v>
      </c>
      <c r="U777">
        <f t="shared" si="179"/>
        <v>10.836015</v>
      </c>
      <c r="V777">
        <f t="shared" si="193"/>
        <v>1650.0000040500001</v>
      </c>
      <c r="W777">
        <f t="shared" si="180"/>
        <v>-15.278781149999963</v>
      </c>
      <c r="X777">
        <f t="shared" si="181"/>
        <v>3.2847212269499999</v>
      </c>
      <c r="Y777">
        <f t="shared" si="182"/>
        <v>-18.563502376949963</v>
      </c>
      <c r="Z777">
        <f t="shared" si="183"/>
        <v>31546.721321126162</v>
      </c>
      <c r="AB777">
        <f t="shared" si="184"/>
        <v>26.516434</v>
      </c>
      <c r="AC777">
        <f t="shared" si="185"/>
        <v>4037.6574051800003</v>
      </c>
      <c r="AD777">
        <f t="shared" si="186"/>
        <v>-37.388171939999907</v>
      </c>
      <c r="AE777">
        <f t="shared" si="187"/>
        <v>8.0379266384200001</v>
      </c>
      <c r="AF777">
        <f t="shared" si="188"/>
        <v>-45.426098578419911</v>
      </c>
      <c r="AG777">
        <f t="shared" si="194"/>
        <v>40331.148481349061</v>
      </c>
      <c r="AH777" t="b">
        <f t="shared" si="189"/>
        <v>1</v>
      </c>
    </row>
    <row r="778" spans="4:34" hidden="1" x14ac:dyDescent="0.4">
      <c r="D778" t="s">
        <v>53</v>
      </c>
      <c r="E778" t="s">
        <v>37</v>
      </c>
      <c r="F778" s="9">
        <v>45844.958333333336</v>
      </c>
      <c r="G778" s="12">
        <v>662.9</v>
      </c>
      <c r="H778" s="9">
        <v>45846.958333333336</v>
      </c>
      <c r="I778" s="12">
        <v>660.01</v>
      </c>
      <c r="J778">
        <v>14.087</v>
      </c>
      <c r="K778" s="12">
        <v>9338.42</v>
      </c>
      <c r="L778">
        <v>13.98</v>
      </c>
      <c r="M778">
        <v>-54.69</v>
      </c>
      <c r="N778" s="13">
        <v>-5.8999999999999999E-3</v>
      </c>
      <c r="O778" t="s">
        <v>38</v>
      </c>
      <c r="Q778">
        <f t="shared" si="190"/>
        <v>-40.711429999999808</v>
      </c>
      <c r="R778">
        <f t="shared" si="191"/>
        <v>-54.691429999999812</v>
      </c>
      <c r="S778">
        <f t="shared" si="192"/>
        <v>9297.5608699999993</v>
      </c>
      <c r="U778">
        <f t="shared" si="179"/>
        <v>2.4890629999999998</v>
      </c>
      <c r="V778">
        <f t="shared" si="193"/>
        <v>1649.9998626999998</v>
      </c>
      <c r="W778">
        <f t="shared" si="180"/>
        <v>-7.1933920699999652</v>
      </c>
      <c r="X778">
        <f t="shared" si="181"/>
        <v>3.2928063333299993</v>
      </c>
      <c r="Y778">
        <f t="shared" si="182"/>
        <v>-10.486198403329965</v>
      </c>
      <c r="Z778">
        <f t="shared" si="183"/>
        <v>31565.284823503112</v>
      </c>
      <c r="AB778">
        <f t="shared" si="184"/>
        <v>6.094773</v>
      </c>
      <c r="AC778">
        <f t="shared" si="185"/>
        <v>4040.2250217000001</v>
      </c>
      <c r="AD778">
        <f t="shared" si="186"/>
        <v>-17.613893969999918</v>
      </c>
      <c r="AE778">
        <f t="shared" si="187"/>
        <v>8.062836149429998</v>
      </c>
      <c r="AF778">
        <f t="shared" si="188"/>
        <v>-25.676730119429916</v>
      </c>
      <c r="AG778">
        <f t="shared" si="194"/>
        <v>40376.574579927481</v>
      </c>
      <c r="AH778" t="b">
        <f t="shared" si="189"/>
        <v>1</v>
      </c>
    </row>
    <row r="779" spans="4:34" hidden="1" x14ac:dyDescent="0.4">
      <c r="D779" t="s">
        <v>52</v>
      </c>
      <c r="E779" t="s">
        <v>37</v>
      </c>
      <c r="F779" s="9">
        <v>45844.916666666664</v>
      </c>
      <c r="G779">
        <v>4.8380000000000001</v>
      </c>
      <c r="H779" s="9">
        <v>45846.916666666664</v>
      </c>
      <c r="I779">
        <v>4.82</v>
      </c>
      <c r="J779">
        <v>487.65</v>
      </c>
      <c r="K779" s="12">
        <v>2359.2600000000002</v>
      </c>
      <c r="L779">
        <v>3.53</v>
      </c>
      <c r="M779">
        <v>-12.31</v>
      </c>
      <c r="N779" s="13">
        <v>-5.1999999999999998E-3</v>
      </c>
      <c r="O779" t="s">
        <v>38</v>
      </c>
      <c r="Q779">
        <f t="shared" si="190"/>
        <v>-8.7776999999998999</v>
      </c>
      <c r="R779">
        <f t="shared" si="191"/>
        <v>-12.307699999999899</v>
      </c>
      <c r="S779">
        <f t="shared" si="192"/>
        <v>2350.473</v>
      </c>
      <c r="U779">
        <f t="shared" si="179"/>
        <v>341.05002100000002</v>
      </c>
      <c r="V779">
        <f t="shared" si="193"/>
        <v>1650.0000015980002</v>
      </c>
      <c r="W779">
        <f t="shared" si="180"/>
        <v>-6.1389003779999296</v>
      </c>
      <c r="X779">
        <f t="shared" si="181"/>
        <v>3.2938611028180009</v>
      </c>
      <c r="Y779">
        <f t="shared" si="182"/>
        <v>-9.4327614808179305</v>
      </c>
      <c r="Z779">
        <f t="shared" si="183"/>
        <v>31575.771021906443</v>
      </c>
      <c r="AB779">
        <f t="shared" si="184"/>
        <v>835.58002899999997</v>
      </c>
      <c r="AC779">
        <f t="shared" si="185"/>
        <v>4042.536180302</v>
      </c>
      <c r="AD779">
        <f t="shared" si="186"/>
        <v>-15.040440521999827</v>
      </c>
      <c r="AE779">
        <f t="shared" si="187"/>
        <v>8.0700319200820019</v>
      </c>
      <c r="AF779">
        <f t="shared" si="188"/>
        <v>-23.110472442081829</v>
      </c>
      <c r="AG779">
        <f t="shared" si="194"/>
        <v>40402.251310046908</v>
      </c>
      <c r="AH779" t="b">
        <f t="shared" si="189"/>
        <v>1</v>
      </c>
    </row>
    <row r="780" spans="4:34" hidden="1" x14ac:dyDescent="0.4">
      <c r="D780" t="s">
        <v>61</v>
      </c>
      <c r="E780" t="s">
        <v>37</v>
      </c>
      <c r="F780" s="9">
        <v>45844.916666666664</v>
      </c>
      <c r="G780">
        <v>0.58399999999999996</v>
      </c>
      <c r="H780" s="9">
        <v>45846.916666666664</v>
      </c>
      <c r="I780">
        <v>0.58540000000000003</v>
      </c>
      <c r="J780" s="12">
        <v>13937.9</v>
      </c>
      <c r="K780" s="12">
        <v>8139.77</v>
      </c>
      <c r="L780">
        <v>12.22</v>
      </c>
      <c r="M780">
        <v>7.29</v>
      </c>
      <c r="N780" s="13">
        <v>8.9999999999999998E-4</v>
      </c>
      <c r="O780" t="s">
        <v>38</v>
      </c>
      <c r="Q780">
        <f t="shared" si="190"/>
        <v>19.513060000000944</v>
      </c>
      <c r="R780">
        <f t="shared" si="191"/>
        <v>7.2930600000009438</v>
      </c>
      <c r="S780">
        <f t="shared" si="192"/>
        <v>8159.2466599999998</v>
      </c>
      <c r="U780">
        <f t="shared" si="179"/>
        <v>2825.3424660000001</v>
      </c>
      <c r="V780">
        <f t="shared" si="193"/>
        <v>1650.0000001439998</v>
      </c>
      <c r="W780">
        <f t="shared" si="180"/>
        <v>3.9554794524001919</v>
      </c>
      <c r="X780">
        <f t="shared" si="181"/>
        <v>3.3039554797404005</v>
      </c>
      <c r="Y780">
        <f t="shared" si="182"/>
        <v>0.65152397265979145</v>
      </c>
      <c r="Z780">
        <f t="shared" si="183"/>
        <v>31585.20378338726</v>
      </c>
      <c r="AB780">
        <f t="shared" si="184"/>
        <v>6921.8776710000002</v>
      </c>
      <c r="AC780">
        <f t="shared" si="185"/>
        <v>4042.3765598639998</v>
      </c>
      <c r="AD780">
        <f t="shared" si="186"/>
        <v>9.69062873940047</v>
      </c>
      <c r="AE780">
        <f t="shared" si="187"/>
        <v>8.0944437484674019</v>
      </c>
      <c r="AF780">
        <f t="shared" si="188"/>
        <v>1.5961849909330681</v>
      </c>
      <c r="AG780">
        <f t="shared" si="194"/>
        <v>40425.361782488988</v>
      </c>
      <c r="AH780" t="b">
        <f t="shared" si="189"/>
        <v>1</v>
      </c>
    </row>
    <row r="781" spans="4:34" hidden="1" x14ac:dyDescent="0.4">
      <c r="D781" t="s">
        <v>50</v>
      </c>
      <c r="E781" t="s">
        <v>37</v>
      </c>
      <c r="F781" s="9">
        <v>45844.916666666664</v>
      </c>
      <c r="G781">
        <v>326.60000000000002</v>
      </c>
      <c r="H781" s="9">
        <v>45846.916666666664</v>
      </c>
      <c r="I781">
        <v>318.39999999999998</v>
      </c>
      <c r="J781">
        <v>39.1083</v>
      </c>
      <c r="K781" s="12">
        <v>12772.8</v>
      </c>
      <c r="L781">
        <v>18.920000000000002</v>
      </c>
      <c r="M781">
        <v>-339.61</v>
      </c>
      <c r="N781" s="13">
        <v>-2.6599999999999999E-2</v>
      </c>
      <c r="O781" t="s">
        <v>38</v>
      </c>
      <c r="Q781">
        <f t="shared" si="190"/>
        <v>-320.68806000000177</v>
      </c>
      <c r="R781">
        <f t="shared" si="191"/>
        <v>-339.60806000000179</v>
      </c>
      <c r="S781">
        <f t="shared" si="192"/>
        <v>12452.082719999999</v>
      </c>
      <c r="U781">
        <f t="shared" ref="U781:U844" si="195">ROUND(($Q$2)/G781,6)</f>
        <v>5.0520509999999996</v>
      </c>
      <c r="V781">
        <f t="shared" si="193"/>
        <v>1649.9998565999999</v>
      </c>
      <c r="W781">
        <f t="shared" ref="W781:W844" si="196">U781*(I781-G781)</f>
        <v>-41.426818200000227</v>
      </c>
      <c r="X781">
        <f t="shared" ref="X781:X844" si="197">(G781+I781)*$R$2*U781</f>
        <v>3.2585728949999999</v>
      </c>
      <c r="Y781">
        <f t="shared" ref="Y781:Y844" si="198">W781-X781</f>
        <v>-44.685391095000227</v>
      </c>
      <c r="Z781">
        <f t="shared" ref="Z781:Z844" si="199">Z782+Y781</f>
        <v>31584.552259414599</v>
      </c>
      <c r="AB781">
        <f t="shared" ref="AB781:AB844" si="200">ROUND(((AH781*AG782 +(1-AH781)*AI781)/$P$2)/G781,6)</f>
        <v>12.410759000000001</v>
      </c>
      <c r="AC781">
        <f t="shared" ref="AC781:AC844" si="201">AB781*G781</f>
        <v>4053.3538894000003</v>
      </c>
      <c r="AD781">
        <f t="shared" ref="AD781:AD844" si="202">AB781*(I781-G781)</f>
        <v>-101.76822380000057</v>
      </c>
      <c r="AE781">
        <f t="shared" ref="AE781:AE844" si="203">(G781+I781)*$R$2*AB781</f>
        <v>8.004939555</v>
      </c>
      <c r="AF781">
        <f t="shared" ref="AF781:AF844" si="204">AD781-AE781</f>
        <v>-109.77316335500058</v>
      </c>
      <c r="AG781">
        <f t="shared" si="194"/>
        <v>40423.765597498052</v>
      </c>
      <c r="AH781" t="b">
        <f t="shared" ref="AH781:AH844" si="205">ISBLANK(AI781)</f>
        <v>1</v>
      </c>
    </row>
    <row r="782" spans="4:34" hidden="1" x14ac:dyDescent="0.4">
      <c r="D782" t="s">
        <v>58</v>
      </c>
      <c r="E782" t="s">
        <v>37</v>
      </c>
      <c r="F782" s="9">
        <v>45844.875</v>
      </c>
      <c r="G782">
        <v>13.39</v>
      </c>
      <c r="H782" s="9">
        <v>45846.875</v>
      </c>
      <c r="I782">
        <v>13.92</v>
      </c>
      <c r="J782" s="12">
        <v>527.55999999999995</v>
      </c>
      <c r="K782" s="12">
        <v>7064.08</v>
      </c>
      <c r="L782">
        <v>10.81</v>
      </c>
      <c r="M782">
        <v>268.8</v>
      </c>
      <c r="N782" s="13">
        <v>3.8100000000000002E-2</v>
      </c>
      <c r="O782" t="s">
        <v>38</v>
      </c>
      <c r="Q782">
        <f t="shared" ref="Q782:Q845" si="206">(I782-G782)*J782</f>
        <v>279.60679999999962</v>
      </c>
      <c r="R782">
        <f t="shared" ref="R782:R845" si="207">Q782-L782</f>
        <v>268.79679999999962</v>
      </c>
      <c r="S782">
        <f t="shared" ref="S782:S845" si="208">I782*J782</f>
        <v>7343.6351999999988</v>
      </c>
      <c r="U782">
        <f t="shared" si="195"/>
        <v>123.226288</v>
      </c>
      <c r="V782">
        <f t="shared" ref="V782:V845" si="209">U782*G782</f>
        <v>1649.99999632</v>
      </c>
      <c r="W782">
        <f t="shared" si="196"/>
        <v>65.309932639999914</v>
      </c>
      <c r="X782">
        <f t="shared" si="197"/>
        <v>3.3653099252800005</v>
      </c>
      <c r="Y782">
        <f t="shared" si="198"/>
        <v>61.944622714719912</v>
      </c>
      <c r="Z782">
        <f t="shared" si="199"/>
        <v>31629.2376505096</v>
      </c>
      <c r="AB782">
        <f t="shared" si="200"/>
        <v>301.58279399999998</v>
      </c>
      <c r="AC782">
        <f t="shared" si="201"/>
        <v>4038.19361166</v>
      </c>
      <c r="AD782">
        <f t="shared" si="202"/>
        <v>159.83888081999979</v>
      </c>
      <c r="AE782">
        <f t="shared" si="203"/>
        <v>8.23622610414</v>
      </c>
      <c r="AF782">
        <f t="shared" si="204"/>
        <v>151.60265471585979</v>
      </c>
      <c r="AG782">
        <f t="shared" si="194"/>
        <v>40533.538760853051</v>
      </c>
      <c r="AH782" t="b">
        <f t="shared" si="205"/>
        <v>1</v>
      </c>
    </row>
    <row r="783" spans="4:34" hidden="1" x14ac:dyDescent="0.4">
      <c r="D783" t="s">
        <v>60</v>
      </c>
      <c r="E783" t="s">
        <v>37</v>
      </c>
      <c r="F783" s="9">
        <v>45844.208333333336</v>
      </c>
      <c r="G783">
        <v>2.2170999999999998</v>
      </c>
      <c r="H783" s="9">
        <v>45846.708333333336</v>
      </c>
      <c r="I783">
        <v>2.2866</v>
      </c>
      <c r="J783" s="12">
        <v>999.2</v>
      </c>
      <c r="K783" s="12">
        <v>2215.35</v>
      </c>
      <c r="L783">
        <v>3.38</v>
      </c>
      <c r="M783">
        <v>66.069999999999993</v>
      </c>
      <c r="N783" s="13">
        <v>2.98E-2</v>
      </c>
      <c r="O783" t="s">
        <v>57</v>
      </c>
      <c r="Q783">
        <f t="shared" si="206"/>
        <v>69.444400000000115</v>
      </c>
      <c r="R783">
        <f t="shared" si="207"/>
        <v>66.06440000000012</v>
      </c>
      <c r="S783">
        <f t="shared" si="208"/>
        <v>2284.77072</v>
      </c>
      <c r="U783">
        <f t="shared" si="195"/>
        <v>744.215417</v>
      </c>
      <c r="V783">
        <f t="shared" si="209"/>
        <v>1650.0000010306999</v>
      </c>
      <c r="W783">
        <f t="shared" si="196"/>
        <v>51.722971481500089</v>
      </c>
      <c r="X783">
        <f t="shared" si="197"/>
        <v>3.3517229735429002</v>
      </c>
      <c r="Y783">
        <f t="shared" si="198"/>
        <v>48.371248507957191</v>
      </c>
      <c r="Z783">
        <f t="shared" si="199"/>
        <v>31567.29302779488</v>
      </c>
      <c r="AB783">
        <f t="shared" si="200"/>
        <v>1816.061469</v>
      </c>
      <c r="AC783">
        <f t="shared" si="201"/>
        <v>4026.3898829198997</v>
      </c>
      <c r="AD783">
        <f t="shared" si="202"/>
        <v>126.21627209550022</v>
      </c>
      <c r="AE783">
        <f t="shared" si="203"/>
        <v>8.1789960379353008</v>
      </c>
      <c r="AF783">
        <f t="shared" si="204"/>
        <v>118.03727605756491</v>
      </c>
      <c r="AG783">
        <f t="shared" si="194"/>
        <v>40381.936106137189</v>
      </c>
      <c r="AH783" t="b">
        <f t="shared" si="205"/>
        <v>1</v>
      </c>
    </row>
    <row r="784" spans="4:34" hidden="1" x14ac:dyDescent="0.4">
      <c r="D784" t="s">
        <v>55</v>
      </c>
      <c r="E784" t="s">
        <v>37</v>
      </c>
      <c r="F784" s="9">
        <v>45844.625</v>
      </c>
      <c r="G784" s="12">
        <v>5.6629999999999998E-5</v>
      </c>
      <c r="H784" s="9">
        <v>45846.625</v>
      </c>
      <c r="I784" s="12">
        <v>5.63E-5</v>
      </c>
      <c r="J784" s="12">
        <v>104722338.31999999</v>
      </c>
      <c r="K784" s="12">
        <v>5930.43</v>
      </c>
      <c r="L784">
        <v>8.8699999999999992</v>
      </c>
      <c r="M784">
        <v>-43.43</v>
      </c>
      <c r="N784" s="13">
        <v>-7.3000000000000001E-3</v>
      </c>
      <c r="O784" t="s">
        <v>38</v>
      </c>
      <c r="Q784">
        <f t="shared" si="206"/>
        <v>-34.558371645599841</v>
      </c>
      <c r="R784">
        <f t="shared" si="207"/>
        <v>-43.428371645599839</v>
      </c>
      <c r="S784">
        <f t="shared" si="208"/>
        <v>5895.8676474159993</v>
      </c>
      <c r="U784">
        <f t="shared" si="195"/>
        <v>29136500.088291999</v>
      </c>
      <c r="V784">
        <f t="shared" si="209"/>
        <v>1649.9999999999759</v>
      </c>
      <c r="W784">
        <f t="shared" si="196"/>
        <v>-9.6150450291363168</v>
      </c>
      <c r="X784">
        <f t="shared" si="197"/>
        <v>3.2903849549708153</v>
      </c>
      <c r="Y784">
        <f t="shared" si="198"/>
        <v>-12.905429984107132</v>
      </c>
      <c r="Z784">
        <f t="shared" si="199"/>
        <v>31518.921779286924</v>
      </c>
      <c r="AB784">
        <f t="shared" si="200"/>
        <v>71155599.116363004</v>
      </c>
      <c r="AC784">
        <f t="shared" si="201"/>
        <v>4029.5415779596369</v>
      </c>
      <c r="AD784">
        <f t="shared" si="202"/>
        <v>-23.481347708399689</v>
      </c>
      <c r="AE784">
        <f t="shared" si="203"/>
        <v>8.035601808210874</v>
      </c>
      <c r="AF784">
        <f t="shared" si="204"/>
        <v>-31.516949516610563</v>
      </c>
      <c r="AG784">
        <f t="shared" si="194"/>
        <v>40263.898830079626</v>
      </c>
      <c r="AH784" t="b">
        <f t="shared" si="205"/>
        <v>1</v>
      </c>
    </row>
    <row r="785" spans="4:34" hidden="1" x14ac:dyDescent="0.4">
      <c r="D785" t="s">
        <v>56</v>
      </c>
      <c r="E785" t="s">
        <v>37</v>
      </c>
      <c r="F785" s="9">
        <v>45844.916666666664</v>
      </c>
      <c r="G785" s="12">
        <v>2546.0500000000002</v>
      </c>
      <c r="H785" s="9">
        <v>45845.75</v>
      </c>
      <c r="I785" s="12">
        <v>2517.2399999999998</v>
      </c>
      <c r="J785">
        <v>2.1396000000000002</v>
      </c>
      <c r="K785" s="12">
        <v>5447.72</v>
      </c>
      <c r="L785">
        <v>8.1300000000000008</v>
      </c>
      <c r="M785">
        <v>-69.77</v>
      </c>
      <c r="N785" s="13">
        <v>-1.2800000000000001E-2</v>
      </c>
      <c r="O785" t="s">
        <v>49</v>
      </c>
      <c r="Q785">
        <f t="shared" si="206"/>
        <v>-61.641876000000863</v>
      </c>
      <c r="R785">
        <f t="shared" si="207"/>
        <v>-69.771876000000859</v>
      </c>
      <c r="S785">
        <f t="shared" si="208"/>
        <v>5385.8867039999996</v>
      </c>
      <c r="U785">
        <f t="shared" si="195"/>
        <v>0.64806299999999994</v>
      </c>
      <c r="V785">
        <f t="shared" si="209"/>
        <v>1650.0008011499999</v>
      </c>
      <c r="W785">
        <f t="shared" si="196"/>
        <v>-18.670695030000257</v>
      </c>
      <c r="X785">
        <f t="shared" si="197"/>
        <v>3.2813309072700001</v>
      </c>
      <c r="Y785">
        <f t="shared" si="198"/>
        <v>-21.952025937270257</v>
      </c>
      <c r="Z785">
        <f t="shared" si="199"/>
        <v>31531.827209271032</v>
      </c>
      <c r="AB785">
        <f t="shared" si="200"/>
        <v>1.5847720000000001</v>
      </c>
      <c r="AC785">
        <f t="shared" si="201"/>
        <v>4034.9087506000005</v>
      </c>
      <c r="AD785">
        <f t="shared" si="202"/>
        <v>-45.657281320000635</v>
      </c>
      <c r="AE785">
        <f t="shared" si="203"/>
        <v>8.0241602198800006</v>
      </c>
      <c r="AF785">
        <f t="shared" si="204"/>
        <v>-53.681441539880637</v>
      </c>
      <c r="AG785">
        <f t="shared" si="194"/>
        <v>40295.415779596238</v>
      </c>
      <c r="AH785" t="b">
        <f t="shared" si="205"/>
        <v>1</v>
      </c>
    </row>
    <row r="786" spans="4:34" hidden="1" x14ac:dyDescent="0.4">
      <c r="D786" t="s">
        <v>43</v>
      </c>
      <c r="E786" t="s">
        <v>37</v>
      </c>
      <c r="F786" s="9">
        <v>45843.166666666664</v>
      </c>
      <c r="G786">
        <v>2.8883999999999999</v>
      </c>
      <c r="H786" s="9">
        <v>45845.166666666664</v>
      </c>
      <c r="I786">
        <v>2.9308999999999998</v>
      </c>
      <c r="J786" s="12">
        <v>640.70000000000005</v>
      </c>
      <c r="K786" s="12">
        <v>1850.73</v>
      </c>
      <c r="L786">
        <v>2.8</v>
      </c>
      <c r="M786">
        <v>24.43</v>
      </c>
      <c r="N786" s="13">
        <v>1.32E-2</v>
      </c>
      <c r="O786" t="s">
        <v>38</v>
      </c>
      <c r="Q786">
        <f t="shared" si="206"/>
        <v>27.229749999999992</v>
      </c>
      <c r="R786">
        <f t="shared" si="207"/>
        <v>24.429749999999991</v>
      </c>
      <c r="S786">
        <f t="shared" si="208"/>
        <v>1877.82763</v>
      </c>
      <c r="U786">
        <f t="shared" si="195"/>
        <v>571.25051900000005</v>
      </c>
      <c r="V786">
        <f t="shared" si="209"/>
        <v>1649.9999990796</v>
      </c>
      <c r="W786">
        <f t="shared" si="196"/>
        <v>24.278147057499993</v>
      </c>
      <c r="X786">
        <f t="shared" si="197"/>
        <v>3.3242781452167005</v>
      </c>
      <c r="Y786">
        <f t="shared" si="198"/>
        <v>20.953868912283291</v>
      </c>
      <c r="Z786">
        <f t="shared" si="199"/>
        <v>31553.779235208302</v>
      </c>
      <c r="AB786">
        <f t="shared" si="200"/>
        <v>1395.1641609999999</v>
      </c>
      <c r="AC786">
        <f t="shared" si="201"/>
        <v>4029.7921626323996</v>
      </c>
      <c r="AD786">
        <f t="shared" si="202"/>
        <v>59.294476842499975</v>
      </c>
      <c r="AE786">
        <f t="shared" si="203"/>
        <v>8.1188788021073002</v>
      </c>
      <c r="AF786">
        <f t="shared" si="204"/>
        <v>51.175598040392671</v>
      </c>
      <c r="AG786">
        <f t="shared" si="194"/>
        <v>40349.097221136122</v>
      </c>
      <c r="AH786" t="b">
        <f t="shared" si="205"/>
        <v>1</v>
      </c>
    </row>
    <row r="787" spans="4:34" hidden="1" x14ac:dyDescent="0.4">
      <c r="D787" t="s">
        <v>61</v>
      </c>
      <c r="E787" t="s">
        <v>37</v>
      </c>
      <c r="F787" s="9">
        <v>45841.25</v>
      </c>
      <c r="G787">
        <v>0.59019999999999995</v>
      </c>
      <c r="H787" s="9">
        <v>45843.25</v>
      </c>
      <c r="I787">
        <v>0.57609999999999995</v>
      </c>
      <c r="J787" s="12">
        <v>13826.6</v>
      </c>
      <c r="K787" s="12">
        <v>8160.47</v>
      </c>
      <c r="L787">
        <v>12.09</v>
      </c>
      <c r="M787">
        <v>-207.05</v>
      </c>
      <c r="N787" s="13">
        <v>-2.5399999999999999E-2</v>
      </c>
      <c r="O787" t="s">
        <v>38</v>
      </c>
      <c r="Q787">
        <f t="shared" si="206"/>
        <v>-194.95506000000003</v>
      </c>
      <c r="R787">
        <f t="shared" si="207"/>
        <v>-207.04506000000003</v>
      </c>
      <c r="S787">
        <f t="shared" si="208"/>
        <v>7965.5042599999997</v>
      </c>
      <c r="U787">
        <f t="shared" si="195"/>
        <v>2795.6624870000001</v>
      </c>
      <c r="V787">
        <f t="shared" si="209"/>
        <v>1649.9999998274</v>
      </c>
      <c r="W787">
        <f t="shared" si="196"/>
        <v>-39.418841066700004</v>
      </c>
      <c r="X787">
        <f t="shared" si="197"/>
        <v>3.2605811585880997</v>
      </c>
      <c r="Y787">
        <f t="shared" si="198"/>
        <v>-42.679422225288107</v>
      </c>
      <c r="Z787">
        <f t="shared" si="199"/>
        <v>31532.82536629602</v>
      </c>
      <c r="AB787">
        <f t="shared" si="200"/>
        <v>6845.548597</v>
      </c>
      <c r="AC787">
        <f t="shared" si="201"/>
        <v>4040.2427819493996</v>
      </c>
      <c r="AD787">
        <f t="shared" si="202"/>
        <v>-96.522235217700015</v>
      </c>
      <c r="AE787">
        <f t="shared" si="203"/>
        <v>7.9839633286810994</v>
      </c>
      <c r="AF787">
        <f t="shared" si="204"/>
        <v>-104.50619854638111</v>
      </c>
      <c r="AG787">
        <f t="shared" si="194"/>
        <v>40297.921623095732</v>
      </c>
      <c r="AH787" t="b">
        <f t="shared" si="205"/>
        <v>1</v>
      </c>
    </row>
    <row r="788" spans="4:34" hidden="1" x14ac:dyDescent="0.4">
      <c r="D788" t="s">
        <v>60</v>
      </c>
      <c r="E788" t="s">
        <v>37</v>
      </c>
      <c r="F788" s="9">
        <v>45840.666666666664</v>
      </c>
      <c r="G788">
        <v>2.1981999999999999</v>
      </c>
      <c r="H788" s="9">
        <v>45843.166666666664</v>
      </c>
      <c r="I788">
        <v>2.2229000000000001</v>
      </c>
      <c r="J788" s="12">
        <v>1006.8</v>
      </c>
      <c r="K788" s="12">
        <v>2213.1999999999998</v>
      </c>
      <c r="L788">
        <v>3.34</v>
      </c>
      <c r="M788">
        <v>21.53</v>
      </c>
      <c r="N788" s="13">
        <v>9.7000000000000003E-3</v>
      </c>
      <c r="O788" t="s">
        <v>57</v>
      </c>
      <c r="Q788">
        <f t="shared" si="206"/>
        <v>24.867960000000167</v>
      </c>
      <c r="R788">
        <f t="shared" si="207"/>
        <v>21.527960000000167</v>
      </c>
      <c r="S788">
        <f t="shared" si="208"/>
        <v>2238.0157199999999</v>
      </c>
      <c r="U788">
        <f t="shared" si="195"/>
        <v>750.61413900000002</v>
      </c>
      <c r="V788">
        <f t="shared" si="209"/>
        <v>1650.0000003498001</v>
      </c>
      <c r="W788">
        <f t="shared" si="196"/>
        <v>18.540169233300126</v>
      </c>
      <c r="X788">
        <f t="shared" si="197"/>
        <v>3.3185401699328998</v>
      </c>
      <c r="Y788">
        <f t="shared" si="198"/>
        <v>15.221629063367226</v>
      </c>
      <c r="Z788">
        <f t="shared" si="199"/>
        <v>31575.504788521306</v>
      </c>
      <c r="AB788">
        <f t="shared" si="200"/>
        <v>1836.283778</v>
      </c>
      <c r="AC788">
        <f t="shared" si="201"/>
        <v>4036.5190007995998</v>
      </c>
      <c r="AD788">
        <f t="shared" si="202"/>
        <v>45.356209316600307</v>
      </c>
      <c r="AE788">
        <f t="shared" si="203"/>
        <v>8.1183942109157989</v>
      </c>
      <c r="AF788">
        <f t="shared" si="204"/>
        <v>37.237815105684504</v>
      </c>
      <c r="AG788">
        <f t="shared" si="194"/>
        <v>40402.427821642115</v>
      </c>
      <c r="AH788" t="b">
        <f t="shared" si="205"/>
        <v>1</v>
      </c>
    </row>
    <row r="789" spans="4:34" hidden="1" x14ac:dyDescent="0.4">
      <c r="D789" t="s">
        <v>56</v>
      </c>
      <c r="E789" t="s">
        <v>37</v>
      </c>
      <c r="F789" s="9">
        <v>45840.625</v>
      </c>
      <c r="G789" s="12">
        <v>2450.39</v>
      </c>
      <c r="H789" s="9">
        <v>45843.125</v>
      </c>
      <c r="I789" s="12">
        <v>2514.7199999999998</v>
      </c>
      <c r="J789">
        <v>2.2176999999999998</v>
      </c>
      <c r="K789" s="12">
        <v>5434.28</v>
      </c>
      <c r="L789">
        <v>8.26</v>
      </c>
      <c r="M789">
        <v>134.41</v>
      </c>
      <c r="N789" s="13">
        <v>2.47E-2</v>
      </c>
      <c r="O789" t="s">
        <v>57</v>
      </c>
      <c r="Q789">
        <f t="shared" si="206"/>
        <v>142.66464099999982</v>
      </c>
      <c r="R789">
        <f t="shared" si="207"/>
        <v>134.40464099999983</v>
      </c>
      <c r="S789">
        <f t="shared" si="208"/>
        <v>5576.8945439999989</v>
      </c>
      <c r="U789">
        <f t="shared" si="195"/>
        <v>0.67336200000000002</v>
      </c>
      <c r="V789">
        <f t="shared" si="209"/>
        <v>1649.9995111799999</v>
      </c>
      <c r="W789">
        <f t="shared" si="196"/>
        <v>43.317377459999953</v>
      </c>
      <c r="X789">
        <f t="shared" si="197"/>
        <v>3.34331639982</v>
      </c>
      <c r="Y789">
        <f t="shared" si="198"/>
        <v>39.974061060179956</v>
      </c>
      <c r="Z789">
        <f t="shared" si="199"/>
        <v>31560.28315945794</v>
      </c>
      <c r="AB789">
        <f t="shared" si="200"/>
        <v>1.6433150000000001</v>
      </c>
      <c r="AC789">
        <f t="shared" si="201"/>
        <v>4026.7626428499998</v>
      </c>
      <c r="AD789">
        <f t="shared" si="202"/>
        <v>105.71445394999989</v>
      </c>
      <c r="AE789">
        <f t="shared" si="203"/>
        <v>8.1592397396500012</v>
      </c>
      <c r="AF789">
        <f t="shared" si="204"/>
        <v>97.555214210349888</v>
      </c>
      <c r="AG789">
        <f t="shared" si="194"/>
        <v>40365.190006536432</v>
      </c>
      <c r="AH789" t="b">
        <f t="shared" si="205"/>
        <v>1</v>
      </c>
    </row>
    <row r="790" spans="4:34" hidden="1" x14ac:dyDescent="0.4">
      <c r="D790" t="s">
        <v>50</v>
      </c>
      <c r="E790" t="s">
        <v>37</v>
      </c>
      <c r="F790" s="9">
        <v>45840.666666666664</v>
      </c>
      <c r="G790">
        <v>325</v>
      </c>
      <c r="H790" s="9">
        <v>45842.666666666664</v>
      </c>
      <c r="I790">
        <v>320.5</v>
      </c>
      <c r="J790">
        <v>39.361199999999997</v>
      </c>
      <c r="K790" s="12">
        <v>12792.42</v>
      </c>
      <c r="L790">
        <v>19.059999999999999</v>
      </c>
      <c r="M790">
        <v>-196.18</v>
      </c>
      <c r="N790" s="13">
        <v>-1.5299999999999999E-2</v>
      </c>
      <c r="O790" t="s">
        <v>38</v>
      </c>
      <c r="Q790">
        <f t="shared" si="206"/>
        <v>-177.12539999999998</v>
      </c>
      <c r="R790">
        <f t="shared" si="207"/>
        <v>-196.18539999999999</v>
      </c>
      <c r="S790">
        <f t="shared" si="208"/>
        <v>12615.264599999999</v>
      </c>
      <c r="U790">
        <f t="shared" si="195"/>
        <v>5.0769229999999999</v>
      </c>
      <c r="V790">
        <f t="shared" si="209"/>
        <v>1649.9999749999999</v>
      </c>
      <c r="W790">
        <f t="shared" si="196"/>
        <v>-22.8461535</v>
      </c>
      <c r="X790">
        <f t="shared" si="197"/>
        <v>3.2771537964999995</v>
      </c>
      <c r="Y790">
        <f t="shared" si="198"/>
        <v>-26.123307296499998</v>
      </c>
      <c r="Z790">
        <f t="shared" si="199"/>
        <v>31520.30909839776</v>
      </c>
      <c r="AB790">
        <f t="shared" si="200"/>
        <v>12.409689</v>
      </c>
      <c r="AC790">
        <f t="shared" si="201"/>
        <v>4033.148925</v>
      </c>
      <c r="AD790">
        <f t="shared" si="202"/>
        <v>-55.843600500000001</v>
      </c>
      <c r="AE790">
        <f t="shared" si="203"/>
        <v>8.0104542495000004</v>
      </c>
      <c r="AF790">
        <f t="shared" si="204"/>
        <v>-63.854054749500001</v>
      </c>
      <c r="AG790">
        <f t="shared" si="194"/>
        <v>40267.634792326084</v>
      </c>
      <c r="AH790" t="b">
        <f t="shared" si="205"/>
        <v>1</v>
      </c>
    </row>
    <row r="791" spans="4:34" hidden="1" x14ac:dyDescent="0.4">
      <c r="D791" t="s">
        <v>54</v>
      </c>
      <c r="E791" t="s">
        <v>37</v>
      </c>
      <c r="F791" s="9">
        <v>45840.625</v>
      </c>
      <c r="G791" s="12">
        <v>149.33000000000001</v>
      </c>
      <c r="H791" s="9">
        <v>45842.625</v>
      </c>
      <c r="I791" s="12">
        <v>148.6</v>
      </c>
      <c r="J791">
        <v>32.116999999999997</v>
      </c>
      <c r="K791" s="12">
        <v>4796.12</v>
      </c>
      <c r="L791">
        <v>7.18</v>
      </c>
      <c r="M791">
        <v>-30.62</v>
      </c>
      <c r="N791" s="13">
        <v>-6.4000000000000003E-3</v>
      </c>
      <c r="O791" t="s">
        <v>38</v>
      </c>
      <c r="Q791">
        <f t="shared" si="206"/>
        <v>-23.445410000000582</v>
      </c>
      <c r="R791">
        <f t="shared" si="207"/>
        <v>-30.625410000000581</v>
      </c>
      <c r="S791">
        <f t="shared" si="208"/>
        <v>4772.5861999999997</v>
      </c>
      <c r="U791">
        <f t="shared" si="195"/>
        <v>11.049353999999999</v>
      </c>
      <c r="V791">
        <f t="shared" si="209"/>
        <v>1650.0000328200001</v>
      </c>
      <c r="W791">
        <f t="shared" si="196"/>
        <v>-8.066028420000201</v>
      </c>
      <c r="X791">
        <f t="shared" si="197"/>
        <v>3.2919340372199999</v>
      </c>
      <c r="Y791">
        <f t="shared" si="198"/>
        <v>-11.3579624572202</v>
      </c>
      <c r="Z791">
        <f t="shared" si="199"/>
        <v>31546.432405694261</v>
      </c>
      <c r="AB791">
        <f t="shared" si="200"/>
        <v>27.026900999999999</v>
      </c>
      <c r="AC791">
        <f t="shared" si="201"/>
        <v>4035.9271263300002</v>
      </c>
      <c r="AD791">
        <f t="shared" si="202"/>
        <v>-19.729637730000491</v>
      </c>
      <c r="AE791">
        <f t="shared" si="203"/>
        <v>8.0521246149300012</v>
      </c>
      <c r="AF791">
        <f t="shared" si="204"/>
        <v>-27.781762344930492</v>
      </c>
      <c r="AG791">
        <f t="shared" si="194"/>
        <v>40331.488847075583</v>
      </c>
      <c r="AH791" t="b">
        <f t="shared" si="205"/>
        <v>1</v>
      </c>
    </row>
    <row r="792" spans="4:34" hidden="1" x14ac:dyDescent="0.4">
      <c r="D792" t="s">
        <v>58</v>
      </c>
      <c r="E792" t="s">
        <v>37</v>
      </c>
      <c r="F792" s="9">
        <v>45840.625</v>
      </c>
      <c r="G792" s="12">
        <v>13.08</v>
      </c>
      <c r="H792" s="9">
        <v>45842.625</v>
      </c>
      <c r="I792" s="12">
        <v>13.25</v>
      </c>
      <c r="J792">
        <v>539.44000000000005</v>
      </c>
      <c r="K792" s="12">
        <v>7055.97</v>
      </c>
      <c r="L792">
        <v>10.65</v>
      </c>
      <c r="M792">
        <v>81.05</v>
      </c>
      <c r="N792" s="13">
        <v>1.15E-2</v>
      </c>
      <c r="O792" t="s">
        <v>38</v>
      </c>
      <c r="Q792">
        <f t="shared" si="206"/>
        <v>91.704799999999977</v>
      </c>
      <c r="R792">
        <f t="shared" si="207"/>
        <v>81.054799999999972</v>
      </c>
      <c r="S792">
        <f t="shared" si="208"/>
        <v>7147.5800000000008</v>
      </c>
      <c r="U792">
        <f t="shared" si="195"/>
        <v>126.146789</v>
      </c>
      <c r="V792">
        <f t="shared" si="209"/>
        <v>1650.0000001200001</v>
      </c>
      <c r="W792">
        <f t="shared" si="196"/>
        <v>21.444954129999992</v>
      </c>
      <c r="X792">
        <f t="shared" si="197"/>
        <v>3.32144495437</v>
      </c>
      <c r="Y792">
        <f t="shared" si="198"/>
        <v>18.123509175629991</v>
      </c>
      <c r="Z792">
        <f t="shared" si="199"/>
        <v>31557.79036815148</v>
      </c>
      <c r="AB792">
        <f t="shared" si="200"/>
        <v>308.218569</v>
      </c>
      <c r="AC792">
        <f t="shared" si="201"/>
        <v>4031.4988825199998</v>
      </c>
      <c r="AD792">
        <f t="shared" si="202"/>
        <v>52.397156729999978</v>
      </c>
      <c r="AE792">
        <f t="shared" si="203"/>
        <v>8.1153949217699992</v>
      </c>
      <c r="AF792">
        <f t="shared" si="204"/>
        <v>44.28176180822998</v>
      </c>
      <c r="AG792">
        <f t="shared" si="194"/>
        <v>40359.270609420513</v>
      </c>
      <c r="AH792" t="b">
        <f t="shared" si="205"/>
        <v>1</v>
      </c>
    </row>
    <row r="793" spans="4:34" hidden="1" x14ac:dyDescent="0.4">
      <c r="D793" t="s">
        <v>59</v>
      </c>
      <c r="E793" t="s">
        <v>37</v>
      </c>
      <c r="F793" s="9">
        <v>45840.125</v>
      </c>
      <c r="G793" s="12">
        <v>105741.8</v>
      </c>
      <c r="H793" s="9">
        <v>45842.625</v>
      </c>
      <c r="I793" s="12">
        <v>108013.91</v>
      </c>
      <c r="J793">
        <v>9.8180000000000003E-2</v>
      </c>
      <c r="K793" s="12">
        <v>10382.74</v>
      </c>
      <c r="L793">
        <v>15.74</v>
      </c>
      <c r="M793">
        <v>207.34</v>
      </c>
      <c r="N793" s="13">
        <v>0.02</v>
      </c>
      <c r="O793" t="s">
        <v>57</v>
      </c>
      <c r="Q793">
        <f t="shared" si="206"/>
        <v>223.07575980000007</v>
      </c>
      <c r="R793">
        <f t="shared" si="207"/>
        <v>207.33575980000006</v>
      </c>
      <c r="S793">
        <f t="shared" si="208"/>
        <v>10604.805683800001</v>
      </c>
      <c r="U793">
        <f t="shared" si="195"/>
        <v>1.5604E-2</v>
      </c>
      <c r="V793">
        <f t="shared" si="209"/>
        <v>1649.9950472</v>
      </c>
      <c r="W793">
        <f t="shared" si="196"/>
        <v>35.454004440000006</v>
      </c>
      <c r="X793">
        <f t="shared" si="197"/>
        <v>3.3354440988400005</v>
      </c>
      <c r="Y793">
        <f t="shared" si="198"/>
        <v>32.118560341160006</v>
      </c>
      <c r="Z793">
        <f t="shared" si="199"/>
        <v>31539.666858975848</v>
      </c>
      <c r="AB793">
        <f t="shared" si="200"/>
        <v>3.8052000000000002E-2</v>
      </c>
      <c r="AC793">
        <f t="shared" si="201"/>
        <v>4023.6869736000003</v>
      </c>
      <c r="AD793">
        <f t="shared" si="202"/>
        <v>86.458329720000023</v>
      </c>
      <c r="AE793">
        <f t="shared" si="203"/>
        <v>8.1338322769200015</v>
      </c>
      <c r="AF793">
        <f t="shared" si="204"/>
        <v>78.32449744308002</v>
      </c>
      <c r="AG793">
        <f t="shared" si="194"/>
        <v>40314.98884761228</v>
      </c>
      <c r="AH793" t="b">
        <f t="shared" si="205"/>
        <v>1</v>
      </c>
    </row>
    <row r="794" spans="4:34" hidden="1" x14ac:dyDescent="0.4">
      <c r="D794" t="s">
        <v>43</v>
      </c>
      <c r="E794" t="s">
        <v>37</v>
      </c>
      <c r="F794" s="9">
        <v>45840.125</v>
      </c>
      <c r="G794">
        <v>2.6920999999999999</v>
      </c>
      <c r="H794" s="9">
        <v>45842.125</v>
      </c>
      <c r="I794">
        <v>3.0402</v>
      </c>
      <c r="J794" s="12">
        <v>678.7</v>
      </c>
      <c r="K794" s="12">
        <v>1827.4</v>
      </c>
      <c r="L794">
        <v>2.92</v>
      </c>
      <c r="M794">
        <v>233.34</v>
      </c>
      <c r="N794" s="13">
        <v>0.12770000000000001</v>
      </c>
      <c r="O794" t="s">
        <v>38</v>
      </c>
      <c r="Q794">
        <f t="shared" si="206"/>
        <v>236.25547000000006</v>
      </c>
      <c r="R794">
        <f t="shared" si="207"/>
        <v>233.33547000000007</v>
      </c>
      <c r="S794">
        <f t="shared" si="208"/>
        <v>2063.3837400000002</v>
      </c>
      <c r="U794">
        <f t="shared" si="195"/>
        <v>612.90442399999995</v>
      </c>
      <c r="V794">
        <f t="shared" si="209"/>
        <v>1649.9999998503997</v>
      </c>
      <c r="W794">
        <f t="shared" si="196"/>
        <v>213.35202999440003</v>
      </c>
      <c r="X794">
        <f t="shared" si="197"/>
        <v>3.5133520296952003</v>
      </c>
      <c r="Y794">
        <f t="shared" si="198"/>
        <v>209.83867796470483</v>
      </c>
      <c r="Z794">
        <f t="shared" si="199"/>
        <v>31507.548298634687</v>
      </c>
      <c r="AB794">
        <f t="shared" si="200"/>
        <v>1475.850848</v>
      </c>
      <c r="AC794">
        <f t="shared" si="201"/>
        <v>3973.1380679007998</v>
      </c>
      <c r="AD794">
        <f t="shared" si="202"/>
        <v>513.74368018880011</v>
      </c>
      <c r="AE794">
        <f t="shared" si="203"/>
        <v>8.4600198159904014</v>
      </c>
      <c r="AF794">
        <f t="shared" si="204"/>
        <v>505.28366037280972</v>
      </c>
      <c r="AG794">
        <f t="shared" si="194"/>
        <v>40236.664350169201</v>
      </c>
      <c r="AH794" t="b">
        <f t="shared" si="205"/>
        <v>1</v>
      </c>
    </row>
    <row r="795" spans="4:34" hidden="1" x14ac:dyDescent="0.4">
      <c r="D795" t="s">
        <v>53</v>
      </c>
      <c r="E795" t="s">
        <v>37</v>
      </c>
      <c r="F795" s="9">
        <v>45840.125</v>
      </c>
      <c r="G795">
        <v>647.25</v>
      </c>
      <c r="H795" s="9">
        <v>45842.125</v>
      </c>
      <c r="I795">
        <v>662.29</v>
      </c>
      <c r="J795">
        <v>14.396000000000001</v>
      </c>
      <c r="K795" s="12">
        <v>9318.18</v>
      </c>
      <c r="L795">
        <v>14.14</v>
      </c>
      <c r="M795">
        <v>202.38</v>
      </c>
      <c r="N795" s="13">
        <v>2.1700000000000001E-2</v>
      </c>
      <c r="O795" t="s">
        <v>38</v>
      </c>
      <c r="Q795">
        <f t="shared" si="206"/>
        <v>216.51583999999949</v>
      </c>
      <c r="R795">
        <f t="shared" si="207"/>
        <v>202.37583999999947</v>
      </c>
      <c r="S795">
        <f t="shared" si="208"/>
        <v>9534.3268399999997</v>
      </c>
      <c r="U795">
        <f t="shared" si="195"/>
        <v>2.5492469999999998</v>
      </c>
      <c r="V795">
        <f t="shared" si="209"/>
        <v>1650.00012075</v>
      </c>
      <c r="W795">
        <f t="shared" si="196"/>
        <v>38.340674879999902</v>
      </c>
      <c r="X795">
        <f t="shared" si="197"/>
        <v>3.3383409163799995</v>
      </c>
      <c r="Y795">
        <f t="shared" si="198"/>
        <v>35.002333963619904</v>
      </c>
      <c r="Z795">
        <f t="shared" si="199"/>
        <v>31297.709620669983</v>
      </c>
      <c r="AB795">
        <f t="shared" si="200"/>
        <v>6.1254960000000001</v>
      </c>
      <c r="AC795">
        <f t="shared" si="201"/>
        <v>3964.7272859999998</v>
      </c>
      <c r="AD795">
        <f t="shared" si="202"/>
        <v>92.127459839999773</v>
      </c>
      <c r="AE795">
        <f t="shared" si="203"/>
        <v>8.0215820318399995</v>
      </c>
      <c r="AF795">
        <f t="shared" si="204"/>
        <v>84.105877808159775</v>
      </c>
      <c r="AG795">
        <f t="shared" si="194"/>
        <v>39731.380689796395</v>
      </c>
      <c r="AH795" t="b">
        <f t="shared" si="205"/>
        <v>1</v>
      </c>
    </row>
    <row r="796" spans="4:34" hidden="1" x14ac:dyDescent="0.4">
      <c r="D796" t="s">
        <v>52</v>
      </c>
      <c r="E796" t="s">
        <v>37</v>
      </c>
      <c r="F796" s="9">
        <v>45840.083333333336</v>
      </c>
      <c r="G796">
        <v>4.7119999999999997</v>
      </c>
      <c r="H796" s="9">
        <v>45842.083333333336</v>
      </c>
      <c r="I796">
        <v>5.008</v>
      </c>
      <c r="J796" s="12">
        <v>497.64</v>
      </c>
      <c r="K796" s="12">
        <v>2344.9</v>
      </c>
      <c r="L796">
        <v>3.63</v>
      </c>
      <c r="M796">
        <v>143.66999999999999</v>
      </c>
      <c r="N796" s="13">
        <v>6.13E-2</v>
      </c>
      <c r="O796" t="s">
        <v>38</v>
      </c>
      <c r="Q796">
        <f t="shared" si="206"/>
        <v>147.30144000000013</v>
      </c>
      <c r="R796">
        <f t="shared" si="207"/>
        <v>143.67144000000013</v>
      </c>
      <c r="S796">
        <f t="shared" si="208"/>
        <v>2492.1811199999997</v>
      </c>
      <c r="U796">
        <f t="shared" si="195"/>
        <v>350.16977900000001</v>
      </c>
      <c r="V796">
        <f t="shared" si="209"/>
        <v>1649.999998648</v>
      </c>
      <c r="W796">
        <f t="shared" si="196"/>
        <v>103.65025458400009</v>
      </c>
      <c r="X796">
        <f t="shared" si="197"/>
        <v>3.4036502518799998</v>
      </c>
      <c r="Y796">
        <f t="shared" si="198"/>
        <v>100.2466043321201</v>
      </c>
      <c r="Z796">
        <f t="shared" si="199"/>
        <v>31262.707286706362</v>
      </c>
      <c r="AB796">
        <f t="shared" si="200"/>
        <v>836.32959200000005</v>
      </c>
      <c r="AC796">
        <f t="shared" si="201"/>
        <v>3940.7850375040002</v>
      </c>
      <c r="AD796">
        <f t="shared" si="202"/>
        <v>247.55355923200023</v>
      </c>
      <c r="AE796">
        <f t="shared" si="203"/>
        <v>8.1291236342400008</v>
      </c>
      <c r="AF796">
        <f t="shared" si="204"/>
        <v>239.42443559776024</v>
      </c>
      <c r="AG796">
        <f t="shared" si="194"/>
        <v>39647.274811988238</v>
      </c>
      <c r="AH796" t="b">
        <f t="shared" si="205"/>
        <v>1</v>
      </c>
    </row>
    <row r="797" spans="4:34" hidden="1" x14ac:dyDescent="0.4">
      <c r="D797" t="s">
        <v>48</v>
      </c>
      <c r="E797" t="s">
        <v>37</v>
      </c>
      <c r="F797" s="9">
        <v>45840.083333333336</v>
      </c>
      <c r="G797">
        <v>0.1094</v>
      </c>
      <c r="H797" s="9">
        <v>45842.083333333336</v>
      </c>
      <c r="I797">
        <v>0.1245</v>
      </c>
      <c r="J797" s="12">
        <v>27648.1</v>
      </c>
      <c r="K797" s="12">
        <v>3024.71</v>
      </c>
      <c r="L797">
        <v>4.8499999999999996</v>
      </c>
      <c r="M797">
        <v>412.64</v>
      </c>
      <c r="N797" s="13">
        <v>0.13639999999999999</v>
      </c>
      <c r="O797" t="s">
        <v>38</v>
      </c>
      <c r="Q797">
        <f t="shared" si="206"/>
        <v>417.48631000000006</v>
      </c>
      <c r="R797">
        <f t="shared" si="207"/>
        <v>412.63631000000004</v>
      </c>
      <c r="S797">
        <f t="shared" si="208"/>
        <v>3442.1884499999996</v>
      </c>
      <c r="U797">
        <f t="shared" si="195"/>
        <v>15082.26691</v>
      </c>
      <c r="V797">
        <f t="shared" si="209"/>
        <v>1649.999999954</v>
      </c>
      <c r="W797">
        <f t="shared" si="196"/>
        <v>227.74223034100004</v>
      </c>
      <c r="X797">
        <f t="shared" si="197"/>
        <v>3.5277422302489998</v>
      </c>
      <c r="Y797">
        <f t="shared" si="198"/>
        <v>224.21448811075103</v>
      </c>
      <c r="Z797">
        <f t="shared" si="199"/>
        <v>31162.460682374243</v>
      </c>
      <c r="AB797">
        <f t="shared" si="200"/>
        <v>35538.871984999998</v>
      </c>
      <c r="AC797">
        <f t="shared" si="201"/>
        <v>3887.9525951589999</v>
      </c>
      <c r="AD797">
        <f t="shared" si="202"/>
        <v>536.63696697350008</v>
      </c>
      <c r="AE797">
        <f t="shared" si="203"/>
        <v>8.3125421572914995</v>
      </c>
      <c r="AF797">
        <f t="shared" si="204"/>
        <v>528.32442481620853</v>
      </c>
      <c r="AG797">
        <f t="shared" si="194"/>
        <v>39407.850376390481</v>
      </c>
      <c r="AH797" t="b">
        <f t="shared" si="205"/>
        <v>1</v>
      </c>
    </row>
    <row r="798" spans="4:34" hidden="1" x14ac:dyDescent="0.4">
      <c r="D798" t="s">
        <v>55</v>
      </c>
      <c r="E798" t="s">
        <v>37</v>
      </c>
      <c r="F798" s="9">
        <v>45840.083333333336</v>
      </c>
      <c r="G798">
        <v>5.4379999999999998E-5</v>
      </c>
      <c r="H798" s="9">
        <v>45842.083333333336</v>
      </c>
      <c r="I798">
        <v>5.7569999999999999E-5</v>
      </c>
      <c r="J798" s="12">
        <v>108435921.56999999</v>
      </c>
      <c r="K798" s="12">
        <v>5896.75</v>
      </c>
      <c r="L798">
        <v>9.1</v>
      </c>
      <c r="M798">
        <v>336.81</v>
      </c>
      <c r="N798" s="13">
        <v>5.7099999999999998E-2</v>
      </c>
      <c r="O798" t="s">
        <v>38</v>
      </c>
      <c r="Q798">
        <f t="shared" si="206"/>
        <v>345.91058980830013</v>
      </c>
      <c r="R798">
        <f t="shared" si="207"/>
        <v>336.81058980830011</v>
      </c>
      <c r="S798">
        <f t="shared" si="208"/>
        <v>6242.6560047848998</v>
      </c>
      <c r="U798">
        <f t="shared" si="195"/>
        <v>30342037.513792001</v>
      </c>
      <c r="V798">
        <f t="shared" si="209"/>
        <v>1650.0000000000089</v>
      </c>
      <c r="W798">
        <f t="shared" si="196"/>
        <v>96.791099668996537</v>
      </c>
      <c r="X798">
        <f t="shared" si="197"/>
        <v>3.3967910996690143</v>
      </c>
      <c r="Y798">
        <f t="shared" si="198"/>
        <v>93.394308569327521</v>
      </c>
      <c r="Z798">
        <f t="shared" si="199"/>
        <v>30938.246194263491</v>
      </c>
      <c r="AB798">
        <f t="shared" si="200"/>
        <v>71093593.812321007</v>
      </c>
      <c r="AC798">
        <f t="shared" si="201"/>
        <v>3866.0696315140162</v>
      </c>
      <c r="AD798">
        <f t="shared" si="202"/>
        <v>226.78856426130412</v>
      </c>
      <c r="AE798">
        <f t="shared" si="203"/>
        <v>7.9589278272893367</v>
      </c>
      <c r="AF798">
        <f t="shared" si="204"/>
        <v>218.82963643401479</v>
      </c>
      <c r="AG798">
        <f t="shared" si="194"/>
        <v>38879.525951574273</v>
      </c>
      <c r="AH798" t="b">
        <f t="shared" si="205"/>
        <v>1</v>
      </c>
    </row>
    <row r="799" spans="4:34" hidden="1" x14ac:dyDescent="0.4">
      <c r="D799" t="s">
        <v>61</v>
      </c>
      <c r="E799" t="s">
        <v>37</v>
      </c>
      <c r="F799" s="9">
        <v>45838.708333333336</v>
      </c>
      <c r="G799">
        <v>0.56740000000000002</v>
      </c>
      <c r="H799" s="9">
        <v>45840.708333333336</v>
      </c>
      <c r="I799">
        <v>0.57809999999999995</v>
      </c>
      <c r="J799" s="12">
        <v>14357.3</v>
      </c>
      <c r="K799" s="12">
        <v>8146.34</v>
      </c>
      <c r="L799">
        <v>12.33</v>
      </c>
      <c r="M799">
        <v>141.29</v>
      </c>
      <c r="N799" s="13">
        <v>1.7299999999999999E-2</v>
      </c>
      <c r="O799" t="s">
        <v>38</v>
      </c>
      <c r="Q799">
        <f t="shared" si="206"/>
        <v>153.623109999999</v>
      </c>
      <c r="R799">
        <f t="shared" si="207"/>
        <v>141.29310999999899</v>
      </c>
      <c r="S799">
        <f t="shared" si="208"/>
        <v>8299.9551299999985</v>
      </c>
      <c r="U799">
        <f t="shared" si="195"/>
        <v>2908.0014099999999</v>
      </c>
      <c r="V799">
        <f t="shared" si="209"/>
        <v>1650.0000000339999</v>
      </c>
      <c r="W799">
        <f t="shared" si="196"/>
        <v>31.115615086999799</v>
      </c>
      <c r="X799">
        <f t="shared" si="197"/>
        <v>3.3311156151549999</v>
      </c>
      <c r="Y799">
        <f t="shared" si="198"/>
        <v>27.7844994718448</v>
      </c>
      <c r="Z799">
        <f t="shared" si="199"/>
        <v>30844.851885694163</v>
      </c>
      <c r="AB799">
        <f t="shared" si="200"/>
        <v>6802.2038519999996</v>
      </c>
      <c r="AC799">
        <f t="shared" si="201"/>
        <v>3859.5704656247999</v>
      </c>
      <c r="AD799">
        <f t="shared" si="202"/>
        <v>72.783581216399526</v>
      </c>
      <c r="AE799">
        <f t="shared" si="203"/>
        <v>7.7919245124660002</v>
      </c>
      <c r="AF799">
        <f t="shared" si="204"/>
        <v>64.991656703933529</v>
      </c>
      <c r="AG799">
        <f t="shared" si="194"/>
        <v>38660.69631514026</v>
      </c>
      <c r="AH799" t="b">
        <f t="shared" si="205"/>
        <v>1</v>
      </c>
    </row>
    <row r="800" spans="4:34" hidden="1" x14ac:dyDescent="0.4">
      <c r="D800" t="s">
        <v>54</v>
      </c>
      <c r="E800" t="s">
        <v>37</v>
      </c>
      <c r="F800" s="9">
        <v>45837.958333333336</v>
      </c>
      <c r="G800">
        <v>151.69</v>
      </c>
      <c r="H800" s="9">
        <v>45839.958333333336</v>
      </c>
      <c r="I800">
        <v>146.53</v>
      </c>
      <c r="J800">
        <v>31.73</v>
      </c>
      <c r="K800" s="12">
        <v>4813.2</v>
      </c>
      <c r="L800">
        <v>7.1</v>
      </c>
      <c r="M800">
        <v>-170.82</v>
      </c>
      <c r="N800" s="13">
        <v>-3.5499999999999997E-2</v>
      </c>
      <c r="O800" t="s">
        <v>38</v>
      </c>
      <c r="Q800">
        <f t="shared" si="206"/>
        <v>-163.72679999999988</v>
      </c>
      <c r="R800">
        <f t="shared" si="207"/>
        <v>-170.82679999999988</v>
      </c>
      <c r="S800">
        <f t="shared" si="208"/>
        <v>4649.3968999999997</v>
      </c>
      <c r="U800">
        <f t="shared" si="195"/>
        <v>10.877447</v>
      </c>
      <c r="V800">
        <f t="shared" si="209"/>
        <v>1649.9999354300001</v>
      </c>
      <c r="W800">
        <f t="shared" si="196"/>
        <v>-56.127626519999964</v>
      </c>
      <c r="X800">
        <f t="shared" si="197"/>
        <v>3.2438722443400003</v>
      </c>
      <c r="Y800">
        <f t="shared" si="198"/>
        <v>-59.371498764339961</v>
      </c>
      <c r="Z800">
        <f t="shared" si="199"/>
        <v>30817.067386222319</v>
      </c>
      <c r="AB800">
        <f t="shared" si="200"/>
        <v>25.535686999999999</v>
      </c>
      <c r="AC800">
        <f t="shared" si="201"/>
        <v>3873.5083610299998</v>
      </c>
      <c r="AD800">
        <f t="shared" si="202"/>
        <v>-131.76414491999992</v>
      </c>
      <c r="AE800">
        <f t="shared" si="203"/>
        <v>7.6152525771400006</v>
      </c>
      <c r="AF800">
        <f t="shared" si="204"/>
        <v>-139.37939749713993</v>
      </c>
      <c r="AG800">
        <f t="shared" si="194"/>
        <v>38595.704658436327</v>
      </c>
      <c r="AH800" t="b">
        <f t="shared" si="205"/>
        <v>1</v>
      </c>
    </row>
    <row r="801" spans="4:34" hidden="1" x14ac:dyDescent="0.4">
      <c r="D801" t="s">
        <v>55</v>
      </c>
      <c r="E801" t="s">
        <v>37</v>
      </c>
      <c r="F801" s="9">
        <v>45837.958333333336</v>
      </c>
      <c r="G801">
        <v>5.622E-5</v>
      </c>
      <c r="H801" s="9">
        <v>45839.958333333336</v>
      </c>
      <c r="I801">
        <v>5.4360000000000001E-5</v>
      </c>
      <c r="J801" s="12">
        <v>105250710.5</v>
      </c>
      <c r="K801" s="12">
        <v>5917.19</v>
      </c>
      <c r="L801">
        <v>8.73</v>
      </c>
      <c r="M801" s="12">
        <v>-204.5</v>
      </c>
      <c r="N801" s="13">
        <v>-3.4599999999999999E-2</v>
      </c>
      <c r="O801" t="s">
        <v>38</v>
      </c>
      <c r="Q801">
        <f t="shared" si="206"/>
        <v>-195.76632152999991</v>
      </c>
      <c r="R801">
        <f t="shared" si="207"/>
        <v>-204.4963215299999</v>
      </c>
      <c r="S801">
        <f t="shared" si="208"/>
        <v>5721.4286227800003</v>
      </c>
      <c r="U801">
        <f t="shared" si="195"/>
        <v>29348986.125934001</v>
      </c>
      <c r="V801">
        <f t="shared" si="209"/>
        <v>1650.0000000000095</v>
      </c>
      <c r="W801">
        <f t="shared" si="196"/>
        <v>-54.589114194237219</v>
      </c>
      <c r="X801">
        <f t="shared" si="197"/>
        <v>3.2454108858057817</v>
      </c>
      <c r="Y801">
        <f t="shared" si="198"/>
        <v>-57.834525080043001</v>
      </c>
      <c r="Z801">
        <f t="shared" si="199"/>
        <v>30876.438884986659</v>
      </c>
      <c r="AB801">
        <f t="shared" si="200"/>
        <v>69141467.179524004</v>
      </c>
      <c r="AC801">
        <f t="shared" si="201"/>
        <v>3887.1332848328398</v>
      </c>
      <c r="AD801">
        <f t="shared" si="202"/>
        <v>-128.60312895391459</v>
      </c>
      <c r="AE801">
        <f t="shared" si="203"/>
        <v>7.6456634407117647</v>
      </c>
      <c r="AF801">
        <f t="shared" si="204"/>
        <v>-136.24879239462635</v>
      </c>
      <c r="AG801">
        <f t="shared" si="194"/>
        <v>38735.084055933468</v>
      </c>
      <c r="AH801" t="b">
        <f t="shared" si="205"/>
        <v>1</v>
      </c>
    </row>
    <row r="802" spans="4:34" hidden="1" x14ac:dyDescent="0.4">
      <c r="D802" t="s">
        <v>58</v>
      </c>
      <c r="E802" t="s">
        <v>37</v>
      </c>
      <c r="F802" s="9">
        <v>45837.958333333336</v>
      </c>
      <c r="G802">
        <v>13.39</v>
      </c>
      <c r="H802" s="9">
        <v>45839.958333333336</v>
      </c>
      <c r="I802">
        <v>12.86</v>
      </c>
      <c r="J802">
        <v>529.13</v>
      </c>
      <c r="K802" s="12">
        <v>7085.06</v>
      </c>
      <c r="L802">
        <v>10.42</v>
      </c>
      <c r="M802">
        <v>-290.86</v>
      </c>
      <c r="N802" s="13">
        <v>-4.1099999999999998E-2</v>
      </c>
      <c r="O802" t="s">
        <v>38</v>
      </c>
      <c r="Q802">
        <f t="shared" si="206"/>
        <v>-280.43890000000061</v>
      </c>
      <c r="R802">
        <f t="shared" si="207"/>
        <v>-290.85890000000063</v>
      </c>
      <c r="S802">
        <f t="shared" si="208"/>
        <v>6804.6117999999997</v>
      </c>
      <c r="U802">
        <f t="shared" si="195"/>
        <v>123.226288</v>
      </c>
      <c r="V802">
        <f t="shared" si="209"/>
        <v>1649.99999632</v>
      </c>
      <c r="W802">
        <f t="shared" si="196"/>
        <v>-65.309932640000142</v>
      </c>
      <c r="X802">
        <f t="shared" si="197"/>
        <v>3.2346900599999997</v>
      </c>
      <c r="Y802">
        <f t="shared" si="198"/>
        <v>-68.544622700000147</v>
      </c>
      <c r="Z802">
        <f t="shared" si="199"/>
        <v>30934.2734100667</v>
      </c>
      <c r="AB802">
        <f t="shared" si="200"/>
        <v>291.51222200000001</v>
      </c>
      <c r="AC802">
        <f t="shared" si="201"/>
        <v>3903.3486525800004</v>
      </c>
      <c r="AD802">
        <f t="shared" si="202"/>
        <v>-154.50147766000035</v>
      </c>
      <c r="AE802">
        <f t="shared" si="203"/>
        <v>7.6521958274999999</v>
      </c>
      <c r="AF802">
        <f t="shared" si="204"/>
        <v>-162.15367348750036</v>
      </c>
      <c r="AG802">
        <f t="shared" si="194"/>
        <v>38871.332848328093</v>
      </c>
      <c r="AH802" t="b">
        <f t="shared" si="205"/>
        <v>1</v>
      </c>
    </row>
    <row r="803" spans="4:34" hidden="1" x14ac:dyDescent="0.4">
      <c r="D803" t="s">
        <v>53</v>
      </c>
      <c r="E803" t="s">
        <v>37</v>
      </c>
      <c r="F803" s="9">
        <v>45837.958333333336</v>
      </c>
      <c r="G803">
        <v>649</v>
      </c>
      <c r="H803" s="9">
        <v>45839.958333333336</v>
      </c>
      <c r="I803">
        <v>646.66999999999996</v>
      </c>
      <c r="J803" s="12">
        <v>14.365</v>
      </c>
      <c r="K803" s="12">
        <v>9322.93</v>
      </c>
      <c r="L803">
        <v>13.96</v>
      </c>
      <c r="M803">
        <v>-47.43</v>
      </c>
      <c r="N803" s="13">
        <v>-5.1000000000000004E-3</v>
      </c>
      <c r="O803" t="s">
        <v>38</v>
      </c>
      <c r="Q803">
        <f t="shared" si="206"/>
        <v>-33.470450000000589</v>
      </c>
      <c r="R803">
        <f t="shared" si="207"/>
        <v>-47.43045000000059</v>
      </c>
      <c r="S803">
        <f t="shared" si="208"/>
        <v>9289.4145499999995</v>
      </c>
      <c r="U803">
        <f t="shared" si="195"/>
        <v>2.542373</v>
      </c>
      <c r="V803">
        <f t="shared" si="209"/>
        <v>1650.0000769999999</v>
      </c>
      <c r="W803">
        <f t="shared" si="196"/>
        <v>-5.9237290900001041</v>
      </c>
      <c r="X803">
        <f t="shared" si="197"/>
        <v>3.2940764249100001</v>
      </c>
      <c r="Y803">
        <f t="shared" si="198"/>
        <v>-9.2178055149101041</v>
      </c>
      <c r="Z803">
        <f t="shared" si="199"/>
        <v>31002.8180327667</v>
      </c>
      <c r="AB803">
        <f t="shared" si="200"/>
        <v>6.0177670000000001</v>
      </c>
      <c r="AC803">
        <f t="shared" si="201"/>
        <v>3905.5307830000002</v>
      </c>
      <c r="AD803">
        <f t="shared" si="202"/>
        <v>-14.021397110000246</v>
      </c>
      <c r="AE803">
        <f t="shared" si="203"/>
        <v>7.7970401688900006</v>
      </c>
      <c r="AF803">
        <f t="shared" si="204"/>
        <v>-21.818437278890247</v>
      </c>
      <c r="AG803">
        <f t="shared" si="194"/>
        <v>39033.48652181559</v>
      </c>
      <c r="AH803" t="b">
        <f t="shared" si="205"/>
        <v>1</v>
      </c>
    </row>
    <row r="804" spans="4:34" hidden="1" x14ac:dyDescent="0.4">
      <c r="D804" t="s">
        <v>43</v>
      </c>
      <c r="E804" t="s">
        <v>37</v>
      </c>
      <c r="F804" s="9">
        <v>45837.75</v>
      </c>
      <c r="G804" s="12">
        <v>2.8275999999999999</v>
      </c>
      <c r="H804" s="9">
        <v>45839.75</v>
      </c>
      <c r="I804" s="12">
        <v>2.6968000000000001</v>
      </c>
      <c r="J804">
        <v>649.29999999999995</v>
      </c>
      <c r="K804" s="12">
        <v>1836.16</v>
      </c>
      <c r="L804">
        <v>2.69</v>
      </c>
      <c r="M804" s="12">
        <v>-87.62</v>
      </c>
      <c r="N804" s="13">
        <v>-4.7699999999999999E-2</v>
      </c>
      <c r="O804" t="s">
        <v>38</v>
      </c>
      <c r="Q804">
        <f t="shared" si="206"/>
        <v>-84.928439999999867</v>
      </c>
      <c r="R804">
        <f t="shared" si="207"/>
        <v>-87.618439999999865</v>
      </c>
      <c r="S804">
        <f t="shared" si="208"/>
        <v>1751.03224</v>
      </c>
      <c r="U804">
        <f t="shared" si="195"/>
        <v>583.53373899999997</v>
      </c>
      <c r="V804">
        <f t="shared" si="209"/>
        <v>1650.0000003963999</v>
      </c>
      <c r="W804">
        <f t="shared" si="196"/>
        <v>-76.32621306119988</v>
      </c>
      <c r="X804">
        <f t="shared" si="197"/>
        <v>3.2236737877316002</v>
      </c>
      <c r="Y804">
        <f t="shared" si="198"/>
        <v>-79.549886848931479</v>
      </c>
      <c r="Z804">
        <f t="shared" si="199"/>
        <v>31012.035838281608</v>
      </c>
      <c r="AB804">
        <f t="shared" si="200"/>
        <v>1387.908856</v>
      </c>
      <c r="AC804">
        <f t="shared" si="201"/>
        <v>3924.4510812255999</v>
      </c>
      <c r="AD804">
        <f t="shared" si="202"/>
        <v>-181.53847836479974</v>
      </c>
      <c r="AE804">
        <f t="shared" si="203"/>
        <v>7.6673636840864008</v>
      </c>
      <c r="AF804">
        <f t="shared" si="204"/>
        <v>-189.20584204888615</v>
      </c>
      <c r="AG804">
        <f t="shared" si="194"/>
        <v>39055.304959094479</v>
      </c>
      <c r="AH804" t="b">
        <f t="shared" si="205"/>
        <v>1</v>
      </c>
    </row>
    <row r="805" spans="4:34" hidden="1" x14ac:dyDescent="0.4">
      <c r="D805" t="s">
        <v>52</v>
      </c>
      <c r="E805" t="s">
        <v>37</v>
      </c>
      <c r="F805" s="9">
        <v>45837.75</v>
      </c>
      <c r="G805">
        <v>4.8769999999999998</v>
      </c>
      <c r="H805" s="9">
        <v>45839.75</v>
      </c>
      <c r="I805">
        <v>4.7549999999999999</v>
      </c>
      <c r="J805" s="12">
        <v>482.08</v>
      </c>
      <c r="K805" s="12">
        <v>2351.13</v>
      </c>
      <c r="L805">
        <v>3.48</v>
      </c>
      <c r="M805">
        <v>-62.3</v>
      </c>
      <c r="N805" s="13">
        <v>-2.6499999999999999E-2</v>
      </c>
      <c r="O805" t="s">
        <v>38</v>
      </c>
      <c r="Q805">
        <f t="shared" si="206"/>
        <v>-58.813759999999945</v>
      </c>
      <c r="R805">
        <f t="shared" si="207"/>
        <v>-62.293759999999942</v>
      </c>
      <c r="S805">
        <f t="shared" si="208"/>
        <v>2292.2903999999999</v>
      </c>
      <c r="U805">
        <f t="shared" si="195"/>
        <v>338.32273900000001</v>
      </c>
      <c r="V805">
        <f t="shared" si="209"/>
        <v>1649.9999981030001</v>
      </c>
      <c r="W805">
        <f t="shared" si="196"/>
        <v>-41.275374157999963</v>
      </c>
      <c r="X805">
        <f t="shared" si="197"/>
        <v>3.2587246220480002</v>
      </c>
      <c r="Y805">
        <f t="shared" si="198"/>
        <v>-44.534098780047962</v>
      </c>
      <c r="Z805">
        <f t="shared" si="199"/>
        <v>31091.585725130539</v>
      </c>
      <c r="AB805">
        <f t="shared" si="200"/>
        <v>806.86323200000004</v>
      </c>
      <c r="AC805">
        <f t="shared" si="201"/>
        <v>3935.071982464</v>
      </c>
      <c r="AD805">
        <f t="shared" si="202"/>
        <v>-98.437314303999912</v>
      </c>
      <c r="AE805">
        <f t="shared" si="203"/>
        <v>7.771706650624</v>
      </c>
      <c r="AF805">
        <f t="shared" si="204"/>
        <v>-106.20902095462391</v>
      </c>
      <c r="AG805">
        <f t="shared" si="194"/>
        <v>39244.510801143362</v>
      </c>
      <c r="AH805" t="b">
        <f t="shared" si="205"/>
        <v>1</v>
      </c>
    </row>
    <row r="806" spans="4:34" hidden="1" x14ac:dyDescent="0.4">
      <c r="D806" t="s">
        <v>50</v>
      </c>
      <c r="E806" t="s">
        <v>37</v>
      </c>
      <c r="F806" s="9">
        <v>45837.75</v>
      </c>
      <c r="G806" s="12">
        <v>342.6</v>
      </c>
      <c r="H806" s="9">
        <v>45839.75</v>
      </c>
      <c r="I806" s="12">
        <v>325.3</v>
      </c>
      <c r="J806">
        <v>37.534199999999998</v>
      </c>
      <c r="K806" s="12">
        <v>12859.23</v>
      </c>
      <c r="L806">
        <v>18.8</v>
      </c>
      <c r="M806">
        <v>-668.14</v>
      </c>
      <c r="N806" s="13">
        <v>-5.1999999999999998E-2</v>
      </c>
      <c r="O806" t="s">
        <v>38</v>
      </c>
      <c r="Q806">
        <f t="shared" si="206"/>
        <v>-649.34166000000039</v>
      </c>
      <c r="R806">
        <f t="shared" si="207"/>
        <v>-668.14166000000034</v>
      </c>
      <c r="S806">
        <f t="shared" si="208"/>
        <v>12209.875260000001</v>
      </c>
      <c r="U806">
        <f t="shared" si="195"/>
        <v>4.8161120000000004</v>
      </c>
      <c r="V806">
        <f t="shared" si="209"/>
        <v>1649.9999712000003</v>
      </c>
      <c r="W806">
        <f t="shared" si="196"/>
        <v>-83.318737600000063</v>
      </c>
      <c r="X806">
        <f t="shared" si="197"/>
        <v>3.2166812048000009</v>
      </c>
      <c r="Y806">
        <f t="shared" si="198"/>
        <v>-86.535418804800059</v>
      </c>
      <c r="Z806">
        <f t="shared" si="199"/>
        <v>31136.119823910587</v>
      </c>
      <c r="AB806">
        <f t="shared" si="200"/>
        <v>11.546464</v>
      </c>
      <c r="AC806">
        <f t="shared" si="201"/>
        <v>3955.8185664000002</v>
      </c>
      <c r="AD806">
        <f t="shared" si="202"/>
        <v>-199.75382720000013</v>
      </c>
      <c r="AE806">
        <f t="shared" si="203"/>
        <v>7.7118833056000025</v>
      </c>
      <c r="AF806">
        <f t="shared" si="204"/>
        <v>-207.46571050560013</v>
      </c>
      <c r="AG806">
        <f t="shared" si="194"/>
        <v>39350.719822097984</v>
      </c>
      <c r="AH806" t="b">
        <f t="shared" si="205"/>
        <v>1</v>
      </c>
    </row>
    <row r="807" spans="4:34" hidden="1" x14ac:dyDescent="0.4">
      <c r="D807" t="s">
        <v>56</v>
      </c>
      <c r="E807" t="s">
        <v>37</v>
      </c>
      <c r="F807" s="9">
        <v>45838.708333333336</v>
      </c>
      <c r="G807" s="12">
        <v>2475.1799999999998</v>
      </c>
      <c r="H807" s="9">
        <v>45839.625</v>
      </c>
      <c r="I807" s="12">
        <v>2432.66</v>
      </c>
      <c r="J807" s="12">
        <v>2.1996000000000002</v>
      </c>
      <c r="K807" s="12">
        <v>5444.44</v>
      </c>
      <c r="L807">
        <v>8.1</v>
      </c>
      <c r="M807">
        <v>-101.63</v>
      </c>
      <c r="N807" s="13">
        <v>-1.8700000000000001E-2</v>
      </c>
      <c r="O807" t="s">
        <v>49</v>
      </c>
      <c r="Q807">
        <f t="shared" si="206"/>
        <v>-93.526991999999964</v>
      </c>
      <c r="R807">
        <f t="shared" si="207"/>
        <v>-101.62699199999996</v>
      </c>
      <c r="S807">
        <f t="shared" si="208"/>
        <v>5350.8789360000001</v>
      </c>
      <c r="U807">
        <f t="shared" si="195"/>
        <v>0.66661800000000004</v>
      </c>
      <c r="V807">
        <f t="shared" si="209"/>
        <v>1649.9995412400001</v>
      </c>
      <c r="W807">
        <f t="shared" si="196"/>
        <v>-28.344597359999991</v>
      </c>
      <c r="X807">
        <f t="shared" si="197"/>
        <v>3.2716544851200005</v>
      </c>
      <c r="Y807">
        <f t="shared" si="198"/>
        <v>-31.61625184511999</v>
      </c>
      <c r="Z807">
        <f t="shared" si="199"/>
        <v>31222.655242715387</v>
      </c>
      <c r="AB807">
        <f t="shared" si="200"/>
        <v>1.6012630000000001</v>
      </c>
      <c r="AC807">
        <f t="shared" si="201"/>
        <v>3963.4141523399999</v>
      </c>
      <c r="AD807">
        <f t="shared" si="202"/>
        <v>-68.085702759999975</v>
      </c>
      <c r="AE807">
        <f t="shared" si="203"/>
        <v>7.8587426019200004</v>
      </c>
      <c r="AF807">
        <f t="shared" si="204"/>
        <v>-75.944445361919975</v>
      </c>
      <c r="AG807">
        <f t="shared" si="194"/>
        <v>39558.185532603587</v>
      </c>
      <c r="AH807" t="b">
        <f t="shared" si="205"/>
        <v>1</v>
      </c>
    </row>
    <row r="808" spans="4:34" hidden="1" x14ac:dyDescent="0.4">
      <c r="D808" t="s">
        <v>48</v>
      </c>
      <c r="E808" t="s">
        <v>37</v>
      </c>
      <c r="F808" s="9">
        <v>45837.375</v>
      </c>
      <c r="G808">
        <v>0.1129</v>
      </c>
      <c r="H808" s="9">
        <v>45839.375</v>
      </c>
      <c r="I808">
        <v>0.1135</v>
      </c>
      <c r="J808" s="12">
        <v>26780.799999999999</v>
      </c>
      <c r="K808" s="12">
        <v>3023.56</v>
      </c>
      <c r="L808">
        <v>4.55</v>
      </c>
      <c r="M808">
        <v>11.52</v>
      </c>
      <c r="N808" s="13">
        <v>3.8E-3</v>
      </c>
      <c r="O808" t="s">
        <v>38</v>
      </c>
      <c r="Q808">
        <f t="shared" si="206"/>
        <v>16.06848000000009</v>
      </c>
      <c r="R808">
        <f t="shared" si="207"/>
        <v>11.518480000000089</v>
      </c>
      <c r="S808">
        <f t="shared" si="208"/>
        <v>3039.6208000000001</v>
      </c>
      <c r="U808">
        <f t="shared" si="195"/>
        <v>14614.703277000001</v>
      </c>
      <c r="V808">
        <f t="shared" si="209"/>
        <v>1649.9999999733</v>
      </c>
      <c r="W808">
        <f t="shared" si="196"/>
        <v>8.7688219662000488</v>
      </c>
      <c r="X808">
        <f t="shared" si="197"/>
        <v>3.3087688219128002</v>
      </c>
      <c r="Y808">
        <f t="shared" si="198"/>
        <v>5.4600531442872491</v>
      </c>
      <c r="Z808">
        <f t="shared" si="199"/>
        <v>31254.271494560508</v>
      </c>
      <c r="AB808">
        <f t="shared" si="200"/>
        <v>35093.905133</v>
      </c>
      <c r="AC808">
        <f t="shared" si="201"/>
        <v>3962.1018895156999</v>
      </c>
      <c r="AD808">
        <f t="shared" si="202"/>
        <v>21.056343079800115</v>
      </c>
      <c r="AE808">
        <f t="shared" si="203"/>
        <v>7.9452601221112005</v>
      </c>
      <c r="AF808">
        <f t="shared" si="204"/>
        <v>13.111082957688915</v>
      </c>
      <c r="AG808">
        <f t="shared" si="194"/>
        <v>39634.129977965509</v>
      </c>
      <c r="AH808" t="b">
        <f t="shared" si="205"/>
        <v>1</v>
      </c>
    </row>
    <row r="809" spans="4:34" hidden="1" x14ac:dyDescent="0.4">
      <c r="D809" t="s">
        <v>59</v>
      </c>
      <c r="E809" t="s">
        <v>37</v>
      </c>
      <c r="F809" s="9">
        <v>45836.708333333336</v>
      </c>
      <c r="G809" s="12">
        <v>107487.98</v>
      </c>
      <c r="H809" s="9">
        <v>45839.208333333336</v>
      </c>
      <c r="I809" s="12">
        <v>107220.71</v>
      </c>
      <c r="J809" s="12">
        <v>9.6629999999999994E-2</v>
      </c>
      <c r="K809" s="12">
        <v>10386.879999999999</v>
      </c>
      <c r="L809">
        <v>15.56</v>
      </c>
      <c r="M809">
        <v>-41.39</v>
      </c>
      <c r="N809" s="13">
        <v>-4.0000000000000001E-3</v>
      </c>
      <c r="O809" t="s">
        <v>57</v>
      </c>
      <c r="Q809">
        <f t="shared" si="206"/>
        <v>-25.826300099998985</v>
      </c>
      <c r="R809">
        <f t="shared" si="207"/>
        <v>-41.386300099998984</v>
      </c>
      <c r="S809">
        <f t="shared" si="208"/>
        <v>10360.737207300001</v>
      </c>
      <c r="U809">
        <f t="shared" si="195"/>
        <v>1.5351E-2</v>
      </c>
      <c r="V809">
        <f t="shared" si="209"/>
        <v>1650.0479809799999</v>
      </c>
      <c r="W809">
        <f t="shared" si="196"/>
        <v>-4.1028617699998389</v>
      </c>
      <c r="X809">
        <f t="shared" si="197"/>
        <v>3.2959931001900005</v>
      </c>
      <c r="Y809">
        <f t="shared" si="198"/>
        <v>-7.3988548701898393</v>
      </c>
      <c r="Z809">
        <f t="shared" si="199"/>
        <v>31248.811441416219</v>
      </c>
      <c r="AB809">
        <f t="shared" si="200"/>
        <v>3.6877E-2</v>
      </c>
      <c r="AC809">
        <f t="shared" si="201"/>
        <v>3963.8342384600001</v>
      </c>
      <c r="AD809">
        <f t="shared" si="202"/>
        <v>-9.8561157899996132</v>
      </c>
      <c r="AE809">
        <f t="shared" si="203"/>
        <v>7.9178123611300011</v>
      </c>
      <c r="AF809">
        <f t="shared" si="204"/>
        <v>-17.773928151129613</v>
      </c>
      <c r="AG809">
        <f t="shared" si="194"/>
        <v>39621.018895007823</v>
      </c>
      <c r="AH809" t="b">
        <f t="shared" si="205"/>
        <v>1</v>
      </c>
    </row>
    <row r="810" spans="4:34" hidden="1" x14ac:dyDescent="0.4">
      <c r="D810" t="s">
        <v>60</v>
      </c>
      <c r="E810" t="s">
        <v>37</v>
      </c>
      <c r="F810" s="9">
        <v>45836.625</v>
      </c>
      <c r="G810">
        <v>2.1932</v>
      </c>
      <c r="H810" s="9">
        <v>45839.125</v>
      </c>
      <c r="I810">
        <v>2.2311000000000001</v>
      </c>
      <c r="J810" s="12">
        <v>1007.5</v>
      </c>
      <c r="K810" s="12">
        <v>2209.71</v>
      </c>
      <c r="L810">
        <v>3.34</v>
      </c>
      <c r="M810">
        <v>34.840000000000003</v>
      </c>
      <c r="N810" s="13">
        <v>1.5800000000000002E-2</v>
      </c>
      <c r="O810" t="s">
        <v>57</v>
      </c>
      <c r="Q810">
        <f t="shared" si="206"/>
        <v>38.184250000000048</v>
      </c>
      <c r="R810">
        <f t="shared" si="207"/>
        <v>34.844250000000045</v>
      </c>
      <c r="S810">
        <f t="shared" si="208"/>
        <v>2247.8332500000001</v>
      </c>
      <c r="U810">
        <f t="shared" si="195"/>
        <v>752.32536900000002</v>
      </c>
      <c r="V810">
        <f t="shared" si="209"/>
        <v>1649.9999992908001</v>
      </c>
      <c r="W810">
        <f t="shared" si="196"/>
        <v>28.513131485100036</v>
      </c>
      <c r="X810">
        <f t="shared" si="197"/>
        <v>3.3285131300667006</v>
      </c>
      <c r="Y810">
        <f t="shared" si="198"/>
        <v>25.184618355033336</v>
      </c>
      <c r="Z810">
        <f t="shared" si="199"/>
        <v>31256.210296286408</v>
      </c>
      <c r="AB810">
        <f t="shared" si="200"/>
        <v>1804.595237</v>
      </c>
      <c r="AC810">
        <f t="shared" si="201"/>
        <v>3957.8382737883999</v>
      </c>
      <c r="AD810">
        <f t="shared" si="202"/>
        <v>68.394159482300083</v>
      </c>
      <c r="AE810">
        <f t="shared" si="203"/>
        <v>7.984070707059101</v>
      </c>
      <c r="AF810">
        <f t="shared" si="204"/>
        <v>60.410088775240979</v>
      </c>
      <c r="AG810">
        <f t="shared" ref="AG810:AG873" si="210">AG811*AH810 + (1-AH810)*AI810+AF810</f>
        <v>39638.792823158954</v>
      </c>
      <c r="AH810" t="b">
        <f t="shared" si="205"/>
        <v>1</v>
      </c>
    </row>
    <row r="811" spans="4:34" hidden="1" x14ac:dyDescent="0.4">
      <c r="D811" t="s">
        <v>56</v>
      </c>
      <c r="E811" t="s">
        <v>37</v>
      </c>
      <c r="F811" s="9">
        <v>45838</v>
      </c>
      <c r="G811" s="12">
        <v>2502.39</v>
      </c>
      <c r="H811" s="9">
        <v>45838.333333333336</v>
      </c>
      <c r="I811" s="12">
        <v>2470.2199999999998</v>
      </c>
      <c r="J811">
        <v>2.1787999999999998</v>
      </c>
      <c r="K811" s="12">
        <v>5452.27</v>
      </c>
      <c r="L811">
        <v>8.1300000000000008</v>
      </c>
      <c r="M811">
        <v>-78.23</v>
      </c>
      <c r="N811" s="13">
        <v>-1.43E-2</v>
      </c>
      <c r="O811" t="s">
        <v>49</v>
      </c>
      <c r="Q811">
        <f t="shared" si="206"/>
        <v>-70.091996000000151</v>
      </c>
      <c r="R811">
        <f t="shared" si="207"/>
        <v>-78.221996000000146</v>
      </c>
      <c r="S811">
        <f t="shared" si="208"/>
        <v>5382.1153359999989</v>
      </c>
      <c r="U811">
        <f t="shared" si="195"/>
        <v>0.65937000000000001</v>
      </c>
      <c r="V811">
        <f t="shared" si="209"/>
        <v>1650.0008943</v>
      </c>
      <c r="W811">
        <f t="shared" si="196"/>
        <v>-21.211932900000047</v>
      </c>
      <c r="X811">
        <f t="shared" si="197"/>
        <v>3.2787898556999999</v>
      </c>
      <c r="Y811">
        <f t="shared" si="198"/>
        <v>-24.490722755700048</v>
      </c>
      <c r="Z811">
        <f t="shared" si="199"/>
        <v>31231.025677931375</v>
      </c>
      <c r="AB811">
        <f t="shared" si="200"/>
        <v>1.583974</v>
      </c>
      <c r="AC811">
        <f t="shared" si="201"/>
        <v>3963.7206978599997</v>
      </c>
      <c r="AD811">
        <f t="shared" si="202"/>
        <v>-50.956443580000112</v>
      </c>
      <c r="AE811">
        <f t="shared" si="203"/>
        <v>7.8764849521399993</v>
      </c>
      <c r="AF811">
        <f t="shared" si="204"/>
        <v>-58.832928532140109</v>
      </c>
      <c r="AG811">
        <f t="shared" si="210"/>
        <v>39578.382734383711</v>
      </c>
      <c r="AH811" t="b">
        <f t="shared" si="205"/>
        <v>1</v>
      </c>
    </row>
    <row r="812" spans="4:34" hidden="1" x14ac:dyDescent="0.4">
      <c r="D812" t="s">
        <v>61</v>
      </c>
      <c r="E812" t="s">
        <v>37</v>
      </c>
      <c r="F812" s="9">
        <v>45836.333333333336</v>
      </c>
      <c r="G812">
        <v>0.56259999999999999</v>
      </c>
      <c r="H812" s="9">
        <v>45838.333333333336</v>
      </c>
      <c r="I812">
        <v>0.56220000000000003</v>
      </c>
      <c r="J812" s="12">
        <v>14483</v>
      </c>
      <c r="K812" s="12">
        <v>8148.14</v>
      </c>
      <c r="L812">
        <v>12.22</v>
      </c>
      <c r="M812">
        <v>-18.010000000000002</v>
      </c>
      <c r="N812" s="13">
        <v>-2.2000000000000001E-3</v>
      </c>
      <c r="O812" t="s">
        <v>38</v>
      </c>
      <c r="Q812">
        <f t="shared" si="206"/>
        <v>-5.793199999999362</v>
      </c>
      <c r="R812">
        <f t="shared" si="207"/>
        <v>-18.013199999999362</v>
      </c>
      <c r="S812">
        <f t="shared" si="208"/>
        <v>8142.3426000000009</v>
      </c>
      <c r="U812">
        <f t="shared" si="195"/>
        <v>2932.8119449999999</v>
      </c>
      <c r="V812">
        <f t="shared" si="209"/>
        <v>1650.000000257</v>
      </c>
      <c r="W812">
        <f t="shared" si="196"/>
        <v>-1.1731247779998708</v>
      </c>
      <c r="X812">
        <f t="shared" si="197"/>
        <v>3.2988268757359998</v>
      </c>
      <c r="Y812">
        <f t="shared" si="198"/>
        <v>-4.4719516537358706</v>
      </c>
      <c r="Z812">
        <f t="shared" si="199"/>
        <v>31255.516400687076</v>
      </c>
      <c r="AB812">
        <f t="shared" si="200"/>
        <v>7047.2736130000003</v>
      </c>
      <c r="AC812">
        <f t="shared" si="201"/>
        <v>3964.7961346738002</v>
      </c>
      <c r="AD812">
        <f t="shared" si="202"/>
        <v>-2.8189094451996897</v>
      </c>
      <c r="AE812">
        <f t="shared" si="203"/>
        <v>7.9267733599024002</v>
      </c>
      <c r="AF812">
        <f t="shared" si="204"/>
        <v>-10.74568280510209</v>
      </c>
      <c r="AG812">
        <f t="shared" si="210"/>
        <v>39637.215662915849</v>
      </c>
      <c r="AH812" t="b">
        <f t="shared" si="205"/>
        <v>1</v>
      </c>
    </row>
    <row r="813" spans="4:34" hidden="1" x14ac:dyDescent="0.4">
      <c r="D813" t="s">
        <v>55</v>
      </c>
      <c r="E813" t="s">
        <v>37</v>
      </c>
      <c r="F813" s="9">
        <v>45835.916666666664</v>
      </c>
      <c r="G813">
        <v>5.5059999999999998E-5</v>
      </c>
      <c r="H813" s="9">
        <v>45837.916666666664</v>
      </c>
      <c r="I813">
        <v>5.5819999999999997E-5</v>
      </c>
      <c r="J813" s="12">
        <v>107336178.75</v>
      </c>
      <c r="K813" s="12">
        <v>5909.93</v>
      </c>
      <c r="L813">
        <v>8.93</v>
      </c>
      <c r="M813">
        <v>72.650000000000006</v>
      </c>
      <c r="N813" s="13">
        <v>1.23E-2</v>
      </c>
      <c r="O813" t="s">
        <v>38</v>
      </c>
      <c r="Q813">
        <f t="shared" si="206"/>
        <v>81.575495849999953</v>
      </c>
      <c r="R813">
        <f t="shared" si="207"/>
        <v>72.645495849999946</v>
      </c>
      <c r="S813">
        <f t="shared" si="208"/>
        <v>5991.505497825</v>
      </c>
      <c r="U813">
        <f t="shared" si="195"/>
        <v>29967308.390845999</v>
      </c>
      <c r="V813">
        <f t="shared" si="209"/>
        <v>1649.9999999999807</v>
      </c>
      <c r="W813">
        <f t="shared" si="196"/>
        <v>22.775154377042945</v>
      </c>
      <c r="X813">
        <f t="shared" si="197"/>
        <v>3.3227751543770041</v>
      </c>
      <c r="Y813">
        <f t="shared" si="198"/>
        <v>19.45237922266594</v>
      </c>
      <c r="Z813">
        <f t="shared" si="199"/>
        <v>31259.988352340813</v>
      </c>
      <c r="AB813">
        <f t="shared" si="200"/>
        <v>71923854.219887003</v>
      </c>
      <c r="AC813">
        <f t="shared" si="201"/>
        <v>3960.1274133469783</v>
      </c>
      <c r="AD813">
        <f t="shared" si="202"/>
        <v>54.662129207114084</v>
      </c>
      <c r="AE813">
        <f t="shared" si="203"/>
        <v>7.9749169559010706</v>
      </c>
      <c r="AF813">
        <f t="shared" si="204"/>
        <v>46.687212251213012</v>
      </c>
      <c r="AG813">
        <f t="shared" si="210"/>
        <v>39647.961345720949</v>
      </c>
      <c r="AH813" t="b">
        <f t="shared" si="205"/>
        <v>1</v>
      </c>
    </row>
    <row r="814" spans="4:34" hidden="1" x14ac:dyDescent="0.4">
      <c r="D814" t="s">
        <v>58</v>
      </c>
      <c r="E814" t="s">
        <v>37</v>
      </c>
      <c r="F814" s="9">
        <v>45835.916666666664</v>
      </c>
      <c r="G814">
        <v>13.01</v>
      </c>
      <c r="H814" s="9">
        <v>45837.916666666664</v>
      </c>
      <c r="I814">
        <v>13.32</v>
      </c>
      <c r="J814">
        <v>543.37</v>
      </c>
      <c r="K814" s="12">
        <v>7069.29</v>
      </c>
      <c r="L814">
        <v>10.73</v>
      </c>
      <c r="M814" s="12">
        <v>157.71</v>
      </c>
      <c r="N814" s="13">
        <v>2.23E-2</v>
      </c>
      <c r="O814" t="s">
        <v>38</v>
      </c>
      <c r="Q814">
        <f t="shared" si="206"/>
        <v>168.44470000000027</v>
      </c>
      <c r="R814">
        <f t="shared" si="207"/>
        <v>157.71470000000028</v>
      </c>
      <c r="S814">
        <f t="shared" si="208"/>
        <v>7237.6884</v>
      </c>
      <c r="U814">
        <f t="shared" si="195"/>
        <v>126.825519</v>
      </c>
      <c r="V814">
        <f t="shared" si="209"/>
        <v>1650.00000219</v>
      </c>
      <c r="W814">
        <f t="shared" si="196"/>
        <v>39.315910890000062</v>
      </c>
      <c r="X814">
        <f t="shared" si="197"/>
        <v>3.3393159152699998</v>
      </c>
      <c r="Y814">
        <f t="shared" si="198"/>
        <v>35.976594974730062</v>
      </c>
      <c r="Z814">
        <f t="shared" si="199"/>
        <v>31240.535973118149</v>
      </c>
      <c r="AB814">
        <f t="shared" si="200"/>
        <v>303.72878900000001</v>
      </c>
      <c r="AC814">
        <f t="shared" si="201"/>
        <v>3951.5115448900001</v>
      </c>
      <c r="AD814">
        <f t="shared" si="202"/>
        <v>94.155924590000154</v>
      </c>
      <c r="AE814">
        <f t="shared" si="203"/>
        <v>7.9971790143700003</v>
      </c>
      <c r="AF814">
        <f t="shared" si="204"/>
        <v>86.158745575630149</v>
      </c>
      <c r="AG814">
        <f t="shared" si="210"/>
        <v>39601.274133469735</v>
      </c>
      <c r="AH814" t="b">
        <f t="shared" si="205"/>
        <v>1</v>
      </c>
    </row>
    <row r="815" spans="4:34" hidden="1" x14ac:dyDescent="0.4">
      <c r="D815" t="s">
        <v>54</v>
      </c>
      <c r="E815" t="s">
        <v>37</v>
      </c>
      <c r="F815" s="9">
        <v>45835.875</v>
      </c>
      <c r="G815">
        <v>141.84</v>
      </c>
      <c r="H815" s="9">
        <v>45837.875</v>
      </c>
      <c r="I815">
        <v>151.21</v>
      </c>
      <c r="J815">
        <v>33.716000000000001</v>
      </c>
      <c r="K815" s="12">
        <v>4782.3500000000004</v>
      </c>
      <c r="L815">
        <v>7.41</v>
      </c>
      <c r="M815">
        <v>308.51</v>
      </c>
      <c r="N815" s="13">
        <v>6.4500000000000002E-2</v>
      </c>
      <c r="O815" t="s">
        <v>38</v>
      </c>
      <c r="Q815">
        <f t="shared" si="206"/>
        <v>315.91892000000018</v>
      </c>
      <c r="R815">
        <f t="shared" si="207"/>
        <v>308.50892000000016</v>
      </c>
      <c r="S815">
        <f t="shared" si="208"/>
        <v>5098.1963600000008</v>
      </c>
      <c r="U815">
        <f t="shared" si="195"/>
        <v>11.632826</v>
      </c>
      <c r="V815">
        <f t="shared" si="209"/>
        <v>1650.00003984</v>
      </c>
      <c r="W815">
        <f t="shared" si="196"/>
        <v>108.99957962000005</v>
      </c>
      <c r="X815">
        <f t="shared" si="197"/>
        <v>3.4089996593000005</v>
      </c>
      <c r="Y815">
        <f t="shared" si="198"/>
        <v>105.59057996070005</v>
      </c>
      <c r="Z815">
        <f t="shared" si="199"/>
        <v>31204.559378143418</v>
      </c>
      <c r="AB815">
        <f t="shared" si="200"/>
        <v>27.681788999999998</v>
      </c>
      <c r="AC815">
        <f t="shared" si="201"/>
        <v>3926.3849517599997</v>
      </c>
      <c r="AD815">
        <f t="shared" si="202"/>
        <v>259.37836293000009</v>
      </c>
      <c r="AE815">
        <f t="shared" si="203"/>
        <v>8.1121482664500011</v>
      </c>
      <c r="AF815">
        <f t="shared" si="204"/>
        <v>251.2662146635501</v>
      </c>
      <c r="AG815">
        <f t="shared" si="210"/>
        <v>39515.115387894104</v>
      </c>
      <c r="AH815" t="b">
        <f t="shared" si="205"/>
        <v>1</v>
      </c>
    </row>
    <row r="816" spans="4:34" hidden="1" x14ac:dyDescent="0.4">
      <c r="D816" t="s">
        <v>53</v>
      </c>
      <c r="E816" t="s">
        <v>37</v>
      </c>
      <c r="F816" s="9">
        <v>45835.875</v>
      </c>
      <c r="G816">
        <v>645.55999999999995</v>
      </c>
      <c r="H816" s="9">
        <v>45837.875</v>
      </c>
      <c r="I816">
        <v>648.91999999999996</v>
      </c>
      <c r="J816">
        <v>14.436</v>
      </c>
      <c r="K816" s="12">
        <v>9319.48</v>
      </c>
      <c r="L816">
        <v>14.02</v>
      </c>
      <c r="M816">
        <v>34.49</v>
      </c>
      <c r="N816" s="13">
        <v>3.7000000000000002E-3</v>
      </c>
      <c r="O816" t="s">
        <v>38</v>
      </c>
      <c r="Q816">
        <f t="shared" si="206"/>
        <v>48.504960000000196</v>
      </c>
      <c r="R816">
        <f t="shared" si="207"/>
        <v>34.4849600000002</v>
      </c>
      <c r="S816">
        <f t="shared" si="208"/>
        <v>9367.8091199999999</v>
      </c>
      <c r="U816">
        <f t="shared" si="195"/>
        <v>2.55592</v>
      </c>
      <c r="V816">
        <f t="shared" si="209"/>
        <v>1649.9997151999999</v>
      </c>
      <c r="W816">
        <f t="shared" si="196"/>
        <v>8.5878912000000351</v>
      </c>
      <c r="X816">
        <f t="shared" si="197"/>
        <v>3.3085873216000001</v>
      </c>
      <c r="Y816">
        <f t="shared" si="198"/>
        <v>5.279303878400035</v>
      </c>
      <c r="Z816">
        <f t="shared" si="199"/>
        <v>31098.968798182719</v>
      </c>
      <c r="AB816">
        <f t="shared" si="200"/>
        <v>6.0801920000000003</v>
      </c>
      <c r="AC816">
        <f t="shared" si="201"/>
        <v>3925.1287475199997</v>
      </c>
      <c r="AD816">
        <f t="shared" si="202"/>
        <v>20.429445120000082</v>
      </c>
      <c r="AE816">
        <f t="shared" si="203"/>
        <v>7.8706869401600006</v>
      </c>
      <c r="AF816">
        <f t="shared" si="204"/>
        <v>12.558758179840082</v>
      </c>
      <c r="AG816">
        <f t="shared" si="210"/>
        <v>39263.849173230556</v>
      </c>
      <c r="AH816" t="b">
        <f t="shared" si="205"/>
        <v>1</v>
      </c>
    </row>
    <row r="817" spans="4:34" hidden="1" x14ac:dyDescent="0.4">
      <c r="D817" t="s">
        <v>43</v>
      </c>
      <c r="E817" t="s">
        <v>37</v>
      </c>
      <c r="F817" s="9">
        <v>45835.625</v>
      </c>
      <c r="G817" s="12">
        <v>2.6747999999999998</v>
      </c>
      <c r="H817" s="9">
        <v>45837.625</v>
      </c>
      <c r="I817" s="12">
        <v>2.7995999999999999</v>
      </c>
      <c r="J817">
        <v>683.3</v>
      </c>
      <c r="K817" s="12">
        <v>1827.91</v>
      </c>
      <c r="L817">
        <v>2.81</v>
      </c>
      <c r="M817">
        <v>82.47</v>
      </c>
      <c r="N817" s="13">
        <v>4.5100000000000001E-2</v>
      </c>
      <c r="O817" t="s">
        <v>38</v>
      </c>
      <c r="Q817">
        <f t="shared" si="206"/>
        <v>85.275840000000002</v>
      </c>
      <c r="R817">
        <f t="shared" si="207"/>
        <v>82.46584</v>
      </c>
      <c r="S817">
        <f t="shared" si="208"/>
        <v>1912.9666799999998</v>
      </c>
      <c r="U817">
        <f t="shared" si="195"/>
        <v>616.86855100000002</v>
      </c>
      <c r="V817">
        <f t="shared" si="209"/>
        <v>1650.0000002147999</v>
      </c>
      <c r="W817">
        <f t="shared" si="196"/>
        <v>76.985195164800018</v>
      </c>
      <c r="X817">
        <f t="shared" si="197"/>
        <v>3.3769851955943997</v>
      </c>
      <c r="Y817">
        <f t="shared" si="198"/>
        <v>73.608209969205618</v>
      </c>
      <c r="Z817">
        <f t="shared" si="199"/>
        <v>31093.689494304319</v>
      </c>
      <c r="AB817">
        <f t="shared" si="200"/>
        <v>1460.930314</v>
      </c>
      <c r="AC817">
        <f t="shared" si="201"/>
        <v>3907.6964038871997</v>
      </c>
      <c r="AD817">
        <f t="shared" si="202"/>
        <v>182.32410318720002</v>
      </c>
      <c r="AE817">
        <f t="shared" si="203"/>
        <v>7.9977169109615982</v>
      </c>
      <c r="AF817">
        <f t="shared" si="204"/>
        <v>174.32638627623842</v>
      </c>
      <c r="AG817">
        <f t="shared" si="210"/>
        <v>39251.290415050717</v>
      </c>
      <c r="AH817" t="b">
        <f t="shared" si="205"/>
        <v>1</v>
      </c>
    </row>
    <row r="818" spans="4:34" hidden="1" x14ac:dyDescent="0.4">
      <c r="D818" t="s">
        <v>52</v>
      </c>
      <c r="E818" t="s">
        <v>37</v>
      </c>
      <c r="F818" s="9">
        <v>45835.625</v>
      </c>
      <c r="G818">
        <v>4.7190000000000003</v>
      </c>
      <c r="H818" s="9">
        <v>45837.625</v>
      </c>
      <c r="I818">
        <v>4.8719999999999999</v>
      </c>
      <c r="J818" s="12">
        <v>496.69</v>
      </c>
      <c r="K818" s="12">
        <v>2343.88</v>
      </c>
      <c r="L818">
        <v>3.57</v>
      </c>
      <c r="M818">
        <v>72.42</v>
      </c>
      <c r="N818" s="13">
        <v>3.09E-2</v>
      </c>
      <c r="O818" t="s">
        <v>38</v>
      </c>
      <c r="Q818">
        <f t="shared" si="206"/>
        <v>75.993569999999792</v>
      </c>
      <c r="R818">
        <f t="shared" si="207"/>
        <v>72.423569999999799</v>
      </c>
      <c r="S818">
        <f t="shared" si="208"/>
        <v>2419.8736800000001</v>
      </c>
      <c r="U818">
        <f t="shared" si="195"/>
        <v>349.65035</v>
      </c>
      <c r="V818">
        <f t="shared" si="209"/>
        <v>1650.0000016500001</v>
      </c>
      <c r="W818">
        <f t="shared" si="196"/>
        <v>53.496503549999851</v>
      </c>
      <c r="X818">
        <f t="shared" si="197"/>
        <v>3.3534965068500004</v>
      </c>
      <c r="Y818">
        <f t="shared" si="198"/>
        <v>50.143007043149851</v>
      </c>
      <c r="Z818">
        <f t="shared" si="199"/>
        <v>31020.081284335112</v>
      </c>
      <c r="AB818">
        <f t="shared" si="200"/>
        <v>825.56834300000003</v>
      </c>
      <c r="AC818">
        <f t="shared" si="201"/>
        <v>3895.8570106170005</v>
      </c>
      <c r="AD818">
        <f t="shared" si="202"/>
        <v>126.31195647899966</v>
      </c>
      <c r="AE818">
        <f t="shared" si="203"/>
        <v>7.9180259777130004</v>
      </c>
      <c r="AF818">
        <f t="shared" si="204"/>
        <v>118.39393050128666</v>
      </c>
      <c r="AG818">
        <f t="shared" si="210"/>
        <v>39076.964028774477</v>
      </c>
      <c r="AH818" t="b">
        <f t="shared" si="205"/>
        <v>1</v>
      </c>
    </row>
    <row r="819" spans="4:34" hidden="1" x14ac:dyDescent="0.4">
      <c r="D819" t="s">
        <v>56</v>
      </c>
      <c r="E819" t="s">
        <v>37</v>
      </c>
      <c r="F819" s="9">
        <v>45835.125</v>
      </c>
      <c r="G819" s="12">
        <v>2427.2399999999998</v>
      </c>
      <c r="H819" s="9">
        <v>45837.625</v>
      </c>
      <c r="I819" s="12">
        <v>2447.71</v>
      </c>
      <c r="J819">
        <v>2.2446999999999999</v>
      </c>
      <c r="K819" s="12">
        <v>5448.49</v>
      </c>
      <c r="L819">
        <v>8.2100000000000009</v>
      </c>
      <c r="M819">
        <v>37.74</v>
      </c>
      <c r="N819" s="13">
        <v>6.8999999999999999E-3</v>
      </c>
      <c r="O819" t="s">
        <v>57</v>
      </c>
      <c r="Q819">
        <f t="shared" si="206"/>
        <v>45.949009000000572</v>
      </c>
      <c r="R819">
        <f t="shared" si="207"/>
        <v>37.739009000000571</v>
      </c>
      <c r="S819">
        <f t="shared" si="208"/>
        <v>5494.3746369999999</v>
      </c>
      <c r="U819">
        <f t="shared" si="195"/>
        <v>0.67978400000000005</v>
      </c>
      <c r="V819">
        <f t="shared" si="209"/>
        <v>1649.9989161599999</v>
      </c>
      <c r="W819">
        <f t="shared" si="196"/>
        <v>13.915178480000174</v>
      </c>
      <c r="X819">
        <f t="shared" si="197"/>
        <v>3.3139130108000003</v>
      </c>
      <c r="Y819">
        <f t="shared" si="198"/>
        <v>10.601265469200174</v>
      </c>
      <c r="Z819">
        <f t="shared" si="199"/>
        <v>30969.938277291963</v>
      </c>
      <c r="AB819">
        <f t="shared" si="200"/>
        <v>1.604026</v>
      </c>
      <c r="AC819">
        <f t="shared" si="201"/>
        <v>3893.3560682399993</v>
      </c>
      <c r="AD819">
        <f t="shared" si="202"/>
        <v>32.834412220000409</v>
      </c>
      <c r="AE819">
        <f t="shared" si="203"/>
        <v>7.8195465487</v>
      </c>
      <c r="AF819">
        <f t="shared" si="204"/>
        <v>25.014865671300409</v>
      </c>
      <c r="AG819">
        <f t="shared" si="210"/>
        <v>38958.570098273187</v>
      </c>
      <c r="AH819" t="b">
        <f t="shared" si="205"/>
        <v>1</v>
      </c>
    </row>
    <row r="820" spans="4:34" hidden="1" x14ac:dyDescent="0.4">
      <c r="D820" t="s">
        <v>50</v>
      </c>
      <c r="E820" t="s">
        <v>37</v>
      </c>
      <c r="F820" s="9">
        <v>45835.625</v>
      </c>
      <c r="G820">
        <v>320.39999999999998</v>
      </c>
      <c r="H820" s="9">
        <v>45837.625</v>
      </c>
      <c r="I820">
        <v>342.3</v>
      </c>
      <c r="J820">
        <v>39.868600000000001</v>
      </c>
      <c r="K820" s="12">
        <v>12773.9</v>
      </c>
      <c r="L820">
        <v>19.82</v>
      </c>
      <c r="M820">
        <v>853.31</v>
      </c>
      <c r="N820" s="13">
        <v>6.6799999999999998E-2</v>
      </c>
      <c r="O820" t="s">
        <v>38</v>
      </c>
      <c r="Q820">
        <f t="shared" si="206"/>
        <v>873.12234000000137</v>
      </c>
      <c r="R820">
        <f t="shared" si="207"/>
        <v>853.30234000000132</v>
      </c>
      <c r="S820">
        <f t="shared" si="208"/>
        <v>13647.021780000001</v>
      </c>
      <c r="U820">
        <f t="shared" si="195"/>
        <v>5.149813</v>
      </c>
      <c r="V820">
        <f t="shared" si="209"/>
        <v>1650.0000851999998</v>
      </c>
      <c r="W820">
        <f t="shared" si="196"/>
        <v>112.78090470000018</v>
      </c>
      <c r="X820">
        <f t="shared" si="197"/>
        <v>3.4127810751000003</v>
      </c>
      <c r="Y820">
        <f t="shared" si="198"/>
        <v>109.36812362490018</v>
      </c>
      <c r="Z820">
        <f t="shared" si="199"/>
        <v>30959.337011822765</v>
      </c>
      <c r="AB820">
        <f t="shared" si="200"/>
        <v>12.071531999999999</v>
      </c>
      <c r="AC820">
        <f t="shared" si="201"/>
        <v>3867.7188527999997</v>
      </c>
      <c r="AD820">
        <f t="shared" si="202"/>
        <v>264.36655080000043</v>
      </c>
      <c r="AE820">
        <f t="shared" si="203"/>
        <v>7.9998042564</v>
      </c>
      <c r="AF820">
        <f t="shared" si="204"/>
        <v>256.36674654360041</v>
      </c>
      <c r="AG820">
        <f t="shared" si="210"/>
        <v>38933.555232601888</v>
      </c>
      <c r="AH820" t="b">
        <f t="shared" si="205"/>
        <v>1</v>
      </c>
    </row>
    <row r="821" spans="4:34" hidden="1" x14ac:dyDescent="0.4">
      <c r="D821" t="s">
        <v>60</v>
      </c>
      <c r="E821" t="s">
        <v>37</v>
      </c>
      <c r="F821" s="9">
        <v>45834.125</v>
      </c>
      <c r="G821">
        <v>2.1983999999999999</v>
      </c>
      <c r="H821" s="9">
        <v>45836.625</v>
      </c>
      <c r="I821">
        <v>2.1932</v>
      </c>
      <c r="J821" s="12">
        <v>1005.5</v>
      </c>
      <c r="K821" s="12">
        <v>2210.5700000000002</v>
      </c>
      <c r="L821">
        <v>3.31</v>
      </c>
      <c r="M821">
        <v>-8.5399999999999991</v>
      </c>
      <c r="N821" s="13">
        <v>-3.8999999999999998E-3</v>
      </c>
      <c r="O821" t="s">
        <v>57</v>
      </c>
      <c r="Q821">
        <f t="shared" si="206"/>
        <v>-5.2285999999998705</v>
      </c>
      <c r="R821">
        <f t="shared" si="207"/>
        <v>-8.538599999999871</v>
      </c>
      <c r="S821">
        <f t="shared" si="208"/>
        <v>2205.2626</v>
      </c>
      <c r="U821">
        <f t="shared" si="195"/>
        <v>750.54585199999997</v>
      </c>
      <c r="V821">
        <f t="shared" si="209"/>
        <v>1650.0000010367999</v>
      </c>
      <c r="W821">
        <f t="shared" si="196"/>
        <v>-3.9028384303999033</v>
      </c>
      <c r="X821">
        <f t="shared" si="197"/>
        <v>3.2960971636432004</v>
      </c>
      <c r="Y821">
        <f t="shared" si="198"/>
        <v>-7.1989355940431032</v>
      </c>
      <c r="Z821">
        <f t="shared" si="199"/>
        <v>30849.968888197865</v>
      </c>
      <c r="AB821">
        <f t="shared" si="200"/>
        <v>1760.1014680000001</v>
      </c>
      <c r="AC821">
        <f t="shared" si="201"/>
        <v>3869.4070672511998</v>
      </c>
      <c r="AD821">
        <f t="shared" si="202"/>
        <v>-9.1525276335997745</v>
      </c>
      <c r="AE821">
        <f t="shared" si="203"/>
        <v>7.7296616068688015</v>
      </c>
      <c r="AF821">
        <f t="shared" si="204"/>
        <v>-16.882189240468577</v>
      </c>
      <c r="AG821">
        <f t="shared" si="210"/>
        <v>38677.188486058287</v>
      </c>
      <c r="AH821" t="b">
        <f t="shared" si="205"/>
        <v>1</v>
      </c>
    </row>
    <row r="822" spans="4:34" hidden="1" x14ac:dyDescent="0.4">
      <c r="D822" t="s">
        <v>59</v>
      </c>
      <c r="E822" t="s">
        <v>37</v>
      </c>
      <c r="F822" s="9">
        <v>45834.125</v>
      </c>
      <c r="G822" s="12">
        <v>107690</v>
      </c>
      <c r="H822" s="9">
        <v>45836.625</v>
      </c>
      <c r="I822" s="12">
        <v>107149.72</v>
      </c>
      <c r="J822">
        <v>9.6509999999999999E-2</v>
      </c>
      <c r="K822" s="12">
        <v>10393.65</v>
      </c>
      <c r="L822">
        <v>15.55</v>
      </c>
      <c r="M822">
        <v>-67.69</v>
      </c>
      <c r="N822" s="13">
        <v>-6.4999999999999997E-3</v>
      </c>
      <c r="O822" t="s">
        <v>57</v>
      </c>
      <c r="Q822">
        <f t="shared" si="206"/>
        <v>-52.142422799999885</v>
      </c>
      <c r="R822">
        <f t="shared" si="207"/>
        <v>-67.692422799999889</v>
      </c>
      <c r="S822">
        <f t="shared" si="208"/>
        <v>10341.0194772</v>
      </c>
      <c r="U822">
        <f t="shared" si="195"/>
        <v>1.5322000000000001E-2</v>
      </c>
      <c r="V822">
        <f t="shared" si="209"/>
        <v>1650.0261800000001</v>
      </c>
      <c r="W822">
        <f t="shared" si="196"/>
        <v>-8.2781701599999824</v>
      </c>
      <c r="X822">
        <f t="shared" si="197"/>
        <v>3.2917741898399999</v>
      </c>
      <c r="Y822">
        <f t="shared" si="198"/>
        <v>-11.569944349839982</v>
      </c>
      <c r="Z822">
        <f t="shared" si="199"/>
        <v>30857.167823791908</v>
      </c>
      <c r="AB822">
        <f t="shared" si="200"/>
        <v>3.5956000000000002E-2</v>
      </c>
      <c r="AC822">
        <f t="shared" si="201"/>
        <v>3872.1016400000003</v>
      </c>
      <c r="AD822">
        <f t="shared" si="202"/>
        <v>-19.426307679999958</v>
      </c>
      <c r="AE822">
        <f t="shared" si="203"/>
        <v>7.7247769723200008</v>
      </c>
      <c r="AF822">
        <f t="shared" si="204"/>
        <v>-27.151084652319959</v>
      </c>
      <c r="AG822">
        <f t="shared" si="210"/>
        <v>38694.070675298753</v>
      </c>
      <c r="AH822" t="b">
        <f t="shared" si="205"/>
        <v>1</v>
      </c>
    </row>
    <row r="823" spans="4:34" hidden="1" x14ac:dyDescent="0.4">
      <c r="D823" t="s">
        <v>48</v>
      </c>
      <c r="E823" t="s">
        <v>37</v>
      </c>
      <c r="F823" s="9">
        <v>45834.125</v>
      </c>
      <c r="G823">
        <v>0.1104</v>
      </c>
      <c r="H823" s="9">
        <v>45836.125</v>
      </c>
      <c r="I823">
        <v>0.106</v>
      </c>
      <c r="J823" s="12">
        <v>27500.9</v>
      </c>
      <c r="K823" s="12">
        <v>3036.11</v>
      </c>
      <c r="L823">
        <v>4.46</v>
      </c>
      <c r="M823">
        <v>-125.47</v>
      </c>
      <c r="N823" s="13">
        <v>-4.1300000000000003E-2</v>
      </c>
      <c r="O823" t="s">
        <v>38</v>
      </c>
      <c r="Q823">
        <f t="shared" si="206"/>
        <v>-121.00396000000003</v>
      </c>
      <c r="R823">
        <f t="shared" si="207"/>
        <v>-125.46396000000003</v>
      </c>
      <c r="S823">
        <f t="shared" si="208"/>
        <v>2915.0954000000002</v>
      </c>
      <c r="U823">
        <f t="shared" si="195"/>
        <v>14945.652174000001</v>
      </c>
      <c r="V823">
        <f t="shared" si="209"/>
        <v>1650.0000000095999</v>
      </c>
      <c r="W823">
        <f t="shared" si="196"/>
        <v>-65.760869565600018</v>
      </c>
      <c r="X823">
        <f t="shared" si="197"/>
        <v>3.2342391304535996</v>
      </c>
      <c r="Y823">
        <f t="shared" si="198"/>
        <v>-68.99510869605362</v>
      </c>
      <c r="Z823">
        <f t="shared" si="199"/>
        <v>30868.737768141749</v>
      </c>
      <c r="AB823">
        <f t="shared" si="200"/>
        <v>35220.847173000002</v>
      </c>
      <c r="AC823">
        <f t="shared" si="201"/>
        <v>3888.3815278992001</v>
      </c>
      <c r="AD823">
        <f t="shared" si="202"/>
        <v>-154.97172756120005</v>
      </c>
      <c r="AE823">
        <f t="shared" si="203"/>
        <v>7.6217913282371992</v>
      </c>
      <c r="AF823">
        <f t="shared" si="204"/>
        <v>-162.59351888943726</v>
      </c>
      <c r="AG823">
        <f t="shared" si="210"/>
        <v>38721.221759951077</v>
      </c>
      <c r="AH823" t="b">
        <f t="shared" si="205"/>
        <v>1</v>
      </c>
    </row>
    <row r="824" spans="4:34" hidden="1" x14ac:dyDescent="0.4">
      <c r="D824" t="s">
        <v>54</v>
      </c>
      <c r="E824" t="s">
        <v>37</v>
      </c>
      <c r="F824" s="9">
        <v>45833.875</v>
      </c>
      <c r="G824">
        <v>144.78</v>
      </c>
      <c r="H824" s="9">
        <v>45835.875</v>
      </c>
      <c r="I824">
        <v>141.84</v>
      </c>
      <c r="J824" s="12">
        <v>33.103999999999999</v>
      </c>
      <c r="K824" s="12">
        <v>4792.8</v>
      </c>
      <c r="L824">
        <v>7.12</v>
      </c>
      <c r="M824">
        <v>-104.44</v>
      </c>
      <c r="N824" s="13">
        <v>-2.18E-2</v>
      </c>
      <c r="O824" t="s">
        <v>38</v>
      </c>
      <c r="Q824">
        <f t="shared" si="206"/>
        <v>-97.325759999999917</v>
      </c>
      <c r="R824">
        <f t="shared" si="207"/>
        <v>-104.44575999999992</v>
      </c>
      <c r="S824">
        <f t="shared" si="208"/>
        <v>4695.4713599999995</v>
      </c>
      <c r="U824">
        <f t="shared" si="195"/>
        <v>11.396602</v>
      </c>
      <c r="V824">
        <f t="shared" si="209"/>
        <v>1650.00003756</v>
      </c>
      <c r="W824">
        <f t="shared" si="196"/>
        <v>-33.506009879999972</v>
      </c>
      <c r="X824">
        <f t="shared" si="197"/>
        <v>3.2664940652399999</v>
      </c>
      <c r="Y824">
        <f t="shared" si="198"/>
        <v>-36.772503945239976</v>
      </c>
      <c r="Z824">
        <f t="shared" si="199"/>
        <v>30937.732876837803</v>
      </c>
      <c r="AB824">
        <f t="shared" si="200"/>
        <v>26.917162000000001</v>
      </c>
      <c r="AC824">
        <f t="shared" si="201"/>
        <v>3897.0667143600003</v>
      </c>
      <c r="AD824">
        <f t="shared" si="202"/>
        <v>-79.136456279999948</v>
      </c>
      <c r="AE824">
        <f t="shared" si="203"/>
        <v>7.7149969724399998</v>
      </c>
      <c r="AF824">
        <f t="shared" si="204"/>
        <v>-86.851453252439953</v>
      </c>
      <c r="AG824">
        <f t="shared" si="210"/>
        <v>38883.815278840513</v>
      </c>
      <c r="AH824" t="b">
        <f t="shared" si="205"/>
        <v>1</v>
      </c>
    </row>
    <row r="825" spans="4:34" hidden="1" x14ac:dyDescent="0.4">
      <c r="D825" t="s">
        <v>55</v>
      </c>
      <c r="E825" t="s">
        <v>37</v>
      </c>
      <c r="F825" s="9">
        <v>45833.875</v>
      </c>
      <c r="G825">
        <v>5.609E-5</v>
      </c>
      <c r="H825" s="9">
        <v>45835.875</v>
      </c>
      <c r="I825">
        <v>5.49E-5</v>
      </c>
      <c r="J825" s="12">
        <v>105604850.43000001</v>
      </c>
      <c r="K825" s="12">
        <v>5923.38</v>
      </c>
      <c r="L825">
        <v>8.7899999999999991</v>
      </c>
      <c r="M825">
        <v>-134.46</v>
      </c>
      <c r="N825" s="13">
        <v>-2.2700000000000001E-2</v>
      </c>
      <c r="O825" t="s">
        <v>38</v>
      </c>
      <c r="Q825">
        <f t="shared" si="206"/>
        <v>-125.66977201170006</v>
      </c>
      <c r="R825">
        <f t="shared" si="207"/>
        <v>-134.45977201170007</v>
      </c>
      <c r="S825">
        <f t="shared" si="208"/>
        <v>5797.7062886070007</v>
      </c>
      <c r="U825">
        <f t="shared" si="195"/>
        <v>29417008.379390001</v>
      </c>
      <c r="V825">
        <f t="shared" si="209"/>
        <v>1649.9999999999852</v>
      </c>
      <c r="W825">
        <f t="shared" si="196"/>
        <v>-35.006239971474116</v>
      </c>
      <c r="X825">
        <f t="shared" si="197"/>
        <v>3.2649937600284957</v>
      </c>
      <c r="Y825">
        <f t="shared" si="198"/>
        <v>-38.271233731502612</v>
      </c>
      <c r="Z825">
        <f t="shared" si="199"/>
        <v>30974.505380783045</v>
      </c>
      <c r="AB825">
        <f t="shared" si="200"/>
        <v>69640342.523287997</v>
      </c>
      <c r="AC825">
        <f t="shared" si="201"/>
        <v>3906.1268121312237</v>
      </c>
      <c r="AD825">
        <f t="shared" si="202"/>
        <v>-82.872007602712742</v>
      </c>
      <c r="AE825">
        <f t="shared" si="203"/>
        <v>7.729381616659734</v>
      </c>
      <c r="AF825">
        <f t="shared" si="204"/>
        <v>-90.601389219372479</v>
      </c>
      <c r="AG825">
        <f t="shared" si="210"/>
        <v>38970.666732092955</v>
      </c>
      <c r="AH825" t="b">
        <f t="shared" si="205"/>
        <v>1</v>
      </c>
    </row>
    <row r="826" spans="4:34" hidden="1" x14ac:dyDescent="0.4">
      <c r="D826" t="s">
        <v>58</v>
      </c>
      <c r="E826" t="s">
        <v>37</v>
      </c>
      <c r="F826" s="9">
        <v>45833.875</v>
      </c>
      <c r="G826">
        <v>13.24</v>
      </c>
      <c r="H826" s="9">
        <v>45835.875</v>
      </c>
      <c r="I826">
        <v>12.89</v>
      </c>
      <c r="J826">
        <v>535.41999999999996</v>
      </c>
      <c r="K826" s="12">
        <v>7089.08</v>
      </c>
      <c r="L826">
        <v>10.49</v>
      </c>
      <c r="M826">
        <v>-197.89</v>
      </c>
      <c r="N826" s="13">
        <v>-2.7900000000000001E-2</v>
      </c>
      <c r="O826" t="s">
        <v>38</v>
      </c>
      <c r="Q826">
        <f t="shared" si="206"/>
        <v>-187.39699999999979</v>
      </c>
      <c r="R826">
        <f t="shared" si="207"/>
        <v>-197.8869999999998</v>
      </c>
      <c r="S826">
        <f t="shared" si="208"/>
        <v>6901.5637999999999</v>
      </c>
      <c r="U826">
        <f t="shared" si="195"/>
        <v>124.622356</v>
      </c>
      <c r="V826">
        <f t="shared" si="209"/>
        <v>1649.99999344</v>
      </c>
      <c r="W826">
        <f t="shared" si="196"/>
        <v>-43.617824599999956</v>
      </c>
      <c r="X826">
        <f t="shared" si="197"/>
        <v>3.2563821622800004</v>
      </c>
      <c r="Y826">
        <f t="shared" si="198"/>
        <v>-46.874206762279954</v>
      </c>
      <c r="Z826">
        <f t="shared" si="199"/>
        <v>31012.776614514547</v>
      </c>
      <c r="AB826">
        <f t="shared" si="200"/>
        <v>295.86519600000003</v>
      </c>
      <c r="AC826">
        <f t="shared" si="201"/>
        <v>3917.2551950400002</v>
      </c>
      <c r="AD826">
        <f t="shared" si="202"/>
        <v>-103.55281859999991</v>
      </c>
      <c r="AE826">
        <f t="shared" si="203"/>
        <v>7.7309575714800021</v>
      </c>
      <c r="AF826">
        <f t="shared" si="204"/>
        <v>-111.28377617147991</v>
      </c>
      <c r="AG826">
        <f t="shared" si="210"/>
        <v>39061.268121312329</v>
      </c>
      <c r="AH826" t="b">
        <f t="shared" si="205"/>
        <v>1</v>
      </c>
    </row>
    <row r="827" spans="4:34" hidden="1" x14ac:dyDescent="0.4">
      <c r="D827" t="s">
        <v>53</v>
      </c>
      <c r="E827" t="s">
        <v>37</v>
      </c>
      <c r="F827" s="9">
        <v>45833.791666666664</v>
      </c>
      <c r="G827" s="12">
        <v>645.19000000000005</v>
      </c>
      <c r="H827" s="9">
        <v>45835.791666666664</v>
      </c>
      <c r="I827" s="12">
        <v>644.44000000000005</v>
      </c>
      <c r="J827">
        <v>14.448</v>
      </c>
      <c r="K827" s="12">
        <v>9321.9599999999991</v>
      </c>
      <c r="L827">
        <v>13.97</v>
      </c>
      <c r="M827">
        <v>-24.81</v>
      </c>
      <c r="N827" s="13">
        <v>-2.7000000000000001E-3</v>
      </c>
      <c r="O827" t="s">
        <v>38</v>
      </c>
      <c r="Q827">
        <f t="shared" si="206"/>
        <v>-10.836</v>
      </c>
      <c r="R827">
        <f t="shared" si="207"/>
        <v>-24.806000000000001</v>
      </c>
      <c r="S827">
        <f t="shared" si="208"/>
        <v>9310.8691200000012</v>
      </c>
      <c r="U827">
        <f t="shared" si="195"/>
        <v>2.5573860000000002</v>
      </c>
      <c r="V827">
        <f t="shared" si="209"/>
        <v>1649.9998733400002</v>
      </c>
      <c r="W827">
        <f t="shared" si="196"/>
        <v>-1.9180395000000001</v>
      </c>
      <c r="X827">
        <f t="shared" si="197"/>
        <v>3.2980817071800002</v>
      </c>
      <c r="Y827">
        <f t="shared" si="198"/>
        <v>-5.2161212071800005</v>
      </c>
      <c r="Z827">
        <f t="shared" si="199"/>
        <v>31059.650821276828</v>
      </c>
      <c r="AB827">
        <f t="shared" si="200"/>
        <v>6.0733949999999997</v>
      </c>
      <c r="AC827">
        <f t="shared" si="201"/>
        <v>3918.4937200500003</v>
      </c>
      <c r="AD827">
        <f t="shared" si="202"/>
        <v>-4.5550462500000002</v>
      </c>
      <c r="AE827">
        <f t="shared" si="203"/>
        <v>7.8324323938499996</v>
      </c>
      <c r="AF827">
        <f t="shared" si="204"/>
        <v>-12.387478643849999</v>
      </c>
      <c r="AG827">
        <f t="shared" si="210"/>
        <v>39172.551897483805</v>
      </c>
      <c r="AH827" t="b">
        <f t="shared" si="205"/>
        <v>1</v>
      </c>
    </row>
    <row r="828" spans="4:34" hidden="1" x14ac:dyDescent="0.4">
      <c r="D828" t="s">
        <v>43</v>
      </c>
      <c r="E828" t="s">
        <v>37</v>
      </c>
      <c r="F828" s="9">
        <v>45833.625</v>
      </c>
      <c r="G828" s="12">
        <v>2.8323999999999998</v>
      </c>
      <c r="H828" s="9">
        <v>45835.625</v>
      </c>
      <c r="I828" s="12">
        <v>2.6747999999999998</v>
      </c>
      <c r="J828">
        <v>649</v>
      </c>
      <c r="K828" s="12">
        <v>1838.41</v>
      </c>
      <c r="L828">
        <v>2.68</v>
      </c>
      <c r="M828">
        <v>-104.96</v>
      </c>
      <c r="N828" s="13">
        <v>-5.7099999999999998E-2</v>
      </c>
      <c r="O828" t="s">
        <v>38</v>
      </c>
      <c r="Q828">
        <f t="shared" si="206"/>
        <v>-102.28239999999998</v>
      </c>
      <c r="R828">
        <f t="shared" si="207"/>
        <v>-104.96239999999999</v>
      </c>
      <c r="S828">
        <f t="shared" si="208"/>
        <v>1735.9451999999999</v>
      </c>
      <c r="U828">
        <f t="shared" si="195"/>
        <v>582.54483800000003</v>
      </c>
      <c r="V828">
        <f t="shared" si="209"/>
        <v>1649.9999991512</v>
      </c>
      <c r="W828">
        <f t="shared" si="196"/>
        <v>-91.809066468799983</v>
      </c>
      <c r="X828">
        <f t="shared" si="197"/>
        <v>3.2081909318335997</v>
      </c>
      <c r="Y828">
        <f t="shared" si="198"/>
        <v>-95.017257400633582</v>
      </c>
      <c r="Z828">
        <f t="shared" si="199"/>
        <v>31064.866942484008</v>
      </c>
      <c r="AB828">
        <f t="shared" si="200"/>
        <v>1391.4665150000001</v>
      </c>
      <c r="AC828">
        <f t="shared" si="201"/>
        <v>3941.1897570860001</v>
      </c>
      <c r="AD828">
        <f t="shared" si="202"/>
        <v>-219.29512276399996</v>
      </c>
      <c r="AE828">
        <f t="shared" si="203"/>
        <v>7.6630843914079998</v>
      </c>
      <c r="AF828">
        <f t="shared" si="204"/>
        <v>-226.95820715540796</v>
      </c>
      <c r="AG828">
        <f t="shared" si="210"/>
        <v>39184.939376127651</v>
      </c>
      <c r="AH828" t="b">
        <f t="shared" si="205"/>
        <v>1</v>
      </c>
    </row>
    <row r="829" spans="4:34" hidden="1" x14ac:dyDescent="0.4">
      <c r="D829" t="s">
        <v>56</v>
      </c>
      <c r="E829" t="s">
        <v>37</v>
      </c>
      <c r="F829" s="9">
        <v>45834.875</v>
      </c>
      <c r="G829" s="12">
        <v>2436.71</v>
      </c>
      <c r="H829" s="9">
        <v>45835.125</v>
      </c>
      <c r="I829" s="12">
        <v>2389.42</v>
      </c>
      <c r="J829">
        <v>2.2406000000000001</v>
      </c>
      <c r="K829" s="12">
        <v>5459.9</v>
      </c>
      <c r="L829">
        <v>8.11</v>
      </c>
      <c r="M829">
        <v>-114.07</v>
      </c>
      <c r="N829" s="13">
        <v>-2.0899999999999998E-2</v>
      </c>
      <c r="O829" t="s">
        <v>49</v>
      </c>
      <c r="Q829">
        <f t="shared" si="206"/>
        <v>-105.95797399999992</v>
      </c>
      <c r="R829">
        <f t="shared" si="207"/>
        <v>-114.06797399999992</v>
      </c>
      <c r="S829">
        <f t="shared" si="208"/>
        <v>5353.7344520000006</v>
      </c>
      <c r="U829">
        <f t="shared" si="195"/>
        <v>0.67714300000000005</v>
      </c>
      <c r="V829">
        <f t="shared" si="209"/>
        <v>1650.0011195300001</v>
      </c>
      <c r="W829">
        <f t="shared" si="196"/>
        <v>-32.022092469999976</v>
      </c>
      <c r="X829">
        <f t="shared" si="197"/>
        <v>3.2679801465900002</v>
      </c>
      <c r="Y829">
        <f t="shared" si="198"/>
        <v>-35.290072616589974</v>
      </c>
      <c r="Z829">
        <f t="shared" si="199"/>
        <v>31159.88419988464</v>
      </c>
      <c r="AB829">
        <f t="shared" si="200"/>
        <v>1.620889</v>
      </c>
      <c r="AC829">
        <f t="shared" si="201"/>
        <v>3949.6364351900002</v>
      </c>
      <c r="AD829">
        <f t="shared" si="202"/>
        <v>-76.651840809999939</v>
      </c>
      <c r="AE829">
        <f t="shared" si="203"/>
        <v>7.8226210295700005</v>
      </c>
      <c r="AF829">
        <f t="shared" si="204"/>
        <v>-84.47446183956994</v>
      </c>
      <c r="AG829">
        <f t="shared" si="210"/>
        <v>39411.897583283062</v>
      </c>
      <c r="AH829" t="b">
        <f t="shared" si="205"/>
        <v>1</v>
      </c>
    </row>
    <row r="830" spans="4:34" hidden="1" x14ac:dyDescent="0.4">
      <c r="D830" t="s">
        <v>56</v>
      </c>
      <c r="E830" t="s">
        <v>37</v>
      </c>
      <c r="F830" s="9">
        <v>45831.791666666664</v>
      </c>
      <c r="G830" s="12">
        <v>2276.2399999999998</v>
      </c>
      <c r="H830" s="9">
        <v>45834.291666666664</v>
      </c>
      <c r="I830" s="12">
        <v>2476.8000000000002</v>
      </c>
      <c r="J830" s="12">
        <v>2.3780000000000001</v>
      </c>
      <c r="K830" s="12">
        <v>5413.05</v>
      </c>
      <c r="L830">
        <v>8.48</v>
      </c>
      <c r="M830">
        <v>468.45</v>
      </c>
      <c r="N830" s="13">
        <v>8.6499999999999994E-2</v>
      </c>
      <c r="O830" t="s">
        <v>57</v>
      </c>
      <c r="Q830">
        <f t="shared" si="206"/>
        <v>476.93168000000099</v>
      </c>
      <c r="R830">
        <f t="shared" si="207"/>
        <v>468.45168000000098</v>
      </c>
      <c r="S830">
        <f t="shared" si="208"/>
        <v>5889.8304000000007</v>
      </c>
      <c r="U830">
        <f t="shared" si="195"/>
        <v>0.72487999999999997</v>
      </c>
      <c r="V830">
        <f t="shared" si="209"/>
        <v>1650.0008511999997</v>
      </c>
      <c r="W830">
        <f t="shared" si="196"/>
        <v>145.38193280000027</v>
      </c>
      <c r="X830">
        <f t="shared" si="197"/>
        <v>3.4453836352000002</v>
      </c>
      <c r="Y830">
        <f t="shared" si="198"/>
        <v>141.93654916480028</v>
      </c>
      <c r="Z830">
        <f t="shared" si="199"/>
        <v>31195.17427250123</v>
      </c>
      <c r="AB830">
        <f t="shared" si="200"/>
        <v>1.7203599999999999</v>
      </c>
      <c r="AC830">
        <f t="shared" si="201"/>
        <v>3915.9522463999992</v>
      </c>
      <c r="AD830">
        <f t="shared" si="202"/>
        <v>345.03540160000068</v>
      </c>
      <c r="AE830">
        <f t="shared" si="203"/>
        <v>8.1769398944000002</v>
      </c>
      <c r="AF830">
        <f t="shared" si="204"/>
        <v>336.85846170560069</v>
      </c>
      <c r="AG830">
        <f t="shared" si="210"/>
        <v>39496.372045122633</v>
      </c>
      <c r="AH830" t="b">
        <f t="shared" si="205"/>
        <v>1</v>
      </c>
    </row>
    <row r="831" spans="4:34" hidden="1" x14ac:dyDescent="0.4">
      <c r="D831" t="s">
        <v>60</v>
      </c>
      <c r="E831" t="s">
        <v>37</v>
      </c>
      <c r="F831" s="9">
        <v>45831.583333333336</v>
      </c>
      <c r="G831">
        <v>2.0204</v>
      </c>
      <c r="H831" s="9">
        <v>45834.083333333336</v>
      </c>
      <c r="I831">
        <v>2.1888000000000001</v>
      </c>
      <c r="J831" s="12">
        <v>1085.2</v>
      </c>
      <c r="K831" s="12">
        <v>2192.63</v>
      </c>
      <c r="L831">
        <v>3.43</v>
      </c>
      <c r="M831">
        <v>179.32</v>
      </c>
      <c r="N831" s="13">
        <v>8.1799999999999998E-2</v>
      </c>
      <c r="O831" t="s">
        <v>57</v>
      </c>
      <c r="Q831">
        <f t="shared" si="206"/>
        <v>182.74768000000012</v>
      </c>
      <c r="R831">
        <f t="shared" si="207"/>
        <v>179.31768000000011</v>
      </c>
      <c r="S831">
        <f t="shared" si="208"/>
        <v>2375.2857600000002</v>
      </c>
      <c r="U831">
        <f t="shared" si="195"/>
        <v>816.66996600000004</v>
      </c>
      <c r="V831">
        <f t="shared" si="209"/>
        <v>1649.9999993064</v>
      </c>
      <c r="W831">
        <f t="shared" si="196"/>
        <v>137.52722227440009</v>
      </c>
      <c r="X831">
        <f t="shared" si="197"/>
        <v>3.4375272208871999</v>
      </c>
      <c r="Y831">
        <f t="shared" si="198"/>
        <v>134.08969505351288</v>
      </c>
      <c r="Z831">
        <f t="shared" si="199"/>
        <v>31053.237723336431</v>
      </c>
      <c r="AB831">
        <f t="shared" si="200"/>
        <v>1922.5818320000001</v>
      </c>
      <c r="AC831">
        <f t="shared" si="201"/>
        <v>3884.3843333728</v>
      </c>
      <c r="AD831">
        <f t="shared" si="202"/>
        <v>323.76278050880023</v>
      </c>
      <c r="AE831">
        <f t="shared" si="203"/>
        <v>8.0925314472543999</v>
      </c>
      <c r="AF831">
        <f t="shared" si="204"/>
        <v>315.67024906154586</v>
      </c>
      <c r="AG831">
        <f t="shared" si="210"/>
        <v>39159.513583417029</v>
      </c>
      <c r="AH831" t="b">
        <f t="shared" si="205"/>
        <v>1</v>
      </c>
    </row>
    <row r="832" spans="4:34" hidden="1" x14ac:dyDescent="0.4">
      <c r="D832" t="s">
        <v>59</v>
      </c>
      <c r="E832" t="s">
        <v>37</v>
      </c>
      <c r="F832" s="9">
        <v>45831.583333333336</v>
      </c>
      <c r="G832" s="12">
        <v>101710</v>
      </c>
      <c r="H832" s="9">
        <v>45834.083333333336</v>
      </c>
      <c r="I832" s="12">
        <v>107392</v>
      </c>
      <c r="J832">
        <v>0.10163</v>
      </c>
      <c r="K832" s="12">
        <v>10337.5</v>
      </c>
      <c r="L832">
        <v>15.94</v>
      </c>
      <c r="M832">
        <v>561.52</v>
      </c>
      <c r="N832" s="13">
        <v>5.4300000000000001E-2</v>
      </c>
      <c r="O832" t="s">
        <v>57</v>
      </c>
      <c r="Q832">
        <f t="shared" si="206"/>
        <v>577.46165999999994</v>
      </c>
      <c r="R832">
        <f t="shared" si="207"/>
        <v>561.52165999999988</v>
      </c>
      <c r="S832">
        <f t="shared" si="208"/>
        <v>10914.248959999999</v>
      </c>
      <c r="U832">
        <f t="shared" si="195"/>
        <v>1.6223000000000001E-2</v>
      </c>
      <c r="V832">
        <f t="shared" si="209"/>
        <v>1650.0413300000002</v>
      </c>
      <c r="W832">
        <f t="shared" si="196"/>
        <v>92.179086000000012</v>
      </c>
      <c r="X832">
        <f t="shared" si="197"/>
        <v>3.3922617460000004</v>
      </c>
      <c r="Y832">
        <f t="shared" si="198"/>
        <v>88.78682425400001</v>
      </c>
      <c r="Z832">
        <f t="shared" si="199"/>
        <v>30919.148028282918</v>
      </c>
      <c r="AB832">
        <f t="shared" si="200"/>
        <v>3.7985999999999999E-2</v>
      </c>
      <c r="AC832">
        <f t="shared" si="201"/>
        <v>3863.5560599999999</v>
      </c>
      <c r="AD832">
        <f t="shared" si="202"/>
        <v>215.83645199999998</v>
      </c>
      <c r="AE832">
        <f t="shared" si="203"/>
        <v>7.9429485719999997</v>
      </c>
      <c r="AF832">
        <f t="shared" si="204"/>
        <v>207.89350342799997</v>
      </c>
      <c r="AG832">
        <f t="shared" si="210"/>
        <v>38843.843334355486</v>
      </c>
      <c r="AH832" t="b">
        <f t="shared" si="205"/>
        <v>1</v>
      </c>
    </row>
    <row r="833" spans="4:34" hidden="1" x14ac:dyDescent="0.4">
      <c r="D833" t="s">
        <v>58</v>
      </c>
      <c r="E833" t="s">
        <v>37</v>
      </c>
      <c r="F833" s="9">
        <v>45831.791666666664</v>
      </c>
      <c r="G833">
        <v>11.9</v>
      </c>
      <c r="H833" s="9">
        <v>45833.791666666664</v>
      </c>
      <c r="I833">
        <v>13.13</v>
      </c>
      <c r="J833">
        <v>589.71</v>
      </c>
      <c r="K833" s="12">
        <v>7017.65</v>
      </c>
      <c r="L833">
        <v>11.07</v>
      </c>
      <c r="M833">
        <v>714.27</v>
      </c>
      <c r="N833" s="13">
        <v>0.1018</v>
      </c>
      <c r="O833" t="s">
        <v>38</v>
      </c>
      <c r="Q833">
        <f t="shared" si="206"/>
        <v>725.34330000000034</v>
      </c>
      <c r="R833">
        <f t="shared" si="207"/>
        <v>714.27330000000029</v>
      </c>
      <c r="S833">
        <f t="shared" si="208"/>
        <v>7742.8923000000013</v>
      </c>
      <c r="U833">
        <f t="shared" si="195"/>
        <v>138.655462</v>
      </c>
      <c r="V833">
        <f t="shared" si="209"/>
        <v>1649.9999978000001</v>
      </c>
      <c r="W833">
        <f t="shared" si="196"/>
        <v>170.54621826000005</v>
      </c>
      <c r="X833">
        <f t="shared" si="197"/>
        <v>3.4705462138600001</v>
      </c>
      <c r="Y833">
        <f t="shared" si="198"/>
        <v>167.07567204614006</v>
      </c>
      <c r="Z833">
        <f t="shared" si="199"/>
        <v>30830.361204028919</v>
      </c>
      <c r="AB833">
        <f t="shared" si="200"/>
        <v>321.41724099999999</v>
      </c>
      <c r="AC833">
        <f t="shared" si="201"/>
        <v>3824.8651679</v>
      </c>
      <c r="AD833">
        <f t="shared" si="202"/>
        <v>395.34320643000012</v>
      </c>
      <c r="AE833">
        <f t="shared" si="203"/>
        <v>8.0450735422299999</v>
      </c>
      <c r="AF833">
        <f t="shared" si="204"/>
        <v>387.29813288777012</v>
      </c>
      <c r="AG833">
        <f t="shared" si="210"/>
        <v>38635.949830927486</v>
      </c>
      <c r="AH833" t="b">
        <f t="shared" si="205"/>
        <v>1</v>
      </c>
    </row>
    <row r="834" spans="4:34" hidden="1" x14ac:dyDescent="0.4">
      <c r="D834" t="s">
        <v>43</v>
      </c>
      <c r="E834" t="s">
        <v>37</v>
      </c>
      <c r="F834" s="9">
        <v>45831.583333333336</v>
      </c>
      <c r="G834">
        <v>2.5266999999999999</v>
      </c>
      <c r="H834" s="9">
        <v>45833.583333333336</v>
      </c>
      <c r="I834">
        <v>2.7869999999999999</v>
      </c>
      <c r="J834">
        <v>720.2</v>
      </c>
      <c r="K834" s="12">
        <v>1819.95</v>
      </c>
      <c r="L834">
        <v>2.87</v>
      </c>
      <c r="M834">
        <v>184.6</v>
      </c>
      <c r="N834" s="13">
        <v>0.1014</v>
      </c>
      <c r="O834" t="s">
        <v>38</v>
      </c>
      <c r="Q834">
        <f t="shared" si="206"/>
        <v>187.46806000000001</v>
      </c>
      <c r="R834">
        <f t="shared" si="207"/>
        <v>184.59806</v>
      </c>
      <c r="S834">
        <f t="shared" si="208"/>
        <v>2007.1974</v>
      </c>
      <c r="U834">
        <f t="shared" si="195"/>
        <v>653.02568599999995</v>
      </c>
      <c r="V834">
        <f t="shared" si="209"/>
        <v>1650.0000008161999</v>
      </c>
      <c r="W834">
        <f t="shared" si="196"/>
        <v>169.98258606579998</v>
      </c>
      <c r="X834">
        <f t="shared" si="197"/>
        <v>3.4699825876981998</v>
      </c>
      <c r="Y834">
        <f t="shared" si="198"/>
        <v>166.51260347810177</v>
      </c>
      <c r="Z834">
        <f t="shared" si="199"/>
        <v>30663.28553198278</v>
      </c>
      <c r="AB834">
        <f t="shared" si="200"/>
        <v>1498.6549729999999</v>
      </c>
      <c r="AC834">
        <f t="shared" si="201"/>
        <v>3786.6515202790997</v>
      </c>
      <c r="AD834">
        <f t="shared" si="202"/>
        <v>390.09988947189993</v>
      </c>
      <c r="AE834">
        <f t="shared" si="203"/>
        <v>7.9634029300300995</v>
      </c>
      <c r="AF834">
        <f t="shared" si="204"/>
        <v>382.13648654186983</v>
      </c>
      <c r="AG834">
        <f t="shared" si="210"/>
        <v>38248.651698039714</v>
      </c>
      <c r="AH834" t="b">
        <f t="shared" si="205"/>
        <v>1</v>
      </c>
    </row>
    <row r="835" spans="4:34" hidden="1" x14ac:dyDescent="0.4">
      <c r="D835" t="s">
        <v>52</v>
      </c>
      <c r="E835" t="s">
        <v>37</v>
      </c>
      <c r="F835" s="9">
        <v>45831.583333333336</v>
      </c>
      <c r="G835">
        <v>4.5860000000000003</v>
      </c>
      <c r="H835" s="9">
        <v>45833.583333333336</v>
      </c>
      <c r="I835">
        <v>4.915</v>
      </c>
      <c r="J835" s="12">
        <v>507.53</v>
      </c>
      <c r="K835" s="12">
        <v>2327.5500000000002</v>
      </c>
      <c r="L835">
        <v>3.62</v>
      </c>
      <c r="M835">
        <v>163.36000000000001</v>
      </c>
      <c r="N835" s="13">
        <v>7.0199999999999999E-2</v>
      </c>
      <c r="O835" t="s">
        <v>38</v>
      </c>
      <c r="Q835">
        <f t="shared" si="206"/>
        <v>166.97736999999987</v>
      </c>
      <c r="R835">
        <f t="shared" si="207"/>
        <v>163.35736999999986</v>
      </c>
      <c r="S835">
        <f t="shared" si="208"/>
        <v>2494.5099499999997</v>
      </c>
      <c r="U835">
        <f t="shared" si="195"/>
        <v>359.79066699999998</v>
      </c>
      <c r="V835">
        <f t="shared" si="209"/>
        <v>1649.999998862</v>
      </c>
      <c r="W835">
        <f t="shared" si="196"/>
        <v>118.3711294429999</v>
      </c>
      <c r="X835">
        <f t="shared" si="197"/>
        <v>3.4183711271670001</v>
      </c>
      <c r="Y835">
        <f t="shared" si="198"/>
        <v>114.9527583158329</v>
      </c>
      <c r="Z835">
        <f t="shared" si="199"/>
        <v>30496.772928504677</v>
      </c>
      <c r="AB835">
        <f t="shared" si="200"/>
        <v>819.98540500000001</v>
      </c>
      <c r="AC835">
        <f t="shared" si="201"/>
        <v>3760.4530673300005</v>
      </c>
      <c r="AD835">
        <f t="shared" si="202"/>
        <v>269.77519824499979</v>
      </c>
      <c r="AE835">
        <f t="shared" si="203"/>
        <v>7.7906813329050006</v>
      </c>
      <c r="AF835">
        <f t="shared" si="204"/>
        <v>261.98451691209476</v>
      </c>
      <c r="AG835">
        <f t="shared" si="210"/>
        <v>37866.515211497841</v>
      </c>
      <c r="AH835" t="b">
        <f t="shared" si="205"/>
        <v>1</v>
      </c>
    </row>
    <row r="836" spans="4:34" hidden="1" x14ac:dyDescent="0.4">
      <c r="D836" t="s">
        <v>48</v>
      </c>
      <c r="E836" t="s">
        <v>37</v>
      </c>
      <c r="F836" s="9">
        <v>45831.583333333336</v>
      </c>
      <c r="G836">
        <v>0.1026</v>
      </c>
      <c r="H836" s="9">
        <v>45833.583333333336</v>
      </c>
      <c r="I836">
        <v>0.113</v>
      </c>
      <c r="J836" s="12">
        <v>29299.3</v>
      </c>
      <c r="K836" s="12">
        <v>3006.11</v>
      </c>
      <c r="L836">
        <v>4.74</v>
      </c>
      <c r="M836">
        <v>299.98</v>
      </c>
      <c r="N836" s="13">
        <v>9.98E-2</v>
      </c>
      <c r="O836" t="s">
        <v>38</v>
      </c>
      <c r="Q836">
        <f t="shared" si="206"/>
        <v>304.71272000000016</v>
      </c>
      <c r="R836">
        <f t="shared" si="207"/>
        <v>299.97272000000015</v>
      </c>
      <c r="S836">
        <f t="shared" si="208"/>
        <v>3310.8209000000002</v>
      </c>
      <c r="U836">
        <f t="shared" si="195"/>
        <v>16081.871345</v>
      </c>
      <c r="V836">
        <f t="shared" si="209"/>
        <v>1649.9999999969998</v>
      </c>
      <c r="W836">
        <f t="shared" si="196"/>
        <v>167.2514619880001</v>
      </c>
      <c r="X836">
        <f t="shared" si="197"/>
        <v>3.4672514619819998</v>
      </c>
      <c r="Y836">
        <f t="shared" si="198"/>
        <v>163.78421052601811</v>
      </c>
      <c r="Z836">
        <f t="shared" si="199"/>
        <v>30381.820170188843</v>
      </c>
      <c r="AB836">
        <f t="shared" si="200"/>
        <v>36291.349971000003</v>
      </c>
      <c r="AC836">
        <f t="shared" si="201"/>
        <v>3723.4925070246004</v>
      </c>
      <c r="AD836">
        <f t="shared" si="202"/>
        <v>377.43003969840026</v>
      </c>
      <c r="AE836">
        <f t="shared" si="203"/>
        <v>7.8244150537476012</v>
      </c>
      <c r="AF836">
        <f t="shared" si="204"/>
        <v>369.60562464465266</v>
      </c>
      <c r="AG836">
        <f t="shared" si="210"/>
        <v>37604.530694585745</v>
      </c>
      <c r="AH836" t="b">
        <f t="shared" si="205"/>
        <v>1</v>
      </c>
    </row>
    <row r="837" spans="4:34" hidden="1" x14ac:dyDescent="0.4">
      <c r="D837" t="s">
        <v>54</v>
      </c>
      <c r="E837" t="s">
        <v>37</v>
      </c>
      <c r="F837" s="9">
        <v>45831.583333333336</v>
      </c>
      <c r="G837" s="12">
        <v>135.56</v>
      </c>
      <c r="H837" s="9">
        <v>45833.583333333336</v>
      </c>
      <c r="I837" s="12">
        <v>146.51</v>
      </c>
      <c r="J837">
        <v>35.076999999999998</v>
      </c>
      <c r="K837" s="12">
        <v>4755.13</v>
      </c>
      <c r="L837">
        <v>7.42</v>
      </c>
      <c r="M837">
        <v>376.67</v>
      </c>
      <c r="N837" s="13">
        <v>7.9200000000000007E-2</v>
      </c>
      <c r="O837" t="s">
        <v>38</v>
      </c>
      <c r="Q837">
        <f t="shared" si="206"/>
        <v>384.09314999999958</v>
      </c>
      <c r="R837">
        <f t="shared" si="207"/>
        <v>376.67314999999957</v>
      </c>
      <c r="S837">
        <f t="shared" si="208"/>
        <v>5139.1312699999999</v>
      </c>
      <c r="U837">
        <f t="shared" si="195"/>
        <v>12.171732</v>
      </c>
      <c r="V837">
        <f t="shared" si="209"/>
        <v>1649.9999899200002</v>
      </c>
      <c r="W837">
        <f t="shared" si="196"/>
        <v>133.28046539999985</v>
      </c>
      <c r="X837">
        <f t="shared" si="197"/>
        <v>3.4332804452399999</v>
      </c>
      <c r="Y837">
        <f t="shared" si="198"/>
        <v>129.84718495475985</v>
      </c>
      <c r="Z837">
        <f t="shared" si="199"/>
        <v>30218.035959662826</v>
      </c>
      <c r="AB837">
        <f t="shared" si="200"/>
        <v>27.253018000000001</v>
      </c>
      <c r="AC837">
        <f t="shared" si="201"/>
        <v>3694.4191200800001</v>
      </c>
      <c r="AD837">
        <f t="shared" si="202"/>
        <v>298.42054709999968</v>
      </c>
      <c r="AE837">
        <f t="shared" si="203"/>
        <v>7.6872587872600002</v>
      </c>
      <c r="AF837">
        <f t="shared" si="204"/>
        <v>290.73328831273966</v>
      </c>
      <c r="AG837">
        <f t="shared" si="210"/>
        <v>37234.925069941091</v>
      </c>
      <c r="AH837" t="b">
        <f t="shared" si="205"/>
        <v>1</v>
      </c>
    </row>
    <row r="838" spans="4:34" hidden="1" x14ac:dyDescent="0.4">
      <c r="D838" t="s">
        <v>55</v>
      </c>
      <c r="E838" t="s">
        <v>37</v>
      </c>
      <c r="F838" s="9">
        <v>45831.583333333336</v>
      </c>
      <c r="G838">
        <v>5.2889999999999997E-5</v>
      </c>
      <c r="H838" s="9">
        <v>45833.583333333336</v>
      </c>
      <c r="I838">
        <v>5.5659999999999999E-5</v>
      </c>
      <c r="J838" s="12">
        <v>111427825.95</v>
      </c>
      <c r="K838" s="12">
        <v>5893.42</v>
      </c>
      <c r="L838">
        <v>9.07</v>
      </c>
      <c r="M838">
        <v>299.58</v>
      </c>
      <c r="N838" s="13">
        <v>5.0799999999999998E-2</v>
      </c>
      <c r="O838" t="s">
        <v>38</v>
      </c>
      <c r="Q838">
        <f t="shared" si="206"/>
        <v>308.65507788150029</v>
      </c>
      <c r="R838">
        <f t="shared" si="207"/>
        <v>299.5850778815003</v>
      </c>
      <c r="S838">
        <f t="shared" si="208"/>
        <v>6202.072792377</v>
      </c>
      <c r="U838">
        <f t="shared" si="195"/>
        <v>31196823.596143</v>
      </c>
      <c r="V838">
        <f t="shared" si="209"/>
        <v>1650.0000000000032</v>
      </c>
      <c r="W838">
        <f t="shared" si="196"/>
        <v>86.415201361316178</v>
      </c>
      <c r="X838">
        <f t="shared" si="197"/>
        <v>3.3864152013613227</v>
      </c>
      <c r="Y838">
        <f t="shared" si="198"/>
        <v>83.028786159954862</v>
      </c>
      <c r="Z838">
        <f t="shared" si="199"/>
        <v>30088.188774708065</v>
      </c>
      <c r="AB838">
        <f t="shared" si="200"/>
        <v>69501262.331248</v>
      </c>
      <c r="AC838">
        <f t="shared" si="201"/>
        <v>3675.9217646997067</v>
      </c>
      <c r="AD838">
        <f t="shared" si="202"/>
        <v>192.51849665755711</v>
      </c>
      <c r="AE838">
        <f t="shared" si="203"/>
        <v>7.5443620260569704</v>
      </c>
      <c r="AF838">
        <f t="shared" si="204"/>
        <v>184.97413463150014</v>
      </c>
      <c r="AG838">
        <f t="shared" si="210"/>
        <v>36944.191781628353</v>
      </c>
      <c r="AH838" t="b">
        <f t="shared" si="205"/>
        <v>1</v>
      </c>
    </row>
    <row r="839" spans="4:34" hidden="1" x14ac:dyDescent="0.4">
      <c r="D839" t="s">
        <v>61</v>
      </c>
      <c r="E839" t="s">
        <v>37</v>
      </c>
      <c r="F839" s="9">
        <v>45831.583333333336</v>
      </c>
      <c r="G839" s="12">
        <v>0.54749999999999999</v>
      </c>
      <c r="H839" s="9">
        <v>45833.583333333336</v>
      </c>
      <c r="I839" s="12">
        <v>0.57730000000000004</v>
      </c>
      <c r="J839" s="12">
        <v>14804.1</v>
      </c>
      <c r="K839" s="12">
        <v>8105.28</v>
      </c>
      <c r="L839">
        <v>12.49</v>
      </c>
      <c r="M839">
        <v>428.67</v>
      </c>
      <c r="N839" s="13">
        <v>5.2900000000000003E-2</v>
      </c>
      <c r="O839" t="s">
        <v>38</v>
      </c>
      <c r="Q839">
        <f t="shared" si="206"/>
        <v>441.16218000000072</v>
      </c>
      <c r="R839">
        <f t="shared" si="207"/>
        <v>428.67218000000071</v>
      </c>
      <c r="S839">
        <f t="shared" si="208"/>
        <v>8546.406930000001</v>
      </c>
      <c r="U839">
        <f t="shared" si="195"/>
        <v>3013.6986299999999</v>
      </c>
      <c r="V839">
        <f t="shared" si="209"/>
        <v>1649.9999999249999</v>
      </c>
      <c r="W839">
        <f t="shared" si="196"/>
        <v>89.808219174000143</v>
      </c>
      <c r="X839">
        <f t="shared" si="197"/>
        <v>3.3898082190239998</v>
      </c>
      <c r="Y839">
        <f t="shared" si="198"/>
        <v>86.418410954976139</v>
      </c>
      <c r="Z839">
        <f t="shared" si="199"/>
        <v>30005.159988548112</v>
      </c>
      <c r="AB839">
        <f t="shared" si="200"/>
        <v>6679.0310680000002</v>
      </c>
      <c r="AC839">
        <f t="shared" si="201"/>
        <v>3656.7695097300002</v>
      </c>
      <c r="AD839">
        <f t="shared" si="202"/>
        <v>199.03512582640033</v>
      </c>
      <c r="AE839">
        <f t="shared" si="203"/>
        <v>7.5125741452864006</v>
      </c>
      <c r="AF839">
        <f t="shared" si="204"/>
        <v>191.52255168111392</v>
      </c>
      <c r="AG839">
        <f t="shared" si="210"/>
        <v>36759.217646996854</v>
      </c>
      <c r="AH839" t="b">
        <f t="shared" si="205"/>
        <v>1</v>
      </c>
    </row>
    <row r="840" spans="4:34" hidden="1" x14ac:dyDescent="0.4">
      <c r="D840" t="s">
        <v>53</v>
      </c>
      <c r="E840" t="s">
        <v>37</v>
      </c>
      <c r="F840" s="9">
        <v>45831.583333333336</v>
      </c>
      <c r="G840">
        <v>620.17999999999995</v>
      </c>
      <c r="H840" s="9">
        <v>45833.583333333336</v>
      </c>
      <c r="I840">
        <v>647.12</v>
      </c>
      <c r="J840">
        <v>14.968</v>
      </c>
      <c r="K840" s="12">
        <v>9283.06</v>
      </c>
      <c r="L840">
        <v>14.23</v>
      </c>
      <c r="M840">
        <v>389.01</v>
      </c>
      <c r="N840" s="13">
        <v>4.19E-2</v>
      </c>
      <c r="O840" t="s">
        <v>38</v>
      </c>
      <c r="Q840">
        <f t="shared" si="206"/>
        <v>403.23792000000083</v>
      </c>
      <c r="R840">
        <f t="shared" si="207"/>
        <v>389.00792000000081</v>
      </c>
      <c r="S840">
        <f t="shared" si="208"/>
        <v>9686.0921600000001</v>
      </c>
      <c r="U840">
        <f t="shared" si="195"/>
        <v>2.6605180000000002</v>
      </c>
      <c r="V840">
        <f t="shared" si="209"/>
        <v>1650.0000532399999</v>
      </c>
      <c r="W840">
        <f t="shared" si="196"/>
        <v>71.674354920000155</v>
      </c>
      <c r="X840">
        <f t="shared" si="197"/>
        <v>3.3716744614</v>
      </c>
      <c r="Y840">
        <f t="shared" si="198"/>
        <v>68.30268045860015</v>
      </c>
      <c r="Z840">
        <f t="shared" si="199"/>
        <v>29918.741577593137</v>
      </c>
      <c r="AB840">
        <f t="shared" si="200"/>
        <v>5.8719960000000002</v>
      </c>
      <c r="AC840">
        <f t="shared" si="201"/>
        <v>3641.69447928</v>
      </c>
      <c r="AD840">
        <f t="shared" si="202"/>
        <v>158.19157224000034</v>
      </c>
      <c r="AE840">
        <f t="shared" si="203"/>
        <v>7.4415805307999996</v>
      </c>
      <c r="AF840">
        <f t="shared" si="204"/>
        <v>150.74999170920034</v>
      </c>
      <c r="AG840">
        <f t="shared" si="210"/>
        <v>36567.695095315743</v>
      </c>
      <c r="AH840" t="b">
        <f t="shared" si="205"/>
        <v>1</v>
      </c>
    </row>
    <row r="841" spans="4:34" hidden="1" x14ac:dyDescent="0.4">
      <c r="D841" t="s">
        <v>50</v>
      </c>
      <c r="E841" t="s">
        <v>37</v>
      </c>
      <c r="F841" s="9">
        <v>45831.583333333336</v>
      </c>
      <c r="G841">
        <v>314.5</v>
      </c>
      <c r="H841" s="9">
        <v>45833.583333333336</v>
      </c>
      <c r="I841">
        <v>339.3</v>
      </c>
      <c r="J841" s="12">
        <v>40.305</v>
      </c>
      <c r="K841" s="12">
        <v>12675.92</v>
      </c>
      <c r="L841">
        <v>19.760000000000002</v>
      </c>
      <c r="M841">
        <v>979.8</v>
      </c>
      <c r="N841" s="13">
        <v>7.7299999999999994E-2</v>
      </c>
      <c r="O841" t="s">
        <v>38</v>
      </c>
      <c r="Q841">
        <f t="shared" si="206"/>
        <v>999.56400000000042</v>
      </c>
      <c r="R841">
        <f t="shared" si="207"/>
        <v>979.80400000000043</v>
      </c>
      <c r="S841">
        <f t="shared" si="208"/>
        <v>13675.486500000001</v>
      </c>
      <c r="U841">
        <f t="shared" si="195"/>
        <v>5.2464230000000001</v>
      </c>
      <c r="V841">
        <f t="shared" si="209"/>
        <v>1650.0000335</v>
      </c>
      <c r="W841">
        <f t="shared" si="196"/>
        <v>130.11129040000006</v>
      </c>
      <c r="X841">
        <f t="shared" si="197"/>
        <v>3.4301113573999995</v>
      </c>
      <c r="Y841">
        <f t="shared" si="198"/>
        <v>126.68117904260006</v>
      </c>
      <c r="Z841">
        <f t="shared" si="199"/>
        <v>29850.438897134536</v>
      </c>
      <c r="AB841">
        <f t="shared" si="200"/>
        <v>11.49109</v>
      </c>
      <c r="AC841">
        <f t="shared" si="201"/>
        <v>3613.9478049999998</v>
      </c>
      <c r="AD841">
        <f t="shared" si="202"/>
        <v>284.97903200000013</v>
      </c>
      <c r="AE841">
        <f t="shared" si="203"/>
        <v>7.512874641999999</v>
      </c>
      <c r="AF841">
        <f t="shared" si="204"/>
        <v>277.46615735800015</v>
      </c>
      <c r="AG841">
        <f t="shared" si="210"/>
        <v>36416.945103606544</v>
      </c>
      <c r="AH841" t="b">
        <f t="shared" si="205"/>
        <v>1</v>
      </c>
    </row>
    <row r="842" spans="4:34" hidden="1" x14ac:dyDescent="0.4">
      <c r="D842" t="s">
        <v>59</v>
      </c>
      <c r="E842" t="s">
        <v>37</v>
      </c>
      <c r="F842" s="9">
        <v>45828.291666666664</v>
      </c>
      <c r="G842" s="12">
        <v>104603.69</v>
      </c>
      <c r="H842" s="9">
        <v>45830.791666666664</v>
      </c>
      <c r="I842" s="12">
        <v>99516.63</v>
      </c>
      <c r="J842">
        <v>9.9320000000000006E-2</v>
      </c>
      <c r="K842" s="12">
        <v>10389.549999999999</v>
      </c>
      <c r="L842">
        <v>15.2</v>
      </c>
      <c r="M842">
        <v>-520.45000000000005</v>
      </c>
      <c r="N842" s="13">
        <v>-5.0099999999999999E-2</v>
      </c>
      <c r="O842" t="s">
        <v>57</v>
      </c>
      <c r="Q842">
        <f t="shared" si="206"/>
        <v>-505.24679919999977</v>
      </c>
      <c r="R842">
        <f t="shared" si="207"/>
        <v>-520.44679919999976</v>
      </c>
      <c r="S842">
        <f t="shared" si="208"/>
        <v>9883.9916916000002</v>
      </c>
      <c r="U842">
        <f t="shared" si="195"/>
        <v>1.5774E-2</v>
      </c>
      <c r="V842">
        <f t="shared" si="209"/>
        <v>1650.0186060599999</v>
      </c>
      <c r="W842">
        <f t="shared" si="196"/>
        <v>-80.243284439999968</v>
      </c>
      <c r="X842">
        <f t="shared" si="197"/>
        <v>3.2197939276800005</v>
      </c>
      <c r="Y842">
        <f t="shared" si="198"/>
        <v>-83.463078367679969</v>
      </c>
      <c r="Z842">
        <f t="shared" si="199"/>
        <v>29723.757718091936</v>
      </c>
      <c r="AB842">
        <f t="shared" si="200"/>
        <v>3.4724999999999999E-2</v>
      </c>
      <c r="AC842">
        <f t="shared" si="201"/>
        <v>3632.3631352500001</v>
      </c>
      <c r="AD842">
        <f t="shared" si="202"/>
        <v>-176.64815849999991</v>
      </c>
      <c r="AE842">
        <f t="shared" si="203"/>
        <v>7.0880781120000007</v>
      </c>
      <c r="AF842">
        <f t="shared" si="204"/>
        <v>-183.73623661199991</v>
      </c>
      <c r="AG842">
        <f t="shared" si="210"/>
        <v>36139.478946248542</v>
      </c>
      <c r="AH842" t="b">
        <f t="shared" si="205"/>
        <v>1</v>
      </c>
    </row>
    <row r="843" spans="4:34" hidden="1" x14ac:dyDescent="0.4">
      <c r="D843" t="s">
        <v>52</v>
      </c>
      <c r="E843" t="s">
        <v>37</v>
      </c>
      <c r="F843" s="9">
        <v>45828.333333333336</v>
      </c>
      <c r="G843">
        <v>5.0460000000000003</v>
      </c>
      <c r="H843" s="9">
        <v>45830.333333333336</v>
      </c>
      <c r="I843">
        <v>4.7489999999999997</v>
      </c>
      <c r="J843">
        <v>464.06</v>
      </c>
      <c r="K843" s="12">
        <v>2341.67</v>
      </c>
      <c r="L843">
        <v>3.41</v>
      </c>
      <c r="M843">
        <v>-141.22999999999999</v>
      </c>
      <c r="N843" s="13">
        <v>-6.0299999999999999E-2</v>
      </c>
      <c r="O843" t="s">
        <v>38</v>
      </c>
      <c r="Q843">
        <f t="shared" si="206"/>
        <v>-137.82582000000028</v>
      </c>
      <c r="R843">
        <f t="shared" si="207"/>
        <v>-141.23582000000027</v>
      </c>
      <c r="S843">
        <f t="shared" si="208"/>
        <v>2203.8209400000001</v>
      </c>
      <c r="U843">
        <f t="shared" si="195"/>
        <v>326.99167699999998</v>
      </c>
      <c r="V843">
        <f t="shared" si="209"/>
        <v>1650.0000021420001</v>
      </c>
      <c r="W843">
        <f t="shared" si="196"/>
        <v>-97.116528069000196</v>
      </c>
      <c r="X843">
        <f t="shared" si="197"/>
        <v>3.2028834762149998</v>
      </c>
      <c r="Y843">
        <f t="shared" si="198"/>
        <v>-100.31941154521519</v>
      </c>
      <c r="Z843">
        <f t="shared" si="199"/>
        <v>29807.220796459616</v>
      </c>
      <c r="AB843">
        <f t="shared" si="200"/>
        <v>724.24514399999998</v>
      </c>
      <c r="AC843">
        <f t="shared" si="201"/>
        <v>3654.5409966239999</v>
      </c>
      <c r="AD843">
        <f t="shared" si="202"/>
        <v>-215.10080776800044</v>
      </c>
      <c r="AE843">
        <f t="shared" si="203"/>
        <v>7.0939811854799997</v>
      </c>
      <c r="AF843">
        <f t="shared" si="204"/>
        <v>-222.19478895348044</v>
      </c>
      <c r="AG843">
        <f t="shared" si="210"/>
        <v>36323.215182860542</v>
      </c>
      <c r="AH843" t="b">
        <f t="shared" si="205"/>
        <v>1</v>
      </c>
    </row>
    <row r="844" spans="4:34" hidden="1" x14ac:dyDescent="0.4">
      <c r="D844" t="s">
        <v>53</v>
      </c>
      <c r="E844" t="s">
        <v>37</v>
      </c>
      <c r="F844" s="9">
        <v>45828.291666666664</v>
      </c>
      <c r="G844" s="12">
        <v>644.36</v>
      </c>
      <c r="H844" s="9">
        <v>45830.291666666664</v>
      </c>
      <c r="I844" s="12">
        <v>633.67999999999995</v>
      </c>
      <c r="J844">
        <v>14.432</v>
      </c>
      <c r="K844" s="12">
        <v>9299.85</v>
      </c>
      <c r="L844">
        <v>13.83</v>
      </c>
      <c r="M844">
        <v>-167.97</v>
      </c>
      <c r="N844" s="13">
        <v>-1.8100000000000002E-2</v>
      </c>
      <c r="O844" t="s">
        <v>38</v>
      </c>
      <c r="Q844">
        <f t="shared" si="206"/>
        <v>-154.13376000000093</v>
      </c>
      <c r="R844">
        <f t="shared" si="207"/>
        <v>-167.96376000000095</v>
      </c>
      <c r="S844">
        <f t="shared" si="208"/>
        <v>9145.2697599999992</v>
      </c>
      <c r="U844">
        <f t="shared" si="195"/>
        <v>2.5606800000000001</v>
      </c>
      <c r="V844">
        <f t="shared" si="209"/>
        <v>1649.9997648000001</v>
      </c>
      <c r="W844">
        <f t="shared" si="196"/>
        <v>-27.348062400000163</v>
      </c>
      <c r="X844">
        <f t="shared" si="197"/>
        <v>3.2726514672000002</v>
      </c>
      <c r="Y844">
        <f t="shared" si="198"/>
        <v>-30.620713867200163</v>
      </c>
      <c r="Z844">
        <f t="shared" si="199"/>
        <v>29907.54020800483</v>
      </c>
      <c r="AB844">
        <f t="shared" si="200"/>
        <v>5.6821279999999996</v>
      </c>
      <c r="AC844">
        <f t="shared" si="201"/>
        <v>3661.3359980799996</v>
      </c>
      <c r="AD844">
        <f t="shared" si="202"/>
        <v>-60.68512704000036</v>
      </c>
      <c r="AE844">
        <f t="shared" si="203"/>
        <v>7.2619868691200002</v>
      </c>
      <c r="AF844">
        <f t="shared" si="204"/>
        <v>-67.947113909120361</v>
      </c>
      <c r="AG844">
        <f t="shared" si="210"/>
        <v>36545.409971814021</v>
      </c>
      <c r="AH844" t="b">
        <f t="shared" si="205"/>
        <v>1</v>
      </c>
    </row>
    <row r="845" spans="4:34" hidden="1" x14ac:dyDescent="0.4">
      <c r="D845" t="s">
        <v>60</v>
      </c>
      <c r="E845" t="s">
        <v>37</v>
      </c>
      <c r="F845" s="9">
        <v>45827.75</v>
      </c>
      <c r="G845" s="12">
        <v>2.1576</v>
      </c>
      <c r="H845" s="9">
        <v>45830.25</v>
      </c>
      <c r="I845" s="12">
        <v>2.0747</v>
      </c>
      <c r="J845" s="12">
        <v>1020.3</v>
      </c>
      <c r="K845" s="12">
        <v>2201.42</v>
      </c>
      <c r="L845">
        <v>3.24</v>
      </c>
      <c r="M845">
        <v>-87.82</v>
      </c>
      <c r="N845" s="13">
        <v>-3.9899999999999998E-2</v>
      </c>
      <c r="O845" t="s">
        <v>57</v>
      </c>
      <c r="Q845">
        <f t="shared" si="206"/>
        <v>-84.582869999999971</v>
      </c>
      <c r="R845">
        <f t="shared" si="207"/>
        <v>-87.822869999999966</v>
      </c>
      <c r="S845">
        <f t="shared" si="208"/>
        <v>2116.8164099999999</v>
      </c>
      <c r="U845">
        <f t="shared" ref="U845:U908" si="211">ROUND(($Q$2)/G845,6)</f>
        <v>764.73859800000002</v>
      </c>
      <c r="V845">
        <f t="shared" si="209"/>
        <v>1649.9999990448</v>
      </c>
      <c r="W845">
        <f t="shared" ref="W845:W908" si="212">U845*(I845-G845)</f>
        <v>-63.396829774199979</v>
      </c>
      <c r="X845">
        <f t="shared" ref="X845:X908" si="213">(G845+I845)*$R$2*U845</f>
        <v>3.2366031683154004</v>
      </c>
      <c r="Y845">
        <f t="shared" ref="Y845:Y908" si="214">W845-X845</f>
        <v>-66.633432942515384</v>
      </c>
      <c r="Z845">
        <f t="shared" ref="Z845:Z908" si="215">Z846+Y845</f>
        <v>29938.16092187203</v>
      </c>
      <c r="AB845">
        <f t="shared" ref="AB845:AB908" si="216">ROUND(((AH845*AG846 +(1-AH845)*AI845)/$P$2)/G845,6)</f>
        <v>1703.829052</v>
      </c>
      <c r="AC845">
        <f t="shared" ref="AC845:AC908" si="217">AB845*G845</f>
        <v>3676.1815625951999</v>
      </c>
      <c r="AD845">
        <f t="shared" ref="AD845:AD908" si="218">AB845*(I845-G845)</f>
        <v>-141.24742841079996</v>
      </c>
      <c r="AE845">
        <f t="shared" ref="AE845:AE908" si="219">(G845+I845)*$R$2*AB845</f>
        <v>7.2111156967796006</v>
      </c>
      <c r="AF845">
        <f t="shared" ref="AF845:AF908" si="220">AD845-AE845</f>
        <v>-148.45854410757954</v>
      </c>
      <c r="AG845">
        <f t="shared" si="210"/>
        <v>36613.357085723139</v>
      </c>
      <c r="AH845" t="b">
        <f t="shared" ref="AH845:AH908" si="221">ISBLANK(AI845)</f>
        <v>1</v>
      </c>
    </row>
    <row r="846" spans="4:34" hidden="1" x14ac:dyDescent="0.4">
      <c r="D846" t="s">
        <v>55</v>
      </c>
      <c r="E846" t="s">
        <v>37</v>
      </c>
      <c r="F846" s="9">
        <v>45828.208333333336</v>
      </c>
      <c r="G846">
        <v>5.7399999999999999E-5</v>
      </c>
      <c r="H846" s="9">
        <v>45830.208333333336</v>
      </c>
      <c r="I846">
        <v>5.4169999999999998E-5</v>
      </c>
      <c r="J846" s="12">
        <v>103268949.72</v>
      </c>
      <c r="K846" s="12">
        <v>5927.64</v>
      </c>
      <c r="L846">
        <v>8.64</v>
      </c>
      <c r="M846">
        <v>-342.2</v>
      </c>
      <c r="N846" s="13">
        <v>-5.7700000000000001E-2</v>
      </c>
      <c r="O846" t="s">
        <v>38</v>
      </c>
      <c r="Q846">
        <f t="shared" ref="Q846:Q909" si="222">(I846-G846)*J846</f>
        <v>-333.55870759560014</v>
      </c>
      <c r="R846">
        <f t="shared" ref="R846:R909" si="223">Q846-L846</f>
        <v>-342.19870759560013</v>
      </c>
      <c r="S846">
        <f t="shared" ref="S846:S909" si="224">I846*J846</f>
        <v>5594.0790063323993</v>
      </c>
      <c r="U846">
        <f t="shared" si="211"/>
        <v>28745644.599303</v>
      </c>
      <c r="V846">
        <f t="shared" ref="V846:V909" si="225">U846*G846</f>
        <v>1649.9999999999923</v>
      </c>
      <c r="W846">
        <f t="shared" si="212"/>
        <v>-92.848432055748731</v>
      </c>
      <c r="X846">
        <f t="shared" si="213"/>
        <v>3.2071515679442357</v>
      </c>
      <c r="Y846">
        <f t="shared" si="214"/>
        <v>-96.055583623692968</v>
      </c>
      <c r="Z846">
        <f t="shared" si="215"/>
        <v>30004.794354814545</v>
      </c>
      <c r="AB846">
        <f t="shared" si="216"/>
        <v>64419999.245136</v>
      </c>
      <c r="AC846">
        <f t="shared" si="217"/>
        <v>3697.7079566708062</v>
      </c>
      <c r="AD846">
        <f t="shared" si="218"/>
        <v>-208.07659756178936</v>
      </c>
      <c r="AE846">
        <f t="shared" si="219"/>
        <v>7.1873393157798233</v>
      </c>
      <c r="AF846">
        <f t="shared" si="220"/>
        <v>-215.26393687756917</v>
      </c>
      <c r="AG846">
        <f t="shared" si="210"/>
        <v>36761.815629830715</v>
      </c>
      <c r="AH846" t="b">
        <f t="shared" si="221"/>
        <v>1</v>
      </c>
    </row>
    <row r="847" spans="4:34" hidden="1" x14ac:dyDescent="0.4">
      <c r="D847" t="s">
        <v>54</v>
      </c>
      <c r="E847" t="s">
        <v>37</v>
      </c>
      <c r="F847" s="9">
        <v>45827.791666666664</v>
      </c>
      <c r="G847">
        <v>144.83000000000001</v>
      </c>
      <c r="H847" s="9">
        <v>45829.791666666664</v>
      </c>
      <c r="I847">
        <v>138.69999999999999</v>
      </c>
      <c r="J847" s="12">
        <v>32.975999999999999</v>
      </c>
      <c r="K847" s="12">
        <v>4776.05</v>
      </c>
      <c r="L847">
        <v>7.01</v>
      </c>
      <c r="M847">
        <v>-209.16</v>
      </c>
      <c r="N847" s="13">
        <v>-4.3799999999999999E-2</v>
      </c>
      <c r="O847" t="s">
        <v>38</v>
      </c>
      <c r="Q847">
        <f t="shared" si="222"/>
        <v>-202.14288000000079</v>
      </c>
      <c r="R847">
        <f t="shared" si="223"/>
        <v>-209.15288000000078</v>
      </c>
      <c r="S847">
        <f t="shared" si="224"/>
        <v>4573.7711999999992</v>
      </c>
      <c r="U847">
        <f t="shared" si="211"/>
        <v>11.392666999999999</v>
      </c>
      <c r="V847">
        <f t="shared" si="225"/>
        <v>1649.9999616100001</v>
      </c>
      <c r="W847">
        <f t="shared" si="212"/>
        <v>-69.837048710000275</v>
      </c>
      <c r="X847">
        <f t="shared" si="213"/>
        <v>3.2301628745099999</v>
      </c>
      <c r="Y847">
        <f t="shared" si="214"/>
        <v>-73.067211584510275</v>
      </c>
      <c r="Z847">
        <f t="shared" si="215"/>
        <v>30100.849938438238</v>
      </c>
      <c r="AB847">
        <f t="shared" si="216"/>
        <v>25.644931</v>
      </c>
      <c r="AC847">
        <f t="shared" si="217"/>
        <v>3714.1553567300002</v>
      </c>
      <c r="AD847">
        <f t="shared" si="218"/>
        <v>-157.2034270300006</v>
      </c>
      <c r="AE847">
        <f t="shared" si="219"/>
        <v>7.2711072864300004</v>
      </c>
      <c r="AF847">
        <f t="shared" si="220"/>
        <v>-164.47453431643061</v>
      </c>
      <c r="AG847">
        <f t="shared" si="210"/>
        <v>36977.079566708286</v>
      </c>
      <c r="AH847" t="b">
        <f t="shared" si="221"/>
        <v>1</v>
      </c>
    </row>
    <row r="848" spans="4:34" hidden="1" x14ac:dyDescent="0.4">
      <c r="D848" t="s">
        <v>43</v>
      </c>
      <c r="E848" t="s">
        <v>37</v>
      </c>
      <c r="F848" s="9">
        <v>45827.583333333336</v>
      </c>
      <c r="G848">
        <v>2.8050000000000002</v>
      </c>
      <c r="H848" s="9">
        <v>45829.583333333336</v>
      </c>
      <c r="I848">
        <v>2.7014</v>
      </c>
      <c r="J848">
        <v>651.29999999999995</v>
      </c>
      <c r="K848" s="12">
        <v>1826.96</v>
      </c>
      <c r="L848">
        <v>2.69</v>
      </c>
      <c r="M848">
        <v>-70.16</v>
      </c>
      <c r="N848" s="13">
        <v>-3.8399999999999997E-2</v>
      </c>
      <c r="O848" t="s">
        <v>38</v>
      </c>
      <c r="Q848">
        <f t="shared" si="222"/>
        <v>-67.474680000000077</v>
      </c>
      <c r="R848">
        <f t="shared" si="223"/>
        <v>-70.164680000000075</v>
      </c>
      <c r="S848">
        <f t="shared" si="224"/>
        <v>1759.4218199999998</v>
      </c>
      <c r="U848">
        <f t="shared" si="211"/>
        <v>588.23529399999995</v>
      </c>
      <c r="V848">
        <f t="shared" si="225"/>
        <v>1649.9999996699999</v>
      </c>
      <c r="W848">
        <f t="shared" si="212"/>
        <v>-60.941176458400072</v>
      </c>
      <c r="X848">
        <f t="shared" si="213"/>
        <v>3.2390588228816002</v>
      </c>
      <c r="Y848">
        <f t="shared" si="214"/>
        <v>-64.180235281281668</v>
      </c>
      <c r="Z848">
        <f t="shared" si="215"/>
        <v>30173.917150022749</v>
      </c>
      <c r="AB848">
        <f t="shared" si="216"/>
        <v>1329.290131</v>
      </c>
      <c r="AC848">
        <f t="shared" si="217"/>
        <v>3728.6588174550002</v>
      </c>
      <c r="AD848">
        <f t="shared" si="218"/>
        <v>-137.71445757160018</v>
      </c>
      <c r="AE848">
        <f t="shared" si="219"/>
        <v>7.3196031773384007</v>
      </c>
      <c r="AF848">
        <f t="shared" si="220"/>
        <v>-145.03406074893857</v>
      </c>
      <c r="AG848">
        <f t="shared" si="210"/>
        <v>37141.554101024718</v>
      </c>
      <c r="AH848" t="b">
        <f t="shared" si="221"/>
        <v>1</v>
      </c>
    </row>
    <row r="849" spans="4:34" hidden="1" x14ac:dyDescent="0.4">
      <c r="D849" t="s">
        <v>48</v>
      </c>
      <c r="E849" t="s">
        <v>37</v>
      </c>
      <c r="F849" s="9">
        <v>45827.375</v>
      </c>
      <c r="G849">
        <v>0.1108</v>
      </c>
      <c r="H849" s="9">
        <v>45829.375</v>
      </c>
      <c r="I849">
        <v>0.11020000000000001</v>
      </c>
      <c r="J849" s="12">
        <v>27149.7</v>
      </c>
      <c r="K849" s="12">
        <v>3008.19</v>
      </c>
      <c r="L849">
        <v>4.5</v>
      </c>
      <c r="M849">
        <v>-20.79</v>
      </c>
      <c r="N849" s="13">
        <v>-6.8999999999999999E-3</v>
      </c>
      <c r="O849" t="s">
        <v>38</v>
      </c>
      <c r="Q849">
        <f t="shared" si="222"/>
        <v>-16.289819999999715</v>
      </c>
      <c r="R849">
        <f t="shared" si="223"/>
        <v>-20.789819999999715</v>
      </c>
      <c r="S849">
        <f t="shared" si="224"/>
        <v>2991.8969400000001</v>
      </c>
      <c r="U849">
        <f t="shared" si="211"/>
        <v>14891.696750999999</v>
      </c>
      <c r="V849">
        <f t="shared" si="225"/>
        <v>1650.0000000107998</v>
      </c>
      <c r="W849">
        <f t="shared" si="212"/>
        <v>-8.935018050599842</v>
      </c>
      <c r="X849">
        <f t="shared" si="213"/>
        <v>3.2910649819710001</v>
      </c>
      <c r="Y849">
        <f t="shared" si="214"/>
        <v>-12.226083032570841</v>
      </c>
      <c r="Z849">
        <f t="shared" si="215"/>
        <v>30238.09738530403</v>
      </c>
      <c r="AB849">
        <f t="shared" si="216"/>
        <v>33677.109268</v>
      </c>
      <c r="AC849">
        <f t="shared" si="217"/>
        <v>3731.4237068943999</v>
      </c>
      <c r="AD849">
        <f t="shared" si="218"/>
        <v>-20.206265560799643</v>
      </c>
      <c r="AE849">
        <f t="shared" si="219"/>
        <v>7.4426411482280006</v>
      </c>
      <c r="AF849">
        <f t="shared" si="220"/>
        <v>-27.648906709027642</v>
      </c>
      <c r="AG849">
        <f t="shared" si="210"/>
        <v>37286.58816177366</v>
      </c>
      <c r="AH849" t="b">
        <f t="shared" si="221"/>
        <v>1</v>
      </c>
    </row>
    <row r="850" spans="4:34" hidden="1" x14ac:dyDescent="0.4">
      <c r="D850" t="s">
        <v>56</v>
      </c>
      <c r="E850" t="s">
        <v>37</v>
      </c>
      <c r="F850" s="9">
        <v>45827.208333333336</v>
      </c>
      <c r="G850" s="12">
        <v>2526.1</v>
      </c>
      <c r="H850" s="9">
        <v>45828.791666666664</v>
      </c>
      <c r="I850" s="12">
        <v>2470.85</v>
      </c>
      <c r="J850" s="12">
        <v>2.1478000000000002</v>
      </c>
      <c r="K850" s="12">
        <v>5425.73</v>
      </c>
      <c r="L850">
        <v>8.0500000000000007</v>
      </c>
      <c r="M850">
        <v>-126.72</v>
      </c>
      <c r="N850" s="13">
        <v>-2.3400000000000001E-2</v>
      </c>
      <c r="O850" t="s">
        <v>49</v>
      </c>
      <c r="Q850">
        <f t="shared" si="222"/>
        <v>-118.66595000000001</v>
      </c>
      <c r="R850">
        <f t="shared" si="223"/>
        <v>-126.71595000000001</v>
      </c>
      <c r="S850">
        <f t="shared" si="224"/>
        <v>5306.8916300000001</v>
      </c>
      <c r="U850">
        <f t="shared" si="211"/>
        <v>0.65318100000000001</v>
      </c>
      <c r="V850">
        <f t="shared" si="225"/>
        <v>1650.0005240999999</v>
      </c>
      <c r="W850">
        <f t="shared" si="212"/>
        <v>-36.088250250000002</v>
      </c>
      <c r="X850">
        <f t="shared" si="213"/>
        <v>3.2639127979500002</v>
      </c>
      <c r="Y850">
        <f t="shared" si="214"/>
        <v>-39.35216304795</v>
      </c>
      <c r="Z850">
        <f t="shared" si="215"/>
        <v>30250.323468336603</v>
      </c>
      <c r="AB850">
        <f t="shared" si="216"/>
        <v>1.4806790000000001</v>
      </c>
      <c r="AC850">
        <f t="shared" si="217"/>
        <v>3740.3432219000001</v>
      </c>
      <c r="AD850">
        <f t="shared" si="218"/>
        <v>-81.80751475000001</v>
      </c>
      <c r="AE850">
        <f t="shared" si="219"/>
        <v>7.3988789290500003</v>
      </c>
      <c r="AF850">
        <f t="shared" si="220"/>
        <v>-89.206393679050009</v>
      </c>
      <c r="AG850">
        <f t="shared" si="210"/>
        <v>37314.237068482689</v>
      </c>
      <c r="AH850" t="b">
        <f t="shared" si="221"/>
        <v>1</v>
      </c>
    </row>
    <row r="851" spans="4:34" hidden="1" x14ac:dyDescent="0.4">
      <c r="D851" t="s">
        <v>58</v>
      </c>
      <c r="E851" t="s">
        <v>37</v>
      </c>
      <c r="F851" s="9">
        <v>45826.708333333336</v>
      </c>
      <c r="G851">
        <v>12.9</v>
      </c>
      <c r="H851" s="9">
        <v>45828.708333333336</v>
      </c>
      <c r="I851">
        <v>12.9</v>
      </c>
      <c r="J851">
        <v>544.08000000000004</v>
      </c>
      <c r="K851" s="12">
        <v>7018.7</v>
      </c>
      <c r="L851">
        <v>10.53</v>
      </c>
      <c r="M851">
        <v>-10.53</v>
      </c>
      <c r="N851" s="13">
        <v>-1.5E-3</v>
      </c>
      <c r="O851" t="s">
        <v>38</v>
      </c>
      <c r="Q851">
        <f t="shared" si="222"/>
        <v>0</v>
      </c>
      <c r="R851">
        <f t="shared" si="223"/>
        <v>-10.53</v>
      </c>
      <c r="S851">
        <f t="shared" si="224"/>
        <v>7018.6320000000005</v>
      </c>
      <c r="U851">
        <f t="shared" si="211"/>
        <v>127.906977</v>
      </c>
      <c r="V851">
        <f t="shared" si="225"/>
        <v>1650.0000033000001</v>
      </c>
      <c r="W851">
        <f t="shared" si="212"/>
        <v>0</v>
      </c>
      <c r="X851">
        <f t="shared" si="213"/>
        <v>3.3000000065999999</v>
      </c>
      <c r="Y851">
        <f t="shared" si="214"/>
        <v>-3.3000000065999999</v>
      </c>
      <c r="Z851">
        <f t="shared" si="215"/>
        <v>30289.675631384554</v>
      </c>
      <c r="AB851">
        <f t="shared" si="216"/>
        <v>290.00717600000002</v>
      </c>
      <c r="AC851">
        <f t="shared" si="217"/>
        <v>3741.0925704000001</v>
      </c>
      <c r="AD851">
        <f t="shared" si="218"/>
        <v>0</v>
      </c>
      <c r="AE851">
        <f t="shared" si="219"/>
        <v>7.4821851408000004</v>
      </c>
      <c r="AF851">
        <f t="shared" si="220"/>
        <v>-7.4821851408000004</v>
      </c>
      <c r="AG851">
        <f t="shared" si="210"/>
        <v>37403.44346216174</v>
      </c>
      <c r="AH851" t="b">
        <f t="shared" si="221"/>
        <v>1</v>
      </c>
    </row>
    <row r="852" spans="4:34" hidden="1" x14ac:dyDescent="0.4">
      <c r="D852" t="s">
        <v>50</v>
      </c>
      <c r="E852" t="s">
        <v>37</v>
      </c>
      <c r="F852" s="9">
        <v>45826.708333333336</v>
      </c>
      <c r="G852">
        <v>346.4</v>
      </c>
      <c r="H852" s="9">
        <v>45828.708333333336</v>
      </c>
      <c r="I852">
        <v>341.9</v>
      </c>
      <c r="J852">
        <v>36.646299999999997</v>
      </c>
      <c r="K852" s="12">
        <v>12694.31</v>
      </c>
      <c r="L852">
        <v>18.920000000000002</v>
      </c>
      <c r="M852" s="12">
        <v>-183.83</v>
      </c>
      <c r="N852" s="13">
        <v>-1.4500000000000001E-2</v>
      </c>
      <c r="O852" t="s">
        <v>38</v>
      </c>
      <c r="Q852">
        <f t="shared" si="222"/>
        <v>-164.90834999999998</v>
      </c>
      <c r="R852">
        <f t="shared" si="223"/>
        <v>-183.82835</v>
      </c>
      <c r="S852">
        <f t="shared" si="224"/>
        <v>12529.369969999998</v>
      </c>
      <c r="U852">
        <f t="shared" si="211"/>
        <v>4.7632789999999998</v>
      </c>
      <c r="V852">
        <f t="shared" si="225"/>
        <v>1649.9998455999998</v>
      </c>
      <c r="W852">
        <f t="shared" si="212"/>
        <v>-21.434755499999998</v>
      </c>
      <c r="X852">
        <f t="shared" si="213"/>
        <v>3.2785649357</v>
      </c>
      <c r="Y852">
        <f t="shared" si="214"/>
        <v>-24.713320435699998</v>
      </c>
      <c r="Z852">
        <f t="shared" si="215"/>
        <v>30292.975631391153</v>
      </c>
      <c r="AB852">
        <f t="shared" si="216"/>
        <v>10.816121000000001</v>
      </c>
      <c r="AC852">
        <f t="shared" si="217"/>
        <v>3746.7043143999999</v>
      </c>
      <c r="AD852">
        <f t="shared" si="218"/>
        <v>-48.672544500000001</v>
      </c>
      <c r="AE852">
        <f t="shared" si="219"/>
        <v>7.4447360843000006</v>
      </c>
      <c r="AF852">
        <f t="shared" si="220"/>
        <v>-56.117280584300005</v>
      </c>
      <c r="AG852">
        <f t="shared" si="210"/>
        <v>37410.925647302538</v>
      </c>
      <c r="AH852" t="b">
        <f t="shared" si="221"/>
        <v>1</v>
      </c>
    </row>
    <row r="853" spans="4:34" hidden="1" x14ac:dyDescent="0.4">
      <c r="D853" t="s">
        <v>59</v>
      </c>
      <c r="E853" t="s">
        <v>37</v>
      </c>
      <c r="F853" s="9">
        <v>45824.625</v>
      </c>
      <c r="G853" s="12">
        <v>107180</v>
      </c>
      <c r="H853" s="9">
        <v>45827.125</v>
      </c>
      <c r="I853" s="12">
        <v>104641.99</v>
      </c>
      <c r="J853">
        <v>9.7170000000000006E-2</v>
      </c>
      <c r="K853" s="12">
        <v>10415.75</v>
      </c>
      <c r="L853">
        <v>15.44</v>
      </c>
      <c r="M853">
        <v>-262.06</v>
      </c>
      <c r="N853" s="13">
        <v>-2.52E-2</v>
      </c>
      <c r="O853" t="s">
        <v>57</v>
      </c>
      <c r="Q853">
        <f t="shared" si="222"/>
        <v>-246.61843169999952</v>
      </c>
      <c r="R853">
        <f t="shared" si="223"/>
        <v>-262.05843169999952</v>
      </c>
      <c r="S853">
        <f t="shared" si="224"/>
        <v>10168.062168300001</v>
      </c>
      <c r="U853">
        <f t="shared" si="211"/>
        <v>1.5395000000000001E-2</v>
      </c>
      <c r="V853">
        <f t="shared" si="225"/>
        <v>1650.0361</v>
      </c>
      <c r="W853">
        <f t="shared" si="212"/>
        <v>-39.072663949999921</v>
      </c>
      <c r="X853">
        <f t="shared" si="213"/>
        <v>3.2609995360499999</v>
      </c>
      <c r="Y853">
        <f t="shared" si="214"/>
        <v>-42.333663486049922</v>
      </c>
      <c r="Z853">
        <f t="shared" si="215"/>
        <v>30317.688951826854</v>
      </c>
      <c r="AB853">
        <f t="shared" si="216"/>
        <v>3.5047000000000002E-2</v>
      </c>
      <c r="AC853">
        <f t="shared" si="217"/>
        <v>3756.3374600000002</v>
      </c>
      <c r="AD853">
        <f t="shared" si="218"/>
        <v>-88.949636469999817</v>
      </c>
      <c r="AE853">
        <f t="shared" si="219"/>
        <v>7.4237252835300005</v>
      </c>
      <c r="AF853">
        <f t="shared" si="220"/>
        <v>-96.373361753529821</v>
      </c>
      <c r="AG853">
        <f t="shared" si="210"/>
        <v>37467.04292788684</v>
      </c>
      <c r="AH853" t="b">
        <f t="shared" si="221"/>
        <v>1</v>
      </c>
    </row>
    <row r="854" spans="4:34" hidden="1" x14ac:dyDescent="0.4">
      <c r="D854" t="s">
        <v>53</v>
      </c>
      <c r="E854" t="s">
        <v>37</v>
      </c>
      <c r="F854" s="9">
        <v>45825.083333333336</v>
      </c>
      <c r="G854">
        <v>654.22</v>
      </c>
      <c r="H854" s="9">
        <v>45827.083333333336</v>
      </c>
      <c r="I854">
        <v>645.09</v>
      </c>
      <c r="J854" s="12">
        <v>14.237</v>
      </c>
      <c r="K854" s="12">
        <v>9314.24</v>
      </c>
      <c r="L854">
        <v>13.87</v>
      </c>
      <c r="M854">
        <v>-143.86000000000001</v>
      </c>
      <c r="N854" s="13">
        <v>-1.54E-2</v>
      </c>
      <c r="O854" t="s">
        <v>38</v>
      </c>
      <c r="Q854">
        <f t="shared" si="222"/>
        <v>-129.98380999999995</v>
      </c>
      <c r="R854">
        <f t="shared" si="223"/>
        <v>-143.85380999999995</v>
      </c>
      <c r="S854">
        <f t="shared" si="224"/>
        <v>9184.1463300000014</v>
      </c>
      <c r="U854">
        <f t="shared" si="211"/>
        <v>2.522087</v>
      </c>
      <c r="V854">
        <f t="shared" si="225"/>
        <v>1649.9997571400002</v>
      </c>
      <c r="W854">
        <f t="shared" si="212"/>
        <v>-23.026654309999987</v>
      </c>
      <c r="X854">
        <f t="shared" si="213"/>
        <v>3.2769728599699999</v>
      </c>
      <c r="Y854">
        <f t="shared" si="214"/>
        <v>-26.303627169969985</v>
      </c>
      <c r="Z854">
        <f t="shared" si="215"/>
        <v>30360.022615312904</v>
      </c>
      <c r="AB854">
        <f t="shared" si="216"/>
        <v>5.7508780000000002</v>
      </c>
      <c r="AC854">
        <f t="shared" si="217"/>
        <v>3762.3394051600003</v>
      </c>
      <c r="AD854">
        <f t="shared" si="218"/>
        <v>-52.505516139999976</v>
      </c>
      <c r="AE854">
        <f t="shared" si="219"/>
        <v>7.4721732941800001</v>
      </c>
      <c r="AF854">
        <f t="shared" si="220"/>
        <v>-59.977689434179979</v>
      </c>
      <c r="AG854">
        <f t="shared" si="210"/>
        <v>37563.416289640372</v>
      </c>
      <c r="AH854" t="b">
        <f t="shared" si="221"/>
        <v>1</v>
      </c>
    </row>
    <row r="855" spans="4:34" hidden="1" x14ac:dyDescent="0.4">
      <c r="D855" t="s">
        <v>61</v>
      </c>
      <c r="E855" t="s">
        <v>37</v>
      </c>
      <c r="F855" s="9">
        <v>45824.541666666664</v>
      </c>
      <c r="G855">
        <v>0.64610000000000001</v>
      </c>
      <c r="H855" s="9">
        <v>45826.541666666664</v>
      </c>
      <c r="I855">
        <v>0.60699999999999998</v>
      </c>
      <c r="J855" s="12">
        <v>12623.1</v>
      </c>
      <c r="K855" s="12">
        <v>8155.82</v>
      </c>
      <c r="L855">
        <v>11.86</v>
      </c>
      <c r="M855">
        <v>-505.43</v>
      </c>
      <c r="N855" s="13">
        <v>-6.2E-2</v>
      </c>
      <c r="O855" t="s">
        <v>38</v>
      </c>
      <c r="Q855">
        <f t="shared" si="222"/>
        <v>-493.56321000000031</v>
      </c>
      <c r="R855">
        <f t="shared" si="223"/>
        <v>-505.42321000000032</v>
      </c>
      <c r="S855">
        <f t="shared" si="224"/>
        <v>7662.2217000000001</v>
      </c>
      <c r="U855">
        <f t="shared" si="211"/>
        <v>2553.7842439999999</v>
      </c>
      <c r="V855">
        <f t="shared" si="225"/>
        <v>1650.0000000483999</v>
      </c>
      <c r="W855">
        <f t="shared" si="212"/>
        <v>-99.852963940400059</v>
      </c>
      <c r="X855">
        <f t="shared" si="213"/>
        <v>3.2001470361563995</v>
      </c>
      <c r="Y855">
        <f t="shared" si="214"/>
        <v>-103.05311097655645</v>
      </c>
      <c r="Z855">
        <f t="shared" si="215"/>
        <v>30386.326242482875</v>
      </c>
      <c r="AB855">
        <f t="shared" si="216"/>
        <v>5859.7512939999997</v>
      </c>
      <c r="AC855">
        <f t="shared" si="217"/>
        <v>3785.9853110534</v>
      </c>
      <c r="AD855">
        <f t="shared" si="218"/>
        <v>-229.11627559540014</v>
      </c>
      <c r="AE855">
        <f t="shared" si="219"/>
        <v>7.3428543465113982</v>
      </c>
      <c r="AF855">
        <f t="shared" si="220"/>
        <v>-236.45912994191153</v>
      </c>
      <c r="AG855">
        <f t="shared" si="210"/>
        <v>37623.39397907455</v>
      </c>
      <c r="AH855" t="b">
        <f t="shared" si="221"/>
        <v>1</v>
      </c>
    </row>
    <row r="856" spans="4:34" hidden="1" x14ac:dyDescent="0.4">
      <c r="D856" t="s">
        <v>52</v>
      </c>
      <c r="E856" t="s">
        <v>37</v>
      </c>
      <c r="F856" s="9">
        <v>45824.25</v>
      </c>
      <c r="G856" s="12">
        <v>5.6619999999999999</v>
      </c>
      <c r="H856" s="9">
        <v>45826.25</v>
      </c>
      <c r="I856" s="12">
        <v>5.2569999999999997</v>
      </c>
      <c r="J856">
        <v>416.61</v>
      </c>
      <c r="K856" s="12">
        <v>2358.89</v>
      </c>
      <c r="L856">
        <v>3.41</v>
      </c>
      <c r="M856">
        <v>-172.14</v>
      </c>
      <c r="N856" s="13">
        <v>-7.2999999999999995E-2</v>
      </c>
      <c r="O856" t="s">
        <v>38</v>
      </c>
      <c r="Q856">
        <f t="shared" si="222"/>
        <v>-168.72705000000011</v>
      </c>
      <c r="R856">
        <f t="shared" si="223"/>
        <v>-172.1370500000001</v>
      </c>
      <c r="S856">
        <f t="shared" si="224"/>
        <v>2190.11877</v>
      </c>
      <c r="U856">
        <f t="shared" si="211"/>
        <v>291.41646100000003</v>
      </c>
      <c r="V856">
        <f t="shared" si="225"/>
        <v>1650.0000021820001</v>
      </c>
      <c r="W856">
        <f t="shared" si="212"/>
        <v>-118.02366670500008</v>
      </c>
      <c r="X856">
        <f t="shared" si="213"/>
        <v>3.1819763376590005</v>
      </c>
      <c r="Y856">
        <f t="shared" si="214"/>
        <v>-121.20564304265908</v>
      </c>
      <c r="Z856">
        <f t="shared" si="215"/>
        <v>30489.379353459433</v>
      </c>
      <c r="AB856">
        <f t="shared" si="216"/>
        <v>673.61395200000004</v>
      </c>
      <c r="AC856">
        <f t="shared" si="217"/>
        <v>3814.0021962240003</v>
      </c>
      <c r="AD856">
        <f t="shared" si="218"/>
        <v>-272.81365056000016</v>
      </c>
      <c r="AE856">
        <f t="shared" si="219"/>
        <v>7.3551907418880003</v>
      </c>
      <c r="AF856">
        <f t="shared" si="220"/>
        <v>-280.16884130188816</v>
      </c>
      <c r="AG856">
        <f t="shared" si="210"/>
        <v>37859.853109016462</v>
      </c>
      <c r="AH856" t="b">
        <f t="shared" si="221"/>
        <v>1</v>
      </c>
    </row>
    <row r="857" spans="4:34" hidden="1" x14ac:dyDescent="0.4">
      <c r="D857" t="s">
        <v>43</v>
      </c>
      <c r="E857" t="s">
        <v>37</v>
      </c>
      <c r="F857" s="9">
        <v>45824.125</v>
      </c>
      <c r="G857">
        <v>3.0464000000000002</v>
      </c>
      <c r="H857" s="9">
        <v>45826.125</v>
      </c>
      <c r="I857">
        <v>2.8485999999999998</v>
      </c>
      <c r="J857" s="12">
        <v>603.70000000000005</v>
      </c>
      <c r="K857" s="12">
        <v>1839.17</v>
      </c>
      <c r="L857">
        <v>2.67</v>
      </c>
      <c r="M857">
        <v>-122.08</v>
      </c>
      <c r="N857" s="13">
        <v>-6.6400000000000001E-2</v>
      </c>
      <c r="O857" t="s">
        <v>38</v>
      </c>
      <c r="Q857">
        <f t="shared" si="222"/>
        <v>-119.41186000000026</v>
      </c>
      <c r="R857">
        <f t="shared" si="223"/>
        <v>-122.08186000000026</v>
      </c>
      <c r="S857">
        <f t="shared" si="224"/>
        <v>1719.69982</v>
      </c>
      <c r="U857">
        <f t="shared" si="211"/>
        <v>541.62289899999996</v>
      </c>
      <c r="V857">
        <f t="shared" si="225"/>
        <v>1649.9999995136</v>
      </c>
      <c r="W857">
        <f t="shared" si="212"/>
        <v>-107.13300942220022</v>
      </c>
      <c r="X857">
        <f t="shared" si="213"/>
        <v>3.1928669896049997</v>
      </c>
      <c r="Y857">
        <f t="shared" si="214"/>
        <v>-110.32587641180521</v>
      </c>
      <c r="Z857">
        <f t="shared" si="215"/>
        <v>30610.584996502093</v>
      </c>
      <c r="AB857">
        <f t="shared" si="216"/>
        <v>1260.3978030000001</v>
      </c>
      <c r="AC857">
        <f t="shared" si="217"/>
        <v>3839.6758670592003</v>
      </c>
      <c r="AD857">
        <f t="shared" si="218"/>
        <v>-249.30668543340053</v>
      </c>
      <c r="AE857">
        <f t="shared" si="219"/>
        <v>7.4300450486850007</v>
      </c>
      <c r="AF857">
        <f t="shared" si="220"/>
        <v>-256.73673048208553</v>
      </c>
      <c r="AG857">
        <f t="shared" si="210"/>
        <v>38140.021950318347</v>
      </c>
      <c r="AH857" t="b">
        <f t="shared" si="221"/>
        <v>1</v>
      </c>
    </row>
    <row r="858" spans="4:34" hidden="1" x14ac:dyDescent="0.4">
      <c r="D858" t="s">
        <v>54</v>
      </c>
      <c r="E858" t="s">
        <v>37</v>
      </c>
      <c r="F858" s="9">
        <v>45824</v>
      </c>
      <c r="G858">
        <v>152.11000000000001</v>
      </c>
      <c r="H858" s="9">
        <v>45826</v>
      </c>
      <c r="I858">
        <v>146.49</v>
      </c>
      <c r="J858" s="12">
        <v>31.518999999999998</v>
      </c>
      <c r="K858" s="12">
        <v>4794.47</v>
      </c>
      <c r="L858">
        <v>7.06</v>
      </c>
      <c r="M858">
        <v>-184.2</v>
      </c>
      <c r="N858" s="13">
        <v>-3.8399999999999997E-2</v>
      </c>
      <c r="O858" t="s">
        <v>38</v>
      </c>
      <c r="Q858">
        <f t="shared" si="222"/>
        <v>-177.13678000000013</v>
      </c>
      <c r="R858">
        <f t="shared" si="223"/>
        <v>-184.19678000000013</v>
      </c>
      <c r="S858">
        <f t="shared" si="224"/>
        <v>4617.2183100000002</v>
      </c>
      <c r="U858">
        <f t="shared" si="211"/>
        <v>10.847413</v>
      </c>
      <c r="V858">
        <f t="shared" si="225"/>
        <v>1649.9999914300001</v>
      </c>
      <c r="W858">
        <f t="shared" si="212"/>
        <v>-60.962461060000045</v>
      </c>
      <c r="X858">
        <f t="shared" si="213"/>
        <v>3.2390375218000003</v>
      </c>
      <c r="Y858">
        <f t="shared" si="214"/>
        <v>-64.201498581800053</v>
      </c>
      <c r="Z858">
        <f t="shared" si="215"/>
        <v>30720.910872913897</v>
      </c>
      <c r="AB858">
        <f t="shared" si="216"/>
        <v>25.341360999999999</v>
      </c>
      <c r="AC858">
        <f t="shared" si="217"/>
        <v>3854.6744217100004</v>
      </c>
      <c r="AD858">
        <f t="shared" si="218"/>
        <v>-142.41844882000012</v>
      </c>
      <c r="AE858">
        <f t="shared" si="219"/>
        <v>7.5669303946000008</v>
      </c>
      <c r="AF858">
        <f t="shared" si="220"/>
        <v>-149.98537921460013</v>
      </c>
      <c r="AG858">
        <f t="shared" si="210"/>
        <v>38396.758680800434</v>
      </c>
      <c r="AH858" t="b">
        <f t="shared" si="221"/>
        <v>1</v>
      </c>
    </row>
    <row r="859" spans="4:34" hidden="1" x14ac:dyDescent="0.4">
      <c r="D859" t="s">
        <v>55</v>
      </c>
      <c r="E859" t="s">
        <v>37</v>
      </c>
      <c r="F859" s="9">
        <v>45824</v>
      </c>
      <c r="G859" s="12">
        <v>6.0139999999999997E-5</v>
      </c>
      <c r="H859" s="9">
        <v>45826</v>
      </c>
      <c r="I859" s="12">
        <v>5.7540000000000001E-5</v>
      </c>
      <c r="J859" s="12">
        <v>99006538.840000004</v>
      </c>
      <c r="K859" s="12">
        <v>5954.25</v>
      </c>
      <c r="L859">
        <v>8.74</v>
      </c>
      <c r="M859">
        <v>-266.16000000000003</v>
      </c>
      <c r="N859" s="13">
        <v>-4.4699999999999997E-2</v>
      </c>
      <c r="O859" t="s">
        <v>38</v>
      </c>
      <c r="Q859">
        <f t="shared" si="222"/>
        <v>-257.41700098399957</v>
      </c>
      <c r="R859">
        <f t="shared" si="223"/>
        <v>-266.15700098399958</v>
      </c>
      <c r="S859">
        <f t="shared" si="224"/>
        <v>5696.8362448536</v>
      </c>
      <c r="U859">
        <f t="shared" si="211"/>
        <v>27435982.707017001</v>
      </c>
      <c r="V859">
        <f t="shared" si="225"/>
        <v>1650.0000000000023</v>
      </c>
      <c r="W859">
        <f t="shared" si="212"/>
        <v>-71.333555038244072</v>
      </c>
      <c r="X859">
        <f t="shared" si="213"/>
        <v>3.2286664449617608</v>
      </c>
      <c r="Y859">
        <f t="shared" si="214"/>
        <v>-74.562221483205832</v>
      </c>
      <c r="Z859">
        <f t="shared" si="215"/>
        <v>30785.112371495696</v>
      </c>
      <c r="AB859">
        <f t="shared" si="216"/>
        <v>64385973.616215996</v>
      </c>
      <c r="AC859">
        <f t="shared" si="217"/>
        <v>3872.17245327923</v>
      </c>
      <c r="AD859">
        <f t="shared" si="218"/>
        <v>-167.40353140216129</v>
      </c>
      <c r="AE859">
        <f t="shared" si="219"/>
        <v>7.5769413751562986</v>
      </c>
      <c r="AF859">
        <f t="shared" si="220"/>
        <v>-174.9804727773176</v>
      </c>
      <c r="AG859">
        <f t="shared" si="210"/>
        <v>38546.744060015037</v>
      </c>
      <c r="AH859" t="b">
        <f t="shared" si="221"/>
        <v>1</v>
      </c>
    </row>
    <row r="860" spans="4:34" hidden="1" x14ac:dyDescent="0.4">
      <c r="D860" t="s">
        <v>55</v>
      </c>
      <c r="E860" t="s">
        <v>37</v>
      </c>
      <c r="F860" s="9">
        <v>45821.666666666664</v>
      </c>
      <c r="G860">
        <v>5.6169999999999999E-5</v>
      </c>
      <c r="H860" s="9">
        <v>45823.666666666664</v>
      </c>
      <c r="I860">
        <v>6.054E-5</v>
      </c>
      <c r="J860" s="12">
        <v>105202079.34999999</v>
      </c>
      <c r="K860" s="12">
        <v>5909.2</v>
      </c>
      <c r="L860">
        <v>9.2100000000000009</v>
      </c>
      <c r="M860">
        <v>450.52</v>
      </c>
      <c r="N860" s="13">
        <v>7.6200000000000004E-2</v>
      </c>
      <c r="O860" t="s">
        <v>38</v>
      </c>
      <c r="Q860">
        <f t="shared" si="222"/>
        <v>459.73308675950005</v>
      </c>
      <c r="R860">
        <f t="shared" si="223"/>
        <v>450.52308675950007</v>
      </c>
      <c r="S860">
        <f t="shared" si="224"/>
        <v>6368.9338838489994</v>
      </c>
      <c r="U860">
        <f t="shared" si="211"/>
        <v>29375111.269361001</v>
      </c>
      <c r="V860">
        <f t="shared" si="225"/>
        <v>1650.0000000000073</v>
      </c>
      <c r="W860">
        <f t="shared" si="212"/>
        <v>128.36923624710758</v>
      </c>
      <c r="X860">
        <f t="shared" si="213"/>
        <v>3.4283692362471223</v>
      </c>
      <c r="Y860">
        <f t="shared" si="214"/>
        <v>124.94086701086046</v>
      </c>
      <c r="Z860">
        <f t="shared" si="215"/>
        <v>30859.674592978903</v>
      </c>
      <c r="AB860">
        <f t="shared" si="216"/>
        <v>68418587.217317</v>
      </c>
      <c r="AC860">
        <f t="shared" si="217"/>
        <v>3843.0720439966958</v>
      </c>
      <c r="AD860">
        <f t="shared" si="218"/>
        <v>298.98922613967534</v>
      </c>
      <c r="AE860">
        <f t="shared" si="219"/>
        <v>7.9851333141330674</v>
      </c>
      <c r="AF860">
        <f t="shared" si="220"/>
        <v>291.00409282554227</v>
      </c>
      <c r="AG860">
        <f t="shared" si="210"/>
        <v>38721.724532792352</v>
      </c>
      <c r="AH860" t="b">
        <f t="shared" si="221"/>
        <v>1</v>
      </c>
    </row>
    <row r="861" spans="4:34" hidden="1" x14ac:dyDescent="0.4">
      <c r="D861" t="s">
        <v>61</v>
      </c>
      <c r="E861" t="s">
        <v>37</v>
      </c>
      <c r="F861" s="9">
        <v>45819.5</v>
      </c>
      <c r="G861">
        <v>0.71940000000000004</v>
      </c>
      <c r="H861" s="9">
        <v>45821.5</v>
      </c>
      <c r="I861">
        <v>0.63870000000000005</v>
      </c>
      <c r="J861" s="12">
        <v>11467.2</v>
      </c>
      <c r="K861" s="12">
        <v>8249.5300000000007</v>
      </c>
      <c r="L861">
        <v>11.68</v>
      </c>
      <c r="M861">
        <v>-937.08</v>
      </c>
      <c r="N861" s="13">
        <v>-0.11360000000000001</v>
      </c>
      <c r="O861" t="s">
        <v>38</v>
      </c>
      <c r="Q861">
        <f t="shared" si="222"/>
        <v>-925.40304000000003</v>
      </c>
      <c r="R861">
        <f t="shared" si="223"/>
        <v>-937.08303999999998</v>
      </c>
      <c r="S861">
        <f t="shared" si="224"/>
        <v>7324.1006400000006</v>
      </c>
      <c r="U861">
        <f t="shared" si="211"/>
        <v>2293.5779819999998</v>
      </c>
      <c r="V861">
        <f t="shared" si="225"/>
        <v>1650.0000002508</v>
      </c>
      <c r="W861">
        <f t="shared" si="212"/>
        <v>-185.09174314739997</v>
      </c>
      <c r="X861">
        <f t="shared" si="213"/>
        <v>3.1149082573542</v>
      </c>
      <c r="Y861">
        <f t="shared" si="214"/>
        <v>-188.20665140475415</v>
      </c>
      <c r="Z861">
        <f t="shared" si="215"/>
        <v>30734.733725968043</v>
      </c>
      <c r="AB861">
        <f t="shared" si="216"/>
        <v>5403.6887509999997</v>
      </c>
      <c r="AC861">
        <f t="shared" si="217"/>
        <v>3887.4136874694</v>
      </c>
      <c r="AD861">
        <f t="shared" si="218"/>
        <v>-436.07768220569994</v>
      </c>
      <c r="AE861">
        <f t="shared" si="219"/>
        <v>7.3387496927331002</v>
      </c>
      <c r="AF861">
        <f t="shared" si="220"/>
        <v>-443.41643189843302</v>
      </c>
      <c r="AG861">
        <f t="shared" si="210"/>
        <v>38430.720439966812</v>
      </c>
      <c r="AH861" t="b">
        <f t="shared" si="221"/>
        <v>1</v>
      </c>
    </row>
    <row r="862" spans="4:34" hidden="1" x14ac:dyDescent="0.4">
      <c r="D862" t="s">
        <v>54</v>
      </c>
      <c r="E862" t="s">
        <v>37</v>
      </c>
      <c r="F862" s="9">
        <v>45819.333333333336</v>
      </c>
      <c r="G862">
        <v>165.98</v>
      </c>
      <c r="H862" s="9">
        <v>45821.333333333336</v>
      </c>
      <c r="I862">
        <v>145.04</v>
      </c>
      <c r="J862">
        <v>29.259</v>
      </c>
      <c r="K862" s="12">
        <v>4856.42</v>
      </c>
      <c r="L862">
        <v>6.83</v>
      </c>
      <c r="M862">
        <v>-619.51</v>
      </c>
      <c r="N862" s="13">
        <v>-0.12759999999999999</v>
      </c>
      <c r="O862" t="s">
        <v>38</v>
      </c>
      <c r="Q862">
        <f t="shared" si="222"/>
        <v>-612.68345999999997</v>
      </c>
      <c r="R862">
        <f t="shared" si="223"/>
        <v>-619.51346000000001</v>
      </c>
      <c r="S862">
        <f t="shared" si="224"/>
        <v>4243.7253599999995</v>
      </c>
      <c r="U862">
        <f t="shared" si="211"/>
        <v>9.9409569999999992</v>
      </c>
      <c r="V862">
        <f t="shared" si="225"/>
        <v>1650.0000428599997</v>
      </c>
      <c r="W862">
        <f t="shared" si="212"/>
        <v>-208.16363957999997</v>
      </c>
      <c r="X862">
        <f t="shared" si="213"/>
        <v>3.0918364461399994</v>
      </c>
      <c r="Y862">
        <f t="shared" si="214"/>
        <v>-211.25547602613997</v>
      </c>
      <c r="Z862">
        <f t="shared" si="215"/>
        <v>30922.940377372797</v>
      </c>
      <c r="AB862">
        <f t="shared" si="216"/>
        <v>23.724733000000001</v>
      </c>
      <c r="AC862">
        <f t="shared" si="217"/>
        <v>3937.8311833399998</v>
      </c>
      <c r="AD862">
        <f t="shared" si="218"/>
        <v>-496.79590901999995</v>
      </c>
      <c r="AE862">
        <f t="shared" si="219"/>
        <v>7.3788664576599992</v>
      </c>
      <c r="AF862">
        <f t="shared" si="220"/>
        <v>-504.17477547765998</v>
      </c>
      <c r="AG862">
        <f t="shared" si="210"/>
        <v>38874.136871865245</v>
      </c>
      <c r="AH862" t="b">
        <f t="shared" si="221"/>
        <v>1</v>
      </c>
    </row>
    <row r="863" spans="4:34" hidden="1" x14ac:dyDescent="0.4">
      <c r="D863" t="s">
        <v>52</v>
      </c>
      <c r="E863" t="s">
        <v>37</v>
      </c>
      <c r="F863" s="9">
        <v>45819.291666666664</v>
      </c>
      <c r="G863">
        <v>6.2389999999999999</v>
      </c>
      <c r="H863" s="9">
        <v>45821.291666666664</v>
      </c>
      <c r="I863">
        <v>5.4939999999999998</v>
      </c>
      <c r="J863">
        <v>382.71</v>
      </c>
      <c r="K863" s="12">
        <v>2387.73</v>
      </c>
      <c r="L863">
        <v>3.37</v>
      </c>
      <c r="M863">
        <v>-288.49</v>
      </c>
      <c r="N863" s="13">
        <v>-0.1208</v>
      </c>
      <c r="O863" t="s">
        <v>38</v>
      </c>
      <c r="Q863">
        <f t="shared" si="222"/>
        <v>-285.11895000000004</v>
      </c>
      <c r="R863">
        <f t="shared" si="223"/>
        <v>-288.48895000000005</v>
      </c>
      <c r="S863">
        <f t="shared" si="224"/>
        <v>2102.6087399999997</v>
      </c>
      <c r="U863">
        <f t="shared" si="211"/>
        <v>264.46545900000001</v>
      </c>
      <c r="V863">
        <f t="shared" si="225"/>
        <v>1649.9999987010001</v>
      </c>
      <c r="W863">
        <f t="shared" si="212"/>
        <v>-197.02676695500003</v>
      </c>
      <c r="X863">
        <f t="shared" si="213"/>
        <v>3.1029732304470001</v>
      </c>
      <c r="Y863">
        <f t="shared" si="214"/>
        <v>-200.12974018544702</v>
      </c>
      <c r="Z863">
        <f t="shared" si="215"/>
        <v>31134.195853398938</v>
      </c>
      <c r="AB863">
        <f t="shared" si="216"/>
        <v>638.91326200000003</v>
      </c>
      <c r="AC863">
        <f t="shared" si="217"/>
        <v>3986.179841618</v>
      </c>
      <c r="AD863">
        <f t="shared" si="218"/>
        <v>-475.99038019000011</v>
      </c>
      <c r="AE863">
        <f t="shared" si="219"/>
        <v>7.4963693030460004</v>
      </c>
      <c r="AF863">
        <f t="shared" si="220"/>
        <v>-483.48674949304609</v>
      </c>
      <c r="AG863">
        <f t="shared" si="210"/>
        <v>39378.311647342904</v>
      </c>
      <c r="AH863" t="b">
        <f t="shared" si="221"/>
        <v>1</v>
      </c>
    </row>
    <row r="864" spans="4:34" hidden="1" x14ac:dyDescent="0.4">
      <c r="D864" t="s">
        <v>55</v>
      </c>
      <c r="E864" t="s">
        <v>37</v>
      </c>
      <c r="F864" s="9">
        <v>45819.208333333336</v>
      </c>
      <c r="G864">
        <v>6.2150000000000006E-5</v>
      </c>
      <c r="H864" s="9">
        <v>45821.208333333336</v>
      </c>
      <c r="I864">
        <v>5.6140000000000001E-5</v>
      </c>
      <c r="J864" s="12">
        <v>96021912.290000007</v>
      </c>
      <c r="K864" s="12">
        <v>5967.76</v>
      </c>
      <c r="L864">
        <v>8.52</v>
      </c>
      <c r="M864">
        <v>-585.61</v>
      </c>
      <c r="N864" s="13">
        <v>-9.8100000000000007E-2</v>
      </c>
      <c r="O864" t="s">
        <v>38</v>
      </c>
      <c r="Q864">
        <f t="shared" si="222"/>
        <v>-577.09169286290057</v>
      </c>
      <c r="R864">
        <f t="shared" si="223"/>
        <v>-585.61169286290055</v>
      </c>
      <c r="S864">
        <f t="shared" si="224"/>
        <v>5390.6701559606008</v>
      </c>
      <c r="U864">
        <f t="shared" si="211"/>
        <v>26548672.566372</v>
      </c>
      <c r="V864">
        <f t="shared" si="225"/>
        <v>1650.00000000002</v>
      </c>
      <c r="W864">
        <f t="shared" si="212"/>
        <v>-159.55752212389586</v>
      </c>
      <c r="X864">
        <f t="shared" si="213"/>
        <v>3.1404424778761442</v>
      </c>
      <c r="Y864">
        <f t="shared" si="214"/>
        <v>-162.69796460177201</v>
      </c>
      <c r="Z864">
        <f t="shared" si="215"/>
        <v>31334.325593584384</v>
      </c>
      <c r="AB864">
        <f t="shared" si="216"/>
        <v>64776780.844924003</v>
      </c>
      <c r="AC864">
        <f t="shared" si="217"/>
        <v>4025.8769295120273</v>
      </c>
      <c r="AD864">
        <f t="shared" si="218"/>
        <v>-389.3084528779936</v>
      </c>
      <c r="AE864">
        <f t="shared" si="219"/>
        <v>7.6624454061460607</v>
      </c>
      <c r="AF864">
        <f t="shared" si="220"/>
        <v>-396.97089828413965</v>
      </c>
      <c r="AG864">
        <f t="shared" si="210"/>
        <v>39861.798396835948</v>
      </c>
      <c r="AH864" t="b">
        <f t="shared" si="221"/>
        <v>1</v>
      </c>
    </row>
    <row r="865" spans="4:34" hidden="1" x14ac:dyDescent="0.4">
      <c r="D865" t="s">
        <v>53</v>
      </c>
      <c r="E865" t="s">
        <v>37</v>
      </c>
      <c r="F865" s="9">
        <v>45819.208333333336</v>
      </c>
      <c r="G865">
        <v>670.74</v>
      </c>
      <c r="H865" s="9">
        <v>45821.208333333336</v>
      </c>
      <c r="I865">
        <v>649.80999999999995</v>
      </c>
      <c r="J865">
        <v>13.932</v>
      </c>
      <c r="K865" s="12">
        <v>9344.7800000000007</v>
      </c>
      <c r="L865">
        <v>13.8</v>
      </c>
      <c r="M865">
        <v>-305.39999999999998</v>
      </c>
      <c r="N865" s="13">
        <v>-3.27E-2</v>
      </c>
      <c r="O865" t="s">
        <v>38</v>
      </c>
      <c r="Q865">
        <f t="shared" si="222"/>
        <v>-291.59676000000087</v>
      </c>
      <c r="R865">
        <f t="shared" si="223"/>
        <v>-305.39676000000088</v>
      </c>
      <c r="S865">
        <f t="shared" si="224"/>
        <v>9053.1529199999986</v>
      </c>
      <c r="U865">
        <f t="shared" si="211"/>
        <v>2.4599700000000002</v>
      </c>
      <c r="V865">
        <f t="shared" si="225"/>
        <v>1650.0002778000003</v>
      </c>
      <c r="W865">
        <f t="shared" si="212"/>
        <v>-51.487172100000159</v>
      </c>
      <c r="X865">
        <f t="shared" si="213"/>
        <v>3.2485133835000002</v>
      </c>
      <c r="Y865">
        <f t="shared" si="214"/>
        <v>-54.735685483500156</v>
      </c>
      <c r="Z865">
        <f t="shared" si="215"/>
        <v>31497.023558186156</v>
      </c>
      <c r="AB865">
        <f t="shared" si="216"/>
        <v>6.0221200000000001</v>
      </c>
      <c r="AC865">
        <f t="shared" si="217"/>
        <v>4039.2767688000004</v>
      </c>
      <c r="AD865">
        <f t="shared" si="218"/>
        <v>-126.04297160000039</v>
      </c>
      <c r="AE865">
        <f t="shared" si="219"/>
        <v>7.9525105659999999</v>
      </c>
      <c r="AF865">
        <f t="shared" si="220"/>
        <v>-133.99548216600039</v>
      </c>
      <c r="AG865">
        <f t="shared" si="210"/>
        <v>40258.769295120088</v>
      </c>
      <c r="AH865" t="b">
        <f t="shared" si="221"/>
        <v>1</v>
      </c>
    </row>
    <row r="866" spans="4:34" hidden="1" x14ac:dyDescent="0.4">
      <c r="D866" t="s">
        <v>50</v>
      </c>
      <c r="E866" t="s">
        <v>37</v>
      </c>
      <c r="F866" s="9">
        <v>45819.166666666664</v>
      </c>
      <c r="G866">
        <v>423.5</v>
      </c>
      <c r="H866" s="9">
        <v>45821.166666666664</v>
      </c>
      <c r="I866">
        <v>364</v>
      </c>
      <c r="J866" s="12">
        <v>30.406099999999999</v>
      </c>
      <c r="K866" s="12">
        <v>12877.02</v>
      </c>
      <c r="L866">
        <v>17.96</v>
      </c>
      <c r="M866" s="12">
        <v>-1827.12</v>
      </c>
      <c r="N866" s="13">
        <v>-0.1419</v>
      </c>
      <c r="O866" t="s">
        <v>38</v>
      </c>
      <c r="Q866">
        <f t="shared" si="222"/>
        <v>-1809.1629499999999</v>
      </c>
      <c r="R866">
        <f t="shared" si="223"/>
        <v>-1827.1229499999999</v>
      </c>
      <c r="S866">
        <f t="shared" si="224"/>
        <v>11067.820399999999</v>
      </c>
      <c r="U866">
        <f t="shared" si="211"/>
        <v>3.8961039999999998</v>
      </c>
      <c r="V866">
        <f t="shared" si="225"/>
        <v>1650.0000439999999</v>
      </c>
      <c r="W866">
        <f t="shared" si="212"/>
        <v>-231.81818799999999</v>
      </c>
      <c r="X866">
        <f t="shared" si="213"/>
        <v>3.0681818999999999</v>
      </c>
      <c r="Y866">
        <f t="shared" si="214"/>
        <v>-234.88636990000001</v>
      </c>
      <c r="Z866">
        <f t="shared" si="215"/>
        <v>31551.759243669658</v>
      </c>
      <c r="AB866">
        <f t="shared" si="216"/>
        <v>9.6755800000000001</v>
      </c>
      <c r="AC866">
        <f t="shared" si="217"/>
        <v>4097.6081299999996</v>
      </c>
      <c r="AD866">
        <f t="shared" si="218"/>
        <v>-575.69700999999998</v>
      </c>
      <c r="AE866">
        <f t="shared" si="219"/>
        <v>7.6195192499999997</v>
      </c>
      <c r="AF866">
        <f t="shared" si="220"/>
        <v>-583.31652925000003</v>
      </c>
      <c r="AG866">
        <f t="shared" si="210"/>
        <v>40392.764777286087</v>
      </c>
      <c r="AH866" t="b">
        <f t="shared" si="221"/>
        <v>1</v>
      </c>
    </row>
    <row r="867" spans="4:34" hidden="1" x14ac:dyDescent="0.4">
      <c r="D867" t="s">
        <v>58</v>
      </c>
      <c r="E867" t="s">
        <v>37</v>
      </c>
      <c r="F867" s="9">
        <v>45818.333333333336</v>
      </c>
      <c r="G867" s="12">
        <v>14.51</v>
      </c>
      <c r="H867" s="9">
        <v>45820.333333333336</v>
      </c>
      <c r="I867" s="12">
        <v>14.53</v>
      </c>
      <c r="J867">
        <v>483.72</v>
      </c>
      <c r="K867" s="12">
        <v>7018.79</v>
      </c>
      <c r="L867">
        <v>10.54</v>
      </c>
      <c r="M867">
        <v>-0.86</v>
      </c>
      <c r="N867" s="13">
        <v>-1E-4</v>
      </c>
      <c r="O867" t="s">
        <v>38</v>
      </c>
      <c r="Q867">
        <f t="shared" si="222"/>
        <v>9.6743999999997943</v>
      </c>
      <c r="R867">
        <f t="shared" si="223"/>
        <v>-0.86560000000020487</v>
      </c>
      <c r="S867">
        <f t="shared" si="224"/>
        <v>7028.4516000000003</v>
      </c>
      <c r="U867">
        <f t="shared" si="211"/>
        <v>113.71468</v>
      </c>
      <c r="V867">
        <f t="shared" si="225"/>
        <v>1650.0000067999999</v>
      </c>
      <c r="W867">
        <f t="shared" si="212"/>
        <v>2.2742935999999516</v>
      </c>
      <c r="X867">
        <f t="shared" si="213"/>
        <v>3.3022743071999998</v>
      </c>
      <c r="Y867">
        <f t="shared" si="214"/>
        <v>-1.0279807072000482</v>
      </c>
      <c r="Z867">
        <f t="shared" si="215"/>
        <v>31786.645613569657</v>
      </c>
      <c r="AB867">
        <f t="shared" si="216"/>
        <v>282.41650099999998</v>
      </c>
      <c r="AC867">
        <f t="shared" si="217"/>
        <v>4097.8634295100001</v>
      </c>
      <c r="AD867">
        <f t="shared" si="218"/>
        <v>5.6483300199998796</v>
      </c>
      <c r="AE867">
        <f t="shared" si="219"/>
        <v>8.2013751890400002</v>
      </c>
      <c r="AF867">
        <f t="shared" si="220"/>
        <v>-2.5530451690401206</v>
      </c>
      <c r="AG867">
        <f t="shared" si="210"/>
        <v>40976.081306536085</v>
      </c>
      <c r="AH867" t="b">
        <f t="shared" si="221"/>
        <v>1</v>
      </c>
    </row>
    <row r="868" spans="4:34" hidden="1" x14ac:dyDescent="0.4">
      <c r="D868" t="s">
        <v>60</v>
      </c>
      <c r="E868" t="s">
        <v>37</v>
      </c>
      <c r="F868" s="9">
        <v>45817.666666666664</v>
      </c>
      <c r="G868">
        <v>2.2562000000000002</v>
      </c>
      <c r="H868" s="9">
        <v>45820.166666666664</v>
      </c>
      <c r="I868">
        <v>2.2494999999999998</v>
      </c>
      <c r="J868" s="12">
        <v>976.1</v>
      </c>
      <c r="K868" s="12">
        <v>2202.4</v>
      </c>
      <c r="L868">
        <v>3.3</v>
      </c>
      <c r="M868">
        <v>-9.84</v>
      </c>
      <c r="N868" s="13">
        <v>-4.4999999999999997E-3</v>
      </c>
      <c r="O868" t="s">
        <v>57</v>
      </c>
      <c r="Q868">
        <f t="shared" si="222"/>
        <v>-6.5398700000003638</v>
      </c>
      <c r="R868">
        <f t="shared" si="223"/>
        <v>-9.8398700000003636</v>
      </c>
      <c r="S868">
        <f t="shared" si="224"/>
        <v>2195.73695</v>
      </c>
      <c r="U868">
        <f t="shared" si="211"/>
        <v>731.31814599999996</v>
      </c>
      <c r="V868">
        <f t="shared" si="225"/>
        <v>1650.0000010052001</v>
      </c>
      <c r="W868">
        <f t="shared" si="212"/>
        <v>-4.8998315782002724</v>
      </c>
      <c r="X868">
        <f t="shared" si="213"/>
        <v>3.2951001704322</v>
      </c>
      <c r="Y868">
        <f t="shared" si="214"/>
        <v>-8.194931748632472</v>
      </c>
      <c r="Z868">
        <f t="shared" si="215"/>
        <v>31787.673594276857</v>
      </c>
      <c r="AB868">
        <f t="shared" si="216"/>
        <v>1817.170331</v>
      </c>
      <c r="AC868">
        <f t="shared" si="217"/>
        <v>4099.8997008022006</v>
      </c>
      <c r="AD868">
        <f t="shared" si="218"/>
        <v>-12.175041217700677</v>
      </c>
      <c r="AE868">
        <f t="shared" si="219"/>
        <v>8.1876243603867014</v>
      </c>
      <c r="AF868">
        <f t="shared" si="220"/>
        <v>-20.36266557808738</v>
      </c>
      <c r="AG868">
        <f t="shared" si="210"/>
        <v>40978.634351705128</v>
      </c>
      <c r="AH868" t="b">
        <f t="shared" si="221"/>
        <v>1</v>
      </c>
    </row>
    <row r="869" spans="4:34" hidden="1" x14ac:dyDescent="0.4">
      <c r="D869" t="s">
        <v>59</v>
      </c>
      <c r="E869" t="s">
        <v>37</v>
      </c>
      <c r="F869" s="9">
        <v>45817.666666666664</v>
      </c>
      <c r="G869" s="12">
        <v>107670</v>
      </c>
      <c r="H869" s="9">
        <v>45820.166666666664</v>
      </c>
      <c r="I869" s="12">
        <v>108426.02</v>
      </c>
      <c r="J869" s="12">
        <v>9.6680000000000002E-2</v>
      </c>
      <c r="K869" s="12">
        <v>10410.01</v>
      </c>
      <c r="L869">
        <v>15.67</v>
      </c>
      <c r="M869">
        <v>57.42</v>
      </c>
      <c r="N869" s="13">
        <v>5.4999999999999997E-3</v>
      </c>
      <c r="O869" t="s">
        <v>57</v>
      </c>
      <c r="Q869">
        <f t="shared" si="222"/>
        <v>73.092013600000399</v>
      </c>
      <c r="R869">
        <f t="shared" si="223"/>
        <v>57.422013600000398</v>
      </c>
      <c r="S869">
        <f t="shared" si="224"/>
        <v>10482.627613600001</v>
      </c>
      <c r="U869">
        <f t="shared" si="211"/>
        <v>1.5325E-2</v>
      </c>
      <c r="V869">
        <f t="shared" si="225"/>
        <v>1650.0427500000001</v>
      </c>
      <c r="W869">
        <f t="shared" si="212"/>
        <v>11.586006500000062</v>
      </c>
      <c r="X869">
        <f t="shared" si="213"/>
        <v>3.3116715065000002</v>
      </c>
      <c r="Y869">
        <f t="shared" si="214"/>
        <v>8.2743349935000623</v>
      </c>
      <c r="Z869">
        <f t="shared" si="215"/>
        <v>31795.86852602549</v>
      </c>
      <c r="AB869">
        <f t="shared" si="216"/>
        <v>3.8059000000000003E-2</v>
      </c>
      <c r="AC869">
        <f t="shared" si="217"/>
        <v>4097.8125300000002</v>
      </c>
      <c r="AD869">
        <f t="shared" si="218"/>
        <v>28.773365180000155</v>
      </c>
      <c r="AE869">
        <f t="shared" si="219"/>
        <v>8.2243984251800004</v>
      </c>
      <c r="AF869">
        <f t="shared" si="220"/>
        <v>20.548966754820157</v>
      </c>
      <c r="AG869">
        <f t="shared" si="210"/>
        <v>40998.997017283218</v>
      </c>
      <c r="AH869" t="b">
        <f t="shared" si="221"/>
        <v>1</v>
      </c>
    </row>
    <row r="870" spans="4:34" hidden="1" x14ac:dyDescent="0.4">
      <c r="D870" t="s">
        <v>56</v>
      </c>
      <c r="E870" t="s">
        <v>37</v>
      </c>
      <c r="F870" s="9">
        <v>45817.333333333336</v>
      </c>
      <c r="G870" s="12">
        <v>2494.81</v>
      </c>
      <c r="H870" s="9">
        <v>45819.833333333336</v>
      </c>
      <c r="I870" s="12">
        <v>2822.61</v>
      </c>
      <c r="J870">
        <v>2.1469</v>
      </c>
      <c r="K870" s="12">
        <v>5356.21</v>
      </c>
      <c r="L870">
        <v>8.56</v>
      </c>
      <c r="M870">
        <v>695.19</v>
      </c>
      <c r="N870" s="13">
        <v>0.1298</v>
      </c>
      <c r="O870" t="s">
        <v>57</v>
      </c>
      <c r="Q870">
        <f t="shared" si="222"/>
        <v>703.75382000000036</v>
      </c>
      <c r="R870">
        <f t="shared" si="223"/>
        <v>695.19382000000041</v>
      </c>
      <c r="S870">
        <f t="shared" si="224"/>
        <v>6059.8614090000001</v>
      </c>
      <c r="U870">
        <f t="shared" si="211"/>
        <v>0.66137299999999999</v>
      </c>
      <c r="V870">
        <f t="shared" si="225"/>
        <v>1649.9999741299998</v>
      </c>
      <c r="W870">
        <f t="shared" si="212"/>
        <v>216.79806940000012</v>
      </c>
      <c r="X870">
        <f t="shared" si="213"/>
        <v>3.5167980176600002</v>
      </c>
      <c r="Y870">
        <f t="shared" si="214"/>
        <v>213.28127138234012</v>
      </c>
      <c r="Z870">
        <f t="shared" si="215"/>
        <v>31787.594191031989</v>
      </c>
      <c r="AB870">
        <f t="shared" si="216"/>
        <v>1.6215869999999999</v>
      </c>
      <c r="AC870">
        <f t="shared" si="217"/>
        <v>4045.5514634699998</v>
      </c>
      <c r="AD870">
        <f t="shared" si="218"/>
        <v>531.55621860000031</v>
      </c>
      <c r="AE870">
        <f t="shared" si="219"/>
        <v>8.6226591455400001</v>
      </c>
      <c r="AF870">
        <f t="shared" si="220"/>
        <v>522.93355945446035</v>
      </c>
      <c r="AG870">
        <f t="shared" si="210"/>
        <v>40978.448050528401</v>
      </c>
      <c r="AH870" t="b">
        <f t="shared" si="221"/>
        <v>1</v>
      </c>
    </row>
    <row r="871" spans="4:34" hidden="1" x14ac:dyDescent="0.4">
      <c r="D871" t="s">
        <v>48</v>
      </c>
      <c r="E871" t="s">
        <v>37</v>
      </c>
      <c r="F871" s="9">
        <v>45817.416666666664</v>
      </c>
      <c r="G871">
        <v>0.1244</v>
      </c>
      <c r="H871" s="9">
        <v>45819.416666666664</v>
      </c>
      <c r="I871">
        <v>0.13550000000000001</v>
      </c>
      <c r="J871" s="12">
        <v>23971.4</v>
      </c>
      <c r="K871" s="12">
        <v>2982.05</v>
      </c>
      <c r="L871">
        <v>4.67</v>
      </c>
      <c r="M871">
        <v>261.41000000000003</v>
      </c>
      <c r="N871" s="13">
        <v>8.77E-2</v>
      </c>
      <c r="O871" t="s">
        <v>38</v>
      </c>
      <c r="Q871">
        <f t="shared" si="222"/>
        <v>266.08254000000034</v>
      </c>
      <c r="R871">
        <f t="shared" si="223"/>
        <v>261.41254000000032</v>
      </c>
      <c r="S871">
        <f t="shared" si="224"/>
        <v>3248.1247000000003</v>
      </c>
      <c r="U871">
        <f t="shared" si="211"/>
        <v>13263.665595</v>
      </c>
      <c r="V871">
        <f t="shared" si="225"/>
        <v>1650.000000018</v>
      </c>
      <c r="W871">
        <f t="shared" si="212"/>
        <v>147.22668810450017</v>
      </c>
      <c r="X871">
        <f t="shared" si="213"/>
        <v>3.4472266881405007</v>
      </c>
      <c r="Y871">
        <f t="shared" si="214"/>
        <v>143.77946141635968</v>
      </c>
      <c r="Z871">
        <f t="shared" si="215"/>
        <v>31574.312919649648</v>
      </c>
      <c r="AB871">
        <f t="shared" si="216"/>
        <v>32239.577369999999</v>
      </c>
      <c r="AC871">
        <f t="shared" si="217"/>
        <v>4010.6034248279998</v>
      </c>
      <c r="AD871">
        <f t="shared" si="218"/>
        <v>357.85930880700039</v>
      </c>
      <c r="AE871">
        <f t="shared" si="219"/>
        <v>8.3790661584630008</v>
      </c>
      <c r="AF871">
        <f t="shared" si="220"/>
        <v>349.4802426485374</v>
      </c>
      <c r="AG871">
        <f t="shared" si="210"/>
        <v>40455.51449107394</v>
      </c>
      <c r="AH871" t="b">
        <f t="shared" si="221"/>
        <v>1</v>
      </c>
    </row>
    <row r="872" spans="4:34" hidden="1" x14ac:dyDescent="0.4">
      <c r="D872" t="s">
        <v>43</v>
      </c>
      <c r="E872" t="s">
        <v>37</v>
      </c>
      <c r="F872" s="9">
        <v>45817.333333333336</v>
      </c>
      <c r="G872">
        <v>3.2084000000000001</v>
      </c>
      <c r="H872" s="9">
        <v>45819.333333333336</v>
      </c>
      <c r="I872">
        <v>3.5148000000000001</v>
      </c>
      <c r="J872">
        <v>567.9</v>
      </c>
      <c r="K872" s="12">
        <v>1822.06</v>
      </c>
      <c r="L872">
        <v>2.86</v>
      </c>
      <c r="M872">
        <v>171.14</v>
      </c>
      <c r="N872" s="13">
        <v>9.3899999999999997E-2</v>
      </c>
      <c r="O872" t="s">
        <v>38</v>
      </c>
      <c r="Q872">
        <f t="shared" si="222"/>
        <v>174.00456</v>
      </c>
      <c r="R872">
        <f t="shared" si="223"/>
        <v>171.14455999999998</v>
      </c>
      <c r="S872">
        <f t="shared" si="224"/>
        <v>1996.05492</v>
      </c>
      <c r="U872">
        <f t="shared" si="211"/>
        <v>514.27502800000002</v>
      </c>
      <c r="V872">
        <f t="shared" si="225"/>
        <v>1649.9999998352002</v>
      </c>
      <c r="W872">
        <f t="shared" si="212"/>
        <v>157.5738685792</v>
      </c>
      <c r="X872">
        <f t="shared" si="213"/>
        <v>3.4575738682496002</v>
      </c>
      <c r="Y872">
        <f t="shared" si="214"/>
        <v>154.1162947109504</v>
      </c>
      <c r="Z872">
        <f t="shared" si="215"/>
        <v>31430.533458233287</v>
      </c>
      <c r="AB872">
        <f t="shared" si="216"/>
        <v>1238.4645049999999</v>
      </c>
      <c r="AC872">
        <f t="shared" si="217"/>
        <v>3973.4895178419997</v>
      </c>
      <c r="AD872">
        <f t="shared" si="218"/>
        <v>379.46552433199997</v>
      </c>
      <c r="AE872">
        <f t="shared" si="219"/>
        <v>8.3264445600160002</v>
      </c>
      <c r="AF872">
        <f t="shared" si="220"/>
        <v>371.13907977198397</v>
      </c>
      <c r="AG872">
        <f t="shared" si="210"/>
        <v>40106.0342484254</v>
      </c>
      <c r="AH872" t="b">
        <f t="shared" si="221"/>
        <v>1</v>
      </c>
    </row>
    <row r="873" spans="4:34" hidden="1" x14ac:dyDescent="0.4">
      <c r="D873" t="s">
        <v>54</v>
      </c>
      <c r="E873" t="s">
        <v>37</v>
      </c>
      <c r="F873" s="9">
        <v>45817.333333333336</v>
      </c>
      <c r="G873">
        <v>151</v>
      </c>
      <c r="H873" s="9">
        <v>45819.333333333336</v>
      </c>
      <c r="I873">
        <v>165.98</v>
      </c>
      <c r="J873">
        <v>31.85</v>
      </c>
      <c r="K873" s="12">
        <v>4809.46</v>
      </c>
      <c r="L873">
        <v>7.57</v>
      </c>
      <c r="M873" s="12">
        <v>469.54</v>
      </c>
      <c r="N873" s="13">
        <v>9.7600000000000006E-2</v>
      </c>
      <c r="O873" t="s">
        <v>38</v>
      </c>
      <c r="Q873">
        <f t="shared" si="222"/>
        <v>477.11299999999972</v>
      </c>
      <c r="R873">
        <f t="shared" si="223"/>
        <v>469.54299999999972</v>
      </c>
      <c r="S873">
        <f t="shared" si="224"/>
        <v>5286.4629999999997</v>
      </c>
      <c r="U873">
        <f t="shared" si="211"/>
        <v>10.927152</v>
      </c>
      <c r="V873">
        <f t="shared" si="225"/>
        <v>1649.9999519999999</v>
      </c>
      <c r="W873">
        <f t="shared" si="212"/>
        <v>163.68873695999989</v>
      </c>
      <c r="X873">
        <f t="shared" si="213"/>
        <v>3.4636886409600001</v>
      </c>
      <c r="Y873">
        <f t="shared" si="214"/>
        <v>160.2250483190399</v>
      </c>
      <c r="Z873">
        <f t="shared" si="215"/>
        <v>31276.417163522336</v>
      </c>
      <c r="AB873">
        <f t="shared" si="216"/>
        <v>26.061427999999999</v>
      </c>
      <c r="AC873">
        <f t="shared" si="217"/>
        <v>3935.2756279999999</v>
      </c>
      <c r="AD873">
        <f t="shared" si="218"/>
        <v>390.40019143999973</v>
      </c>
      <c r="AE873">
        <f t="shared" si="219"/>
        <v>8.2609514474400001</v>
      </c>
      <c r="AF873">
        <f t="shared" si="220"/>
        <v>382.13923999255974</v>
      </c>
      <c r="AG873">
        <f t="shared" si="210"/>
        <v>39734.895168653413</v>
      </c>
      <c r="AH873" t="b">
        <f t="shared" si="221"/>
        <v>1</v>
      </c>
    </row>
    <row r="874" spans="4:34" hidden="1" x14ac:dyDescent="0.4">
      <c r="D874" t="s">
        <v>61</v>
      </c>
      <c r="E874" t="s">
        <v>37</v>
      </c>
      <c r="F874" s="9">
        <v>45817.333333333336</v>
      </c>
      <c r="G874">
        <v>0.66420000000000001</v>
      </c>
      <c r="H874" s="9">
        <v>45819.333333333336</v>
      </c>
      <c r="I874">
        <v>0.72689999999999999</v>
      </c>
      <c r="J874" s="12">
        <v>12306</v>
      </c>
      <c r="K874" s="12">
        <v>8173.65</v>
      </c>
      <c r="L874">
        <v>12.84</v>
      </c>
      <c r="M874">
        <v>758.75</v>
      </c>
      <c r="N874" s="13">
        <v>9.2799999999999994E-2</v>
      </c>
      <c r="O874" t="s">
        <v>38</v>
      </c>
      <c r="Q874">
        <f t="shared" si="222"/>
        <v>771.58619999999974</v>
      </c>
      <c r="R874">
        <f t="shared" si="223"/>
        <v>758.7461999999997</v>
      </c>
      <c r="S874">
        <f t="shared" si="224"/>
        <v>8945.2314000000006</v>
      </c>
      <c r="U874">
        <f t="shared" si="211"/>
        <v>2484.1915090000002</v>
      </c>
      <c r="V874">
        <f t="shared" si="225"/>
        <v>1650.0000002778002</v>
      </c>
      <c r="W874">
        <f t="shared" si="212"/>
        <v>155.75880761429997</v>
      </c>
      <c r="X874">
        <f t="shared" si="213"/>
        <v>3.4557588081699002</v>
      </c>
      <c r="Y874">
        <f t="shared" si="214"/>
        <v>152.30304880613008</v>
      </c>
      <c r="Z874">
        <f t="shared" si="215"/>
        <v>31116.192115203296</v>
      </c>
      <c r="AB874">
        <f t="shared" si="216"/>
        <v>5870.64635</v>
      </c>
      <c r="AC874">
        <f t="shared" si="217"/>
        <v>3899.2833056700001</v>
      </c>
      <c r="AD874">
        <f t="shared" si="218"/>
        <v>368.08952614499987</v>
      </c>
      <c r="AE874">
        <f t="shared" si="219"/>
        <v>8.1666561374849991</v>
      </c>
      <c r="AF874">
        <f t="shared" si="220"/>
        <v>359.92287000751486</v>
      </c>
      <c r="AG874">
        <f t="shared" ref="AG874:AG937" si="226">AG875*AH874 + (1-AH874)*AI874+AF874</f>
        <v>39352.755928660852</v>
      </c>
      <c r="AH874" t="b">
        <f t="shared" si="221"/>
        <v>1</v>
      </c>
    </row>
    <row r="875" spans="4:34" hidden="1" x14ac:dyDescent="0.4">
      <c r="D875" t="s">
        <v>52</v>
      </c>
      <c r="E875" t="s">
        <v>37</v>
      </c>
      <c r="F875" s="9">
        <v>45817.208333333336</v>
      </c>
      <c r="G875">
        <v>5.6120000000000001</v>
      </c>
      <c r="H875" s="9">
        <v>45819.208333333336</v>
      </c>
      <c r="I875">
        <v>6.2009999999999996</v>
      </c>
      <c r="J875">
        <v>421.11</v>
      </c>
      <c r="K875" s="12">
        <v>2363.3000000000002</v>
      </c>
      <c r="L875">
        <v>3.73</v>
      </c>
      <c r="M875">
        <v>244.3</v>
      </c>
      <c r="N875" s="13">
        <v>0.10340000000000001</v>
      </c>
      <c r="O875" t="s">
        <v>38</v>
      </c>
      <c r="Q875">
        <f t="shared" si="222"/>
        <v>248.03378999999981</v>
      </c>
      <c r="R875">
        <f t="shared" si="223"/>
        <v>244.30378999999982</v>
      </c>
      <c r="S875">
        <f t="shared" si="224"/>
        <v>2611.3031099999998</v>
      </c>
      <c r="U875">
        <f t="shared" si="211"/>
        <v>294.01283000000001</v>
      </c>
      <c r="V875">
        <f t="shared" si="225"/>
        <v>1650.00000196</v>
      </c>
      <c r="W875">
        <f t="shared" si="212"/>
        <v>173.17355686999986</v>
      </c>
      <c r="X875">
        <f t="shared" si="213"/>
        <v>3.4731735607899998</v>
      </c>
      <c r="Y875">
        <f t="shared" si="214"/>
        <v>169.70038330920985</v>
      </c>
      <c r="Z875">
        <f t="shared" si="215"/>
        <v>30963.889066397165</v>
      </c>
      <c r="AB875">
        <f t="shared" si="216"/>
        <v>687.73840700000005</v>
      </c>
      <c r="AC875">
        <f t="shared" si="217"/>
        <v>3859.5879400840004</v>
      </c>
      <c r="AD875">
        <f t="shared" si="218"/>
        <v>405.07792172299969</v>
      </c>
      <c r="AE875">
        <f t="shared" si="219"/>
        <v>8.1242538018909993</v>
      </c>
      <c r="AF875">
        <f t="shared" si="220"/>
        <v>396.95366792110872</v>
      </c>
      <c r="AG875">
        <f t="shared" si="226"/>
        <v>38992.833058653334</v>
      </c>
      <c r="AH875" t="b">
        <f t="shared" si="221"/>
        <v>1</v>
      </c>
    </row>
    <row r="876" spans="4:34" hidden="1" x14ac:dyDescent="0.4">
      <c r="D876" t="s">
        <v>53</v>
      </c>
      <c r="E876" t="s">
        <v>37</v>
      </c>
      <c r="F876" s="9">
        <v>45817.208333333336</v>
      </c>
      <c r="G876">
        <v>651.99</v>
      </c>
      <c r="H876" s="9">
        <v>45819.208333333336</v>
      </c>
      <c r="I876">
        <v>670.74</v>
      </c>
      <c r="J876">
        <v>14.292999999999999</v>
      </c>
      <c r="K876" s="12">
        <v>9319.4</v>
      </c>
      <c r="L876">
        <v>14.18</v>
      </c>
      <c r="M876">
        <v>253.81</v>
      </c>
      <c r="N876" s="13">
        <v>2.7199999999999998E-2</v>
      </c>
      <c r="O876" t="s">
        <v>38</v>
      </c>
      <c r="Q876">
        <f t="shared" si="222"/>
        <v>267.99374999999998</v>
      </c>
      <c r="R876">
        <f t="shared" si="223"/>
        <v>253.81374999999997</v>
      </c>
      <c r="S876">
        <f t="shared" si="224"/>
        <v>9586.8868199999997</v>
      </c>
      <c r="U876">
        <f t="shared" si="211"/>
        <v>2.5307140000000001</v>
      </c>
      <c r="V876">
        <f t="shared" si="225"/>
        <v>1650.0002208600001</v>
      </c>
      <c r="W876">
        <f t="shared" si="212"/>
        <v>47.4508875</v>
      </c>
      <c r="X876">
        <f t="shared" si="213"/>
        <v>3.3474513292200001</v>
      </c>
      <c r="Y876">
        <f t="shared" si="214"/>
        <v>44.10343617078</v>
      </c>
      <c r="Z876">
        <f t="shared" si="215"/>
        <v>30794.188683087956</v>
      </c>
      <c r="AB876">
        <f t="shared" si="216"/>
        <v>5.9039229999999998</v>
      </c>
      <c r="AC876">
        <f t="shared" si="217"/>
        <v>3849.2987567699997</v>
      </c>
      <c r="AD876">
        <f t="shared" si="218"/>
        <v>110.69855625</v>
      </c>
      <c r="AE876">
        <f t="shared" si="219"/>
        <v>7.8092960697899994</v>
      </c>
      <c r="AF876">
        <f t="shared" si="220"/>
        <v>102.88926018021</v>
      </c>
      <c r="AG876">
        <f t="shared" si="226"/>
        <v>38595.879390732225</v>
      </c>
      <c r="AH876" t="b">
        <f t="shared" si="221"/>
        <v>1</v>
      </c>
    </row>
    <row r="877" spans="4:34" hidden="1" x14ac:dyDescent="0.4">
      <c r="D877" t="s">
        <v>50</v>
      </c>
      <c r="E877" t="s">
        <v>37</v>
      </c>
      <c r="F877" s="9">
        <v>45817.125</v>
      </c>
      <c r="G877">
        <v>384.8</v>
      </c>
      <c r="H877" s="9">
        <v>45819.125</v>
      </c>
      <c r="I877">
        <v>421.6</v>
      </c>
      <c r="J877" s="12">
        <v>33.152299999999997</v>
      </c>
      <c r="K877" s="12">
        <v>12757.02</v>
      </c>
      <c r="L877">
        <v>20.05</v>
      </c>
      <c r="M877" s="12">
        <v>1199.95</v>
      </c>
      <c r="N877" s="13">
        <v>9.4100000000000003E-2</v>
      </c>
      <c r="O877" t="s">
        <v>38</v>
      </c>
      <c r="Q877">
        <f t="shared" si="222"/>
        <v>1220.0046400000003</v>
      </c>
      <c r="R877">
        <f t="shared" si="223"/>
        <v>1199.9546400000004</v>
      </c>
      <c r="S877">
        <f t="shared" si="224"/>
        <v>13977.009679999999</v>
      </c>
      <c r="U877">
        <f t="shared" si="211"/>
        <v>4.2879420000000001</v>
      </c>
      <c r="V877">
        <f t="shared" si="225"/>
        <v>1650.0000816000002</v>
      </c>
      <c r="W877">
        <f t="shared" si="212"/>
        <v>157.79626560000005</v>
      </c>
      <c r="X877">
        <f t="shared" si="213"/>
        <v>3.4577964288000005</v>
      </c>
      <c r="Y877">
        <f t="shared" si="214"/>
        <v>154.33846917120005</v>
      </c>
      <c r="Z877">
        <f t="shared" si="215"/>
        <v>30750.085246917177</v>
      </c>
      <c r="AB877">
        <f t="shared" si="216"/>
        <v>9.9106729999999992</v>
      </c>
      <c r="AC877">
        <f t="shared" si="217"/>
        <v>3813.6269703999997</v>
      </c>
      <c r="AD877">
        <f t="shared" si="218"/>
        <v>364.71276640000008</v>
      </c>
      <c r="AE877">
        <f t="shared" si="219"/>
        <v>7.9919667072000005</v>
      </c>
      <c r="AF877">
        <f t="shared" si="220"/>
        <v>356.72079969280009</v>
      </c>
      <c r="AG877">
        <f t="shared" si="226"/>
        <v>38492.990130552018</v>
      </c>
      <c r="AH877" t="b">
        <f t="shared" si="221"/>
        <v>1</v>
      </c>
    </row>
    <row r="878" spans="4:34" hidden="1" x14ac:dyDescent="0.4">
      <c r="D878" t="s">
        <v>55</v>
      </c>
      <c r="E878" t="s">
        <v>37</v>
      </c>
      <c r="F878" s="9">
        <v>45817.083333333336</v>
      </c>
      <c r="G878" s="12">
        <v>5.9200000000000002E-5</v>
      </c>
      <c r="H878" s="9">
        <v>45819.083333333336</v>
      </c>
      <c r="I878" s="12">
        <v>6.2020000000000006E-5</v>
      </c>
      <c r="J878" s="12">
        <v>100344207.13</v>
      </c>
      <c r="K878" s="12">
        <v>5940.38</v>
      </c>
      <c r="L878">
        <v>9.1199999999999992</v>
      </c>
      <c r="M878">
        <v>273.85000000000002</v>
      </c>
      <c r="N878" s="13">
        <v>4.6100000000000002E-2</v>
      </c>
      <c r="O878" t="s">
        <v>38</v>
      </c>
      <c r="Q878">
        <f t="shared" si="222"/>
        <v>282.97066410660034</v>
      </c>
      <c r="R878">
        <f t="shared" si="223"/>
        <v>273.85066410660033</v>
      </c>
      <c r="S878">
        <f t="shared" si="224"/>
        <v>6223.3477262025999</v>
      </c>
      <c r="U878">
        <f t="shared" si="211"/>
        <v>27871621.621622</v>
      </c>
      <c r="V878">
        <f t="shared" si="225"/>
        <v>1650.0000000000225</v>
      </c>
      <c r="W878">
        <f t="shared" si="212"/>
        <v>78.597972972974134</v>
      </c>
      <c r="X878">
        <f t="shared" si="213"/>
        <v>3.3785979729730196</v>
      </c>
      <c r="Y878">
        <f t="shared" si="214"/>
        <v>75.219375000001108</v>
      </c>
      <c r="Z878">
        <f t="shared" si="215"/>
        <v>30595.746777745975</v>
      </c>
      <c r="AB878">
        <f t="shared" si="216"/>
        <v>64127034.750027999</v>
      </c>
      <c r="AC878">
        <f t="shared" si="217"/>
        <v>3796.3204572016575</v>
      </c>
      <c r="AD878">
        <f t="shared" si="218"/>
        <v>180.83823799507917</v>
      </c>
      <c r="AE878">
        <f t="shared" si="219"/>
        <v>7.7734791523983953</v>
      </c>
      <c r="AF878">
        <f t="shared" si="220"/>
        <v>173.06475884268076</v>
      </c>
      <c r="AG878">
        <f t="shared" si="226"/>
        <v>38136.269330859221</v>
      </c>
      <c r="AH878" t="b">
        <f t="shared" si="221"/>
        <v>1</v>
      </c>
    </row>
    <row r="879" spans="4:34" hidden="1" x14ac:dyDescent="0.4">
      <c r="D879" t="s">
        <v>58</v>
      </c>
      <c r="E879" t="s">
        <v>37</v>
      </c>
      <c r="F879" s="9">
        <v>45816</v>
      </c>
      <c r="G879">
        <v>13.89</v>
      </c>
      <c r="H879" s="9">
        <v>45818</v>
      </c>
      <c r="I879">
        <v>14.38</v>
      </c>
      <c r="J879" s="12">
        <v>503.61</v>
      </c>
      <c r="K879" s="12">
        <v>6995.18</v>
      </c>
      <c r="L879">
        <v>10.68</v>
      </c>
      <c r="M879">
        <v>236.09</v>
      </c>
      <c r="N879" s="13">
        <v>3.3799999999999997E-2</v>
      </c>
      <c r="O879" t="s">
        <v>38</v>
      </c>
      <c r="Q879">
        <f t="shared" si="222"/>
        <v>246.76890000000012</v>
      </c>
      <c r="R879">
        <f t="shared" si="223"/>
        <v>236.08890000000011</v>
      </c>
      <c r="S879">
        <f t="shared" si="224"/>
        <v>7241.9118000000008</v>
      </c>
      <c r="U879">
        <f t="shared" si="211"/>
        <v>118.790497</v>
      </c>
      <c r="V879">
        <f t="shared" si="225"/>
        <v>1650.00000333</v>
      </c>
      <c r="W879">
        <f t="shared" si="212"/>
        <v>58.207343530000024</v>
      </c>
      <c r="X879">
        <f t="shared" si="213"/>
        <v>3.3582073501900003</v>
      </c>
      <c r="Y879">
        <f t="shared" si="214"/>
        <v>54.849136179810024</v>
      </c>
      <c r="Z879">
        <f t="shared" si="215"/>
        <v>30520.527402745975</v>
      </c>
      <c r="AB879">
        <f t="shared" si="216"/>
        <v>272.40767299999999</v>
      </c>
      <c r="AC879">
        <f t="shared" si="217"/>
        <v>3783.7425779700002</v>
      </c>
      <c r="AD879">
        <f t="shared" si="218"/>
        <v>133.47975977000004</v>
      </c>
      <c r="AE879">
        <f t="shared" si="219"/>
        <v>7.7009649157100002</v>
      </c>
      <c r="AF879">
        <f t="shared" si="220"/>
        <v>125.77879485429004</v>
      </c>
      <c r="AG879">
        <f t="shared" si="226"/>
        <v>37963.204572016541</v>
      </c>
      <c r="AH879" t="b">
        <f t="shared" si="221"/>
        <v>1</v>
      </c>
    </row>
    <row r="880" spans="4:34" hidden="1" x14ac:dyDescent="0.4">
      <c r="D880" t="s">
        <v>60</v>
      </c>
      <c r="E880" t="s">
        <v>37</v>
      </c>
      <c r="F880" s="9">
        <v>45815.083333333336</v>
      </c>
      <c r="G880">
        <v>2.1709999999999998</v>
      </c>
      <c r="H880" s="9">
        <v>45817.583333333336</v>
      </c>
      <c r="I880">
        <v>2.2686999999999999</v>
      </c>
      <c r="J880" s="12">
        <v>1010</v>
      </c>
      <c r="K880" s="12">
        <v>2192.87</v>
      </c>
      <c r="L880">
        <v>3.36</v>
      </c>
      <c r="M880">
        <v>95.31</v>
      </c>
      <c r="N880" s="13">
        <v>4.3499999999999997E-2</v>
      </c>
      <c r="O880" t="s">
        <v>57</v>
      </c>
      <c r="Q880">
        <f t="shared" si="222"/>
        <v>98.67700000000012</v>
      </c>
      <c r="R880">
        <f t="shared" si="223"/>
        <v>95.317000000000121</v>
      </c>
      <c r="S880">
        <f t="shared" si="224"/>
        <v>2291.3869999999997</v>
      </c>
      <c r="U880">
        <f t="shared" si="211"/>
        <v>760.01842499999998</v>
      </c>
      <c r="V880">
        <f t="shared" si="225"/>
        <v>1650.0000006749999</v>
      </c>
      <c r="W880">
        <f t="shared" si="212"/>
        <v>74.253800122500095</v>
      </c>
      <c r="X880">
        <f t="shared" si="213"/>
        <v>3.3742538014725003</v>
      </c>
      <c r="Y880">
        <f t="shared" si="214"/>
        <v>70.87954632102759</v>
      </c>
      <c r="Z880">
        <f t="shared" si="215"/>
        <v>30465.678266566163</v>
      </c>
      <c r="AB880">
        <f t="shared" si="216"/>
        <v>1735.4021949999999</v>
      </c>
      <c r="AC880">
        <f t="shared" si="217"/>
        <v>3767.5581653449995</v>
      </c>
      <c r="AD880">
        <f t="shared" si="218"/>
        <v>169.54879445150019</v>
      </c>
      <c r="AE880">
        <f t="shared" si="219"/>
        <v>7.7046651251415001</v>
      </c>
      <c r="AF880">
        <f t="shared" si="220"/>
        <v>161.84412932635868</v>
      </c>
      <c r="AG880">
        <f t="shared" si="226"/>
        <v>37837.425777162251</v>
      </c>
      <c r="AH880" t="b">
        <f t="shared" si="221"/>
        <v>1</v>
      </c>
    </row>
    <row r="881" spans="4:34" hidden="1" x14ac:dyDescent="0.4">
      <c r="D881" t="s">
        <v>59</v>
      </c>
      <c r="E881" t="s">
        <v>37</v>
      </c>
      <c r="F881" s="9">
        <v>45815</v>
      </c>
      <c r="G881" s="12">
        <v>104574</v>
      </c>
      <c r="H881" s="9">
        <v>45817.5</v>
      </c>
      <c r="I881" s="12">
        <v>107251.9</v>
      </c>
      <c r="J881">
        <v>9.9299999999999999E-2</v>
      </c>
      <c r="K881" s="12">
        <v>10384.99</v>
      </c>
      <c r="L881">
        <v>15.78</v>
      </c>
      <c r="M881">
        <v>250.14</v>
      </c>
      <c r="N881" s="13">
        <v>2.41E-2</v>
      </c>
      <c r="O881" t="s">
        <v>57</v>
      </c>
      <c r="Q881">
        <f t="shared" si="222"/>
        <v>265.9154699999994</v>
      </c>
      <c r="R881">
        <f t="shared" si="223"/>
        <v>250.1354699999994</v>
      </c>
      <c r="S881">
        <f t="shared" si="224"/>
        <v>10650.113669999999</v>
      </c>
      <c r="U881">
        <f t="shared" si="211"/>
        <v>1.5778E-2</v>
      </c>
      <c r="V881">
        <f t="shared" si="225"/>
        <v>1649.968572</v>
      </c>
      <c r="W881">
        <f t="shared" si="212"/>
        <v>42.251906199999908</v>
      </c>
      <c r="X881">
        <f t="shared" si="213"/>
        <v>3.3421890502</v>
      </c>
      <c r="Y881">
        <f t="shared" si="214"/>
        <v>38.90971714979991</v>
      </c>
      <c r="Z881">
        <f t="shared" si="215"/>
        <v>30394.798720245137</v>
      </c>
      <c r="AB881">
        <f t="shared" si="216"/>
        <v>3.5943000000000003E-2</v>
      </c>
      <c r="AC881">
        <f t="shared" si="217"/>
        <v>3758.7032820000004</v>
      </c>
      <c r="AD881">
        <f t="shared" si="218"/>
        <v>96.251759699999795</v>
      </c>
      <c r="AE881">
        <f t="shared" si="219"/>
        <v>7.6136583237000002</v>
      </c>
      <c r="AF881">
        <f t="shared" si="220"/>
        <v>88.638101376299801</v>
      </c>
      <c r="AG881">
        <f t="shared" si="226"/>
        <v>37675.58164783589</v>
      </c>
      <c r="AH881" t="b">
        <f t="shared" si="221"/>
        <v>1</v>
      </c>
    </row>
    <row r="882" spans="4:34" hidden="1" x14ac:dyDescent="0.4">
      <c r="D882" t="s">
        <v>56</v>
      </c>
      <c r="E882" t="s">
        <v>37</v>
      </c>
      <c r="F882" s="9">
        <v>45815.833333333336</v>
      </c>
      <c r="G882" s="12">
        <v>2518.1</v>
      </c>
      <c r="H882" s="9">
        <v>45817.208333333336</v>
      </c>
      <c r="I882" s="12">
        <v>2485.89</v>
      </c>
      <c r="J882">
        <v>2.1301000000000001</v>
      </c>
      <c r="K882" s="12">
        <v>5363.87</v>
      </c>
      <c r="L882">
        <v>7.99</v>
      </c>
      <c r="M882">
        <v>-76.599999999999994</v>
      </c>
      <c r="N882" s="13">
        <v>-1.43E-2</v>
      </c>
      <c r="O882" t="s">
        <v>49</v>
      </c>
      <c r="Q882">
        <f t="shared" si="222"/>
        <v>-68.610521000000077</v>
      </c>
      <c r="R882">
        <f t="shared" si="223"/>
        <v>-76.600521000000072</v>
      </c>
      <c r="S882">
        <f t="shared" si="224"/>
        <v>5295.194289</v>
      </c>
      <c r="U882">
        <f t="shared" si="211"/>
        <v>0.65525599999999995</v>
      </c>
      <c r="V882">
        <f t="shared" si="225"/>
        <v>1650.0001335999998</v>
      </c>
      <c r="W882">
        <f t="shared" si="212"/>
        <v>-21.105795760000021</v>
      </c>
      <c r="X882">
        <f t="shared" si="213"/>
        <v>3.2788944714399997</v>
      </c>
      <c r="Y882">
        <f t="shared" si="214"/>
        <v>-24.384690231440022</v>
      </c>
      <c r="Z882">
        <f t="shared" si="215"/>
        <v>30355.889003095337</v>
      </c>
      <c r="AB882">
        <f t="shared" si="216"/>
        <v>1.49488</v>
      </c>
      <c r="AC882">
        <f t="shared" si="217"/>
        <v>3764.2573279999997</v>
      </c>
      <c r="AD882">
        <f t="shared" si="218"/>
        <v>-48.150084800000052</v>
      </c>
      <c r="AE882">
        <f t="shared" si="219"/>
        <v>7.4803645712</v>
      </c>
      <c r="AF882">
        <f t="shared" si="220"/>
        <v>-55.630449371200051</v>
      </c>
      <c r="AG882">
        <f t="shared" si="226"/>
        <v>37586.943546459588</v>
      </c>
      <c r="AH882" t="b">
        <f t="shared" si="221"/>
        <v>1</v>
      </c>
    </row>
    <row r="883" spans="4:34" hidden="1" x14ac:dyDescent="0.4">
      <c r="D883" t="s">
        <v>61</v>
      </c>
      <c r="E883" t="s">
        <v>37</v>
      </c>
      <c r="F883" s="9">
        <v>45815.166666666664</v>
      </c>
      <c r="G883">
        <v>0.65890000000000004</v>
      </c>
      <c r="H883" s="9">
        <v>45817.166666666664</v>
      </c>
      <c r="I883">
        <v>0.66590000000000005</v>
      </c>
      <c r="J883" s="12">
        <v>12393.7</v>
      </c>
      <c r="K883" s="12">
        <v>8166.21</v>
      </c>
      <c r="L883">
        <v>12.31</v>
      </c>
      <c r="M883">
        <v>74.44</v>
      </c>
      <c r="N883" s="13">
        <v>9.1000000000000004E-3</v>
      </c>
      <c r="O883" t="s">
        <v>38</v>
      </c>
      <c r="Q883">
        <f t="shared" si="222"/>
        <v>86.755900000000082</v>
      </c>
      <c r="R883">
        <f t="shared" si="223"/>
        <v>74.44590000000008</v>
      </c>
      <c r="S883">
        <f t="shared" si="224"/>
        <v>8252.9648300000008</v>
      </c>
      <c r="U883">
        <f t="shared" si="211"/>
        <v>2504.1736230000001</v>
      </c>
      <c r="V883">
        <f t="shared" si="225"/>
        <v>1650.0000001947001</v>
      </c>
      <c r="W883">
        <f t="shared" si="212"/>
        <v>17.529215361000016</v>
      </c>
      <c r="X883">
        <f t="shared" si="213"/>
        <v>3.3175292157504011</v>
      </c>
      <c r="Y883">
        <f t="shared" si="214"/>
        <v>14.211686145249615</v>
      </c>
      <c r="Z883">
        <f t="shared" si="215"/>
        <v>30380.273693326777</v>
      </c>
      <c r="AB883">
        <f t="shared" si="216"/>
        <v>5708.0254679999998</v>
      </c>
      <c r="AC883">
        <f t="shared" si="217"/>
        <v>3761.0179808652001</v>
      </c>
      <c r="AD883">
        <f t="shared" si="218"/>
        <v>39.956178276000031</v>
      </c>
      <c r="AE883">
        <f t="shared" si="219"/>
        <v>7.5619921400064012</v>
      </c>
      <c r="AF883">
        <f t="shared" si="220"/>
        <v>32.394186135993628</v>
      </c>
      <c r="AG883">
        <f t="shared" si="226"/>
        <v>37642.573995830789</v>
      </c>
      <c r="AH883" t="b">
        <f t="shared" si="221"/>
        <v>1</v>
      </c>
    </row>
    <row r="884" spans="4:34" hidden="1" x14ac:dyDescent="0.4">
      <c r="D884" t="s">
        <v>52</v>
      </c>
      <c r="E884" t="s">
        <v>37</v>
      </c>
      <c r="F884" s="9">
        <v>45815.083333333336</v>
      </c>
      <c r="G884">
        <v>5</v>
      </c>
      <c r="H884" s="9">
        <v>45817.083333333336</v>
      </c>
      <c r="I884">
        <v>5.5659999999999998</v>
      </c>
      <c r="J884">
        <v>467.44</v>
      </c>
      <c r="K884" s="12">
        <v>2337.2199999999998</v>
      </c>
      <c r="L884">
        <v>3.7</v>
      </c>
      <c r="M884" s="12">
        <v>260.87</v>
      </c>
      <c r="N884" s="13">
        <v>0.1116</v>
      </c>
      <c r="O884" t="s">
        <v>38</v>
      </c>
      <c r="Q884">
        <f t="shared" si="222"/>
        <v>264.57103999999993</v>
      </c>
      <c r="R884">
        <f t="shared" si="223"/>
        <v>260.87103999999994</v>
      </c>
      <c r="S884">
        <f t="shared" si="224"/>
        <v>2601.7710400000001</v>
      </c>
      <c r="U884">
        <f t="shared" si="211"/>
        <v>330</v>
      </c>
      <c r="V884">
        <f t="shared" si="225"/>
        <v>1650</v>
      </c>
      <c r="W884">
        <f t="shared" si="212"/>
        <v>186.77999999999994</v>
      </c>
      <c r="X884">
        <f t="shared" si="213"/>
        <v>3.4867799999999995</v>
      </c>
      <c r="Y884">
        <f t="shared" si="214"/>
        <v>183.29321999999993</v>
      </c>
      <c r="Z884">
        <f t="shared" si="215"/>
        <v>30366.062007181528</v>
      </c>
      <c r="AB884">
        <f t="shared" si="216"/>
        <v>743.93941099999995</v>
      </c>
      <c r="AC884">
        <f t="shared" si="217"/>
        <v>3719.6970549999996</v>
      </c>
      <c r="AD884">
        <f t="shared" si="218"/>
        <v>421.06970662599986</v>
      </c>
      <c r="AE884">
        <f t="shared" si="219"/>
        <v>7.860463816625999</v>
      </c>
      <c r="AF884">
        <f t="shared" si="220"/>
        <v>413.20924280937385</v>
      </c>
      <c r="AG884">
        <f t="shared" si="226"/>
        <v>37610.179809694797</v>
      </c>
      <c r="AH884" t="b">
        <f t="shared" si="221"/>
        <v>1</v>
      </c>
    </row>
    <row r="885" spans="4:34" hidden="1" x14ac:dyDescent="0.4">
      <c r="D885" t="s">
        <v>48</v>
      </c>
      <c r="E885" t="s">
        <v>37</v>
      </c>
      <c r="F885" s="9">
        <v>45815.083333333336</v>
      </c>
      <c r="G885">
        <v>0.12520000000000001</v>
      </c>
      <c r="H885" s="9">
        <v>45817.083333333336</v>
      </c>
      <c r="I885">
        <v>0.12570000000000001</v>
      </c>
      <c r="J885" s="12">
        <v>23812.3</v>
      </c>
      <c r="K885" s="12">
        <v>2981.31</v>
      </c>
      <c r="L885">
        <v>4.4800000000000004</v>
      </c>
      <c r="M885">
        <v>7.43</v>
      </c>
      <c r="N885" s="13">
        <v>2.5000000000000001E-3</v>
      </c>
      <c r="O885" t="s">
        <v>38</v>
      </c>
      <c r="Q885">
        <f t="shared" si="222"/>
        <v>11.906150000000011</v>
      </c>
      <c r="R885">
        <f t="shared" si="223"/>
        <v>7.4261500000000105</v>
      </c>
      <c r="S885">
        <f t="shared" si="224"/>
        <v>2993.2061100000001</v>
      </c>
      <c r="U885">
        <f t="shared" si="211"/>
        <v>13178.913737999999</v>
      </c>
      <c r="V885">
        <f t="shared" si="225"/>
        <v>1649.9999999976001</v>
      </c>
      <c r="W885">
        <f t="shared" si="212"/>
        <v>6.5894568690000055</v>
      </c>
      <c r="X885">
        <f t="shared" si="213"/>
        <v>3.3065894568642</v>
      </c>
      <c r="Y885">
        <f t="shared" si="214"/>
        <v>3.2828674121358055</v>
      </c>
      <c r="Z885">
        <f t="shared" si="215"/>
        <v>30182.768787181529</v>
      </c>
      <c r="AB885">
        <f t="shared" si="216"/>
        <v>29704.130406</v>
      </c>
      <c r="AC885">
        <f t="shared" si="217"/>
        <v>3718.9571268312002</v>
      </c>
      <c r="AD885">
        <f t="shared" si="218"/>
        <v>14.852065203000013</v>
      </c>
      <c r="AE885">
        <f t="shared" si="219"/>
        <v>7.4527663188654012</v>
      </c>
      <c r="AF885">
        <f t="shared" si="220"/>
        <v>7.3992988841346117</v>
      </c>
      <c r="AG885">
        <f t="shared" si="226"/>
        <v>37196.970566885422</v>
      </c>
      <c r="AH885" t="b">
        <f t="shared" si="221"/>
        <v>1</v>
      </c>
    </row>
    <row r="886" spans="4:34" hidden="1" x14ac:dyDescent="0.4">
      <c r="D886" t="s">
        <v>54</v>
      </c>
      <c r="E886" t="s">
        <v>37</v>
      </c>
      <c r="F886" s="9">
        <v>45815.083333333336</v>
      </c>
      <c r="G886">
        <v>148.82</v>
      </c>
      <c r="H886" s="9">
        <v>45817.083333333336</v>
      </c>
      <c r="I886">
        <v>152.46</v>
      </c>
      <c r="J886">
        <v>32.243000000000002</v>
      </c>
      <c r="K886" s="12">
        <v>4798.45</v>
      </c>
      <c r="L886">
        <v>7.29</v>
      </c>
      <c r="M886">
        <v>110.08</v>
      </c>
      <c r="N886" s="13">
        <v>2.29E-2</v>
      </c>
      <c r="O886" t="s">
        <v>38</v>
      </c>
      <c r="Q886">
        <f t="shared" si="222"/>
        <v>117.36452000000048</v>
      </c>
      <c r="R886">
        <f t="shared" si="223"/>
        <v>110.07452000000048</v>
      </c>
      <c r="S886">
        <f t="shared" si="224"/>
        <v>4915.7677800000001</v>
      </c>
      <c r="U886">
        <f t="shared" si="211"/>
        <v>11.087218999999999</v>
      </c>
      <c r="V886">
        <f t="shared" si="225"/>
        <v>1649.9999315799998</v>
      </c>
      <c r="W886">
        <f t="shared" si="212"/>
        <v>40.357477160000158</v>
      </c>
      <c r="X886">
        <f t="shared" si="213"/>
        <v>3.3403573403199998</v>
      </c>
      <c r="Y886">
        <f t="shared" si="214"/>
        <v>37.017119819680161</v>
      </c>
      <c r="Z886">
        <f t="shared" si="215"/>
        <v>30179.485919769391</v>
      </c>
      <c r="AB886">
        <f t="shared" si="216"/>
        <v>24.933695</v>
      </c>
      <c r="AC886">
        <f t="shared" si="217"/>
        <v>3710.6324898999997</v>
      </c>
      <c r="AD886">
        <f t="shared" si="218"/>
        <v>90.75864980000037</v>
      </c>
      <c r="AE886">
        <f t="shared" si="219"/>
        <v>7.5120236295999998</v>
      </c>
      <c r="AF886">
        <f t="shared" si="220"/>
        <v>83.246626170400376</v>
      </c>
      <c r="AG886">
        <f t="shared" si="226"/>
        <v>37189.571268001288</v>
      </c>
      <c r="AH886" t="b">
        <f t="shared" si="221"/>
        <v>1</v>
      </c>
    </row>
    <row r="887" spans="4:34" hidden="1" x14ac:dyDescent="0.4">
      <c r="D887" t="s">
        <v>53</v>
      </c>
      <c r="E887" t="s">
        <v>37</v>
      </c>
      <c r="F887" s="9">
        <v>45815.083333333336</v>
      </c>
      <c r="G887">
        <v>644.80999999999995</v>
      </c>
      <c r="H887" s="9">
        <v>45817.083333333336</v>
      </c>
      <c r="I887">
        <v>653</v>
      </c>
      <c r="J887">
        <v>14.436</v>
      </c>
      <c r="K887" s="12">
        <v>9308.98</v>
      </c>
      <c r="L887">
        <v>14.05</v>
      </c>
      <c r="M887">
        <v>104.18</v>
      </c>
      <c r="N887" s="13">
        <v>1.12E-2</v>
      </c>
      <c r="O887" t="s">
        <v>38</v>
      </c>
      <c r="Q887">
        <f t="shared" si="222"/>
        <v>118.23084000000078</v>
      </c>
      <c r="R887">
        <f t="shared" si="223"/>
        <v>104.18084000000079</v>
      </c>
      <c r="S887">
        <f t="shared" si="224"/>
        <v>9426.7080000000005</v>
      </c>
      <c r="U887">
        <f t="shared" si="211"/>
        <v>2.5588929999999999</v>
      </c>
      <c r="V887">
        <f t="shared" si="225"/>
        <v>1649.9997953299999</v>
      </c>
      <c r="W887">
        <f t="shared" si="212"/>
        <v>20.957333670000139</v>
      </c>
      <c r="X887">
        <f t="shared" si="213"/>
        <v>3.3209569243299994</v>
      </c>
      <c r="Y887">
        <f t="shared" si="214"/>
        <v>17.636376745670141</v>
      </c>
      <c r="Z887">
        <f t="shared" si="215"/>
        <v>30142.468799949711</v>
      </c>
      <c r="AB887">
        <f t="shared" si="216"/>
        <v>5.7484690000000001</v>
      </c>
      <c r="AC887">
        <f t="shared" si="217"/>
        <v>3706.6702958899996</v>
      </c>
      <c r="AD887">
        <f t="shared" si="218"/>
        <v>47.079961110000312</v>
      </c>
      <c r="AE887">
        <f t="shared" si="219"/>
        <v>7.4604205528899996</v>
      </c>
      <c r="AF887">
        <f t="shared" si="220"/>
        <v>39.619540557110312</v>
      </c>
      <c r="AG887">
        <f t="shared" si="226"/>
        <v>37106.324641830885</v>
      </c>
      <c r="AH887" t="b">
        <f t="shared" si="221"/>
        <v>1</v>
      </c>
    </row>
    <row r="888" spans="4:34" hidden="1" x14ac:dyDescent="0.4">
      <c r="D888" t="s">
        <v>50</v>
      </c>
      <c r="E888" t="s">
        <v>37</v>
      </c>
      <c r="F888" s="9">
        <v>45815.083333333336</v>
      </c>
      <c r="G888">
        <v>369.9</v>
      </c>
      <c r="H888" s="9">
        <v>45817.083333333336</v>
      </c>
      <c r="I888">
        <v>384.3</v>
      </c>
      <c r="J888">
        <v>34.359200000000001</v>
      </c>
      <c r="K888" s="12">
        <v>12709.49</v>
      </c>
      <c r="L888">
        <v>19.440000000000001</v>
      </c>
      <c r="M888">
        <v>475.34</v>
      </c>
      <c r="N888" s="13">
        <v>3.7400000000000003E-2</v>
      </c>
      <c r="O888" t="s">
        <v>38</v>
      </c>
      <c r="Q888">
        <f t="shared" si="222"/>
        <v>494.77248000000117</v>
      </c>
      <c r="R888">
        <f t="shared" si="223"/>
        <v>475.33248000000117</v>
      </c>
      <c r="S888">
        <f t="shared" si="224"/>
        <v>13204.24056</v>
      </c>
      <c r="U888">
        <f t="shared" si="211"/>
        <v>4.4606649999999997</v>
      </c>
      <c r="V888">
        <f t="shared" si="225"/>
        <v>1649.9999834999999</v>
      </c>
      <c r="W888">
        <f t="shared" si="212"/>
        <v>64.233576000000141</v>
      </c>
      <c r="X888">
        <f t="shared" si="213"/>
        <v>3.3642335430000001</v>
      </c>
      <c r="Y888">
        <f t="shared" si="214"/>
        <v>60.869342457000144</v>
      </c>
      <c r="Z888">
        <f t="shared" si="215"/>
        <v>30124.83242320404</v>
      </c>
      <c r="AB888">
        <f t="shared" si="216"/>
        <v>9.9839059999999993</v>
      </c>
      <c r="AC888">
        <f t="shared" si="217"/>
        <v>3693.0468293999993</v>
      </c>
      <c r="AD888">
        <f t="shared" si="218"/>
        <v>143.76824640000032</v>
      </c>
      <c r="AE888">
        <f t="shared" si="219"/>
        <v>7.5298619052000006</v>
      </c>
      <c r="AF888">
        <f t="shared" si="220"/>
        <v>136.23838449480033</v>
      </c>
      <c r="AG888">
        <f t="shared" si="226"/>
        <v>37066.705101273772</v>
      </c>
      <c r="AH888" t="b">
        <f t="shared" si="221"/>
        <v>1</v>
      </c>
    </row>
    <row r="889" spans="4:34" hidden="1" x14ac:dyDescent="0.4">
      <c r="D889" t="s">
        <v>43</v>
      </c>
      <c r="E889" t="s">
        <v>37</v>
      </c>
      <c r="F889" s="9">
        <v>45814.875</v>
      </c>
      <c r="G889">
        <v>3.1888000000000001</v>
      </c>
      <c r="H889" s="9">
        <v>45816.875</v>
      </c>
      <c r="I889">
        <v>3.2747999999999999</v>
      </c>
      <c r="J889">
        <v>569.9</v>
      </c>
      <c r="K889" s="12">
        <v>1817.43</v>
      </c>
      <c r="L889">
        <v>2.76</v>
      </c>
      <c r="M889">
        <v>46.25</v>
      </c>
      <c r="N889" s="13">
        <v>2.5399999999999999E-2</v>
      </c>
      <c r="O889" t="s">
        <v>38</v>
      </c>
      <c r="Q889">
        <f t="shared" si="222"/>
        <v>49.011399999999917</v>
      </c>
      <c r="R889">
        <f t="shared" si="223"/>
        <v>46.251399999999919</v>
      </c>
      <c r="S889">
        <f t="shared" si="224"/>
        <v>1866.3085199999998</v>
      </c>
      <c r="U889">
        <f t="shared" si="211"/>
        <v>517.43602599999997</v>
      </c>
      <c r="V889">
        <f t="shared" si="225"/>
        <v>1649.9999997088</v>
      </c>
      <c r="W889">
        <f t="shared" si="212"/>
        <v>44.499498235999923</v>
      </c>
      <c r="X889">
        <f t="shared" si="213"/>
        <v>3.3444994976535996</v>
      </c>
      <c r="Y889">
        <f t="shared" si="214"/>
        <v>41.154998738346322</v>
      </c>
      <c r="Z889">
        <f t="shared" si="215"/>
        <v>30063.963080747038</v>
      </c>
      <c r="AB889">
        <f t="shared" si="216"/>
        <v>1155.249071</v>
      </c>
      <c r="AC889">
        <f t="shared" si="217"/>
        <v>3683.8582376047998</v>
      </c>
      <c r="AD889">
        <f t="shared" si="218"/>
        <v>99.351420105999821</v>
      </c>
      <c r="AE889">
        <f t="shared" si="219"/>
        <v>7.4670678953155996</v>
      </c>
      <c r="AF889">
        <f t="shared" si="220"/>
        <v>91.884352210684227</v>
      </c>
      <c r="AG889">
        <f t="shared" si="226"/>
        <v>36930.466716778974</v>
      </c>
      <c r="AH889" t="b">
        <f t="shared" si="221"/>
        <v>1</v>
      </c>
    </row>
    <row r="890" spans="4:34" hidden="1" x14ac:dyDescent="0.4">
      <c r="D890" t="s">
        <v>55</v>
      </c>
      <c r="E890" t="s">
        <v>37</v>
      </c>
      <c r="F890" s="9">
        <v>45814.583333333336</v>
      </c>
      <c r="G890">
        <v>5.817E-5</v>
      </c>
      <c r="H890" s="9">
        <v>45816.583333333336</v>
      </c>
      <c r="I890">
        <v>5.9259999999999998E-5</v>
      </c>
      <c r="J890" s="12">
        <v>101945382.05</v>
      </c>
      <c r="K890" s="12">
        <v>5930.16</v>
      </c>
      <c r="L890">
        <v>8.98</v>
      </c>
      <c r="M890">
        <v>102.14</v>
      </c>
      <c r="N890" s="13">
        <v>1.72E-2</v>
      </c>
      <c r="O890" t="s">
        <v>38</v>
      </c>
      <c r="Q890">
        <f t="shared" si="222"/>
        <v>111.12046643449979</v>
      </c>
      <c r="R890">
        <f t="shared" si="223"/>
        <v>102.14046643449979</v>
      </c>
      <c r="S890">
        <f t="shared" si="224"/>
        <v>6041.2833402829992</v>
      </c>
      <c r="U890">
        <f t="shared" si="211"/>
        <v>28365136.668386001</v>
      </c>
      <c r="V890">
        <f t="shared" si="225"/>
        <v>1650.0000000000136</v>
      </c>
      <c r="W890">
        <f t="shared" si="212"/>
        <v>30.917998968540687</v>
      </c>
      <c r="X890">
        <f t="shared" si="213"/>
        <v>3.3309179989685682</v>
      </c>
      <c r="Y890">
        <f t="shared" si="214"/>
        <v>27.587080969572117</v>
      </c>
      <c r="Z890">
        <f t="shared" si="215"/>
        <v>30022.808082008691</v>
      </c>
      <c r="AB890">
        <f t="shared" si="216"/>
        <v>63223471.056083001</v>
      </c>
      <c r="AC890">
        <f t="shared" si="217"/>
        <v>3677.7093113323481</v>
      </c>
      <c r="AD890">
        <f t="shared" si="218"/>
        <v>68.91358345113035</v>
      </c>
      <c r="AE890">
        <f t="shared" si="219"/>
        <v>7.4243322061158272</v>
      </c>
      <c r="AF890">
        <f t="shared" si="220"/>
        <v>61.489251245014522</v>
      </c>
      <c r="AG890">
        <f t="shared" si="226"/>
        <v>36838.58236456829</v>
      </c>
      <c r="AH890" t="b">
        <f t="shared" si="221"/>
        <v>1</v>
      </c>
    </row>
    <row r="891" spans="4:34" hidden="1" x14ac:dyDescent="0.4">
      <c r="D891" t="s">
        <v>60</v>
      </c>
      <c r="E891" t="s">
        <v>37</v>
      </c>
      <c r="F891" s="9">
        <v>45812.208333333336</v>
      </c>
      <c r="G891">
        <v>2.2538999999999998</v>
      </c>
      <c r="H891" s="9">
        <v>45814.708333333336</v>
      </c>
      <c r="I891">
        <v>2.1863000000000001</v>
      </c>
      <c r="J891" s="12">
        <v>975.9</v>
      </c>
      <c r="K891" s="12">
        <v>2199.79</v>
      </c>
      <c r="L891">
        <v>3.25</v>
      </c>
      <c r="M891">
        <v>-69.22</v>
      </c>
      <c r="N891" s="13">
        <v>-3.15E-2</v>
      </c>
      <c r="O891" t="s">
        <v>57</v>
      </c>
      <c r="Q891">
        <f t="shared" si="222"/>
        <v>-65.970839999999669</v>
      </c>
      <c r="R891">
        <f t="shared" si="223"/>
        <v>-69.220839999999669</v>
      </c>
      <c r="S891">
        <f t="shared" si="224"/>
        <v>2133.6101699999999</v>
      </c>
      <c r="U891">
        <f t="shared" si="211"/>
        <v>732.06442200000004</v>
      </c>
      <c r="V891">
        <f t="shared" si="225"/>
        <v>1650.0000007458</v>
      </c>
      <c r="W891">
        <f t="shared" si="212"/>
        <v>-49.487554927199753</v>
      </c>
      <c r="X891">
        <f t="shared" si="213"/>
        <v>3.2505124465644002</v>
      </c>
      <c r="Y891">
        <f t="shared" si="214"/>
        <v>-52.738067373764153</v>
      </c>
      <c r="Z891">
        <f t="shared" si="215"/>
        <v>29995.221001039117</v>
      </c>
      <c r="AB891">
        <f t="shared" si="216"/>
        <v>1636.9412440000001</v>
      </c>
      <c r="AC891">
        <f t="shared" si="217"/>
        <v>3689.5018698516001</v>
      </c>
      <c r="AD891">
        <f t="shared" si="218"/>
        <v>-110.65722809439946</v>
      </c>
      <c r="AE891">
        <f t="shared" si="219"/>
        <v>7.2683465116088009</v>
      </c>
      <c r="AF891">
        <f t="shared" si="220"/>
        <v>-117.92557460600825</v>
      </c>
      <c r="AG891">
        <f t="shared" si="226"/>
        <v>36777.093113323273</v>
      </c>
      <c r="AH891" t="b">
        <f t="shared" si="221"/>
        <v>1</v>
      </c>
    </row>
    <row r="892" spans="4:34" hidden="1" x14ac:dyDescent="0.4">
      <c r="D892" t="s">
        <v>59</v>
      </c>
      <c r="E892" t="s">
        <v>37</v>
      </c>
      <c r="F892" s="9">
        <v>45812.125</v>
      </c>
      <c r="G892" s="12">
        <v>105662.01</v>
      </c>
      <c r="H892" s="9">
        <v>45814.625</v>
      </c>
      <c r="I892" s="12">
        <v>104169.11</v>
      </c>
      <c r="J892">
        <v>9.8430000000000004E-2</v>
      </c>
      <c r="K892" s="12">
        <v>10401.24</v>
      </c>
      <c r="L892">
        <v>15.49</v>
      </c>
      <c r="M892">
        <v>-162.44</v>
      </c>
      <c r="N892" s="13">
        <v>-1.5599999999999999E-2</v>
      </c>
      <c r="O892" t="s">
        <v>57</v>
      </c>
      <c r="Q892">
        <f t="shared" si="222"/>
        <v>-146.94614699999943</v>
      </c>
      <c r="R892">
        <f t="shared" si="223"/>
        <v>-162.43614699999944</v>
      </c>
      <c r="S892">
        <f t="shared" si="224"/>
        <v>10253.365497300001</v>
      </c>
      <c r="U892">
        <f t="shared" si="211"/>
        <v>1.5616E-2</v>
      </c>
      <c r="V892">
        <f t="shared" si="225"/>
        <v>1650.0179481599998</v>
      </c>
      <c r="W892">
        <f t="shared" si="212"/>
        <v>-23.313126399999909</v>
      </c>
      <c r="X892">
        <f t="shared" si="213"/>
        <v>3.2767227699200001</v>
      </c>
      <c r="Y892">
        <f t="shared" si="214"/>
        <v>-26.589849169919908</v>
      </c>
      <c r="Z892">
        <f t="shared" si="215"/>
        <v>30047.959068412882</v>
      </c>
      <c r="AB892">
        <f t="shared" si="216"/>
        <v>3.4973999999999998E-2</v>
      </c>
      <c r="AC892">
        <f t="shared" si="217"/>
        <v>3695.4231377399997</v>
      </c>
      <c r="AD892">
        <f t="shared" si="218"/>
        <v>-52.212684599999797</v>
      </c>
      <c r="AE892">
        <f t="shared" si="219"/>
        <v>7.3386335908799998</v>
      </c>
      <c r="AF892">
        <f t="shared" si="220"/>
        <v>-59.551318190879797</v>
      </c>
      <c r="AG892">
        <f t="shared" si="226"/>
        <v>36895.018687929281</v>
      </c>
      <c r="AH892" t="b">
        <f t="shared" si="221"/>
        <v>1</v>
      </c>
    </row>
    <row r="893" spans="4:34" hidden="1" x14ac:dyDescent="0.4">
      <c r="D893" t="s">
        <v>54</v>
      </c>
      <c r="E893" t="s">
        <v>37</v>
      </c>
      <c r="F893" s="9">
        <v>45812.125</v>
      </c>
      <c r="G893" s="12">
        <v>156.9</v>
      </c>
      <c r="H893" s="9">
        <v>45814.125</v>
      </c>
      <c r="I893" s="12">
        <v>145.59</v>
      </c>
      <c r="J893">
        <v>30.809000000000001</v>
      </c>
      <c r="K893" s="12">
        <v>4834</v>
      </c>
      <c r="L893">
        <v>6.99</v>
      </c>
      <c r="M893">
        <v>-355.44</v>
      </c>
      <c r="N893" s="13">
        <v>-7.3499999999999996E-2</v>
      </c>
      <c r="O893" t="s">
        <v>38</v>
      </c>
      <c r="Q893">
        <f t="shared" si="222"/>
        <v>-348.44979000000006</v>
      </c>
      <c r="R893">
        <f t="shared" si="223"/>
        <v>-355.43979000000007</v>
      </c>
      <c r="S893">
        <f t="shared" si="224"/>
        <v>4485.4823100000003</v>
      </c>
      <c r="U893">
        <f t="shared" si="211"/>
        <v>10.516252</v>
      </c>
      <c r="V893">
        <f t="shared" si="225"/>
        <v>1649.9999388000001</v>
      </c>
      <c r="W893">
        <f t="shared" si="212"/>
        <v>-118.93881012000001</v>
      </c>
      <c r="X893">
        <f t="shared" si="213"/>
        <v>3.1810610674800004</v>
      </c>
      <c r="Y893">
        <f t="shared" si="214"/>
        <v>-122.11987118748002</v>
      </c>
      <c r="Z893">
        <f t="shared" si="215"/>
        <v>30074.548917582801</v>
      </c>
      <c r="AB893">
        <f t="shared" si="216"/>
        <v>23.728565</v>
      </c>
      <c r="AC893">
        <f t="shared" si="217"/>
        <v>3723.0118485000003</v>
      </c>
      <c r="AD893">
        <f t="shared" si="218"/>
        <v>-268.37007015000006</v>
      </c>
      <c r="AE893">
        <f t="shared" si="219"/>
        <v>7.1776536268500006</v>
      </c>
      <c r="AF893">
        <f t="shared" si="220"/>
        <v>-275.54772377685003</v>
      </c>
      <c r="AG893">
        <f t="shared" si="226"/>
        <v>36954.570006120164</v>
      </c>
      <c r="AH893" t="b">
        <f t="shared" si="221"/>
        <v>1</v>
      </c>
    </row>
    <row r="894" spans="4:34" hidden="1" x14ac:dyDescent="0.4">
      <c r="D894" t="s">
        <v>58</v>
      </c>
      <c r="E894" t="s">
        <v>37</v>
      </c>
      <c r="F894" s="9">
        <v>45812.083333333336</v>
      </c>
      <c r="G894">
        <v>14.21</v>
      </c>
      <c r="H894" s="9">
        <v>45814.083333333336</v>
      </c>
      <c r="I894">
        <v>12.98</v>
      </c>
      <c r="J894" s="12">
        <v>496.64</v>
      </c>
      <c r="K894" s="12">
        <v>7057.28</v>
      </c>
      <c r="L894">
        <v>10.130000000000001</v>
      </c>
      <c r="M894">
        <v>-620.99</v>
      </c>
      <c r="N894" s="13">
        <v>-8.7999999999999995E-2</v>
      </c>
      <c r="O894" t="s">
        <v>38</v>
      </c>
      <c r="Q894">
        <f t="shared" si="222"/>
        <v>-610.86720000000014</v>
      </c>
      <c r="R894">
        <f t="shared" si="223"/>
        <v>-620.99720000000013</v>
      </c>
      <c r="S894">
        <f t="shared" si="224"/>
        <v>6446.3872000000001</v>
      </c>
      <c r="U894">
        <f t="shared" si="211"/>
        <v>116.11541200000001</v>
      </c>
      <c r="V894">
        <f t="shared" si="225"/>
        <v>1650.0000045200002</v>
      </c>
      <c r="W894">
        <f t="shared" si="212"/>
        <v>-142.82195676000006</v>
      </c>
      <c r="X894">
        <f t="shared" si="213"/>
        <v>3.1571780522800004</v>
      </c>
      <c r="Y894">
        <f t="shared" si="214"/>
        <v>-145.97913481228005</v>
      </c>
      <c r="Z894">
        <f t="shared" si="215"/>
        <v>30196.668788770279</v>
      </c>
      <c r="AB894">
        <f t="shared" si="216"/>
        <v>264.338078</v>
      </c>
      <c r="AC894">
        <f t="shared" si="217"/>
        <v>3756.24408838</v>
      </c>
      <c r="AD894">
        <f t="shared" si="218"/>
        <v>-325.13583594000011</v>
      </c>
      <c r="AE894">
        <f t="shared" si="219"/>
        <v>7.1873523408200004</v>
      </c>
      <c r="AF894">
        <f t="shared" si="220"/>
        <v>-332.32318828082009</v>
      </c>
      <c r="AG894">
        <f t="shared" si="226"/>
        <v>37230.117729897014</v>
      </c>
      <c r="AH894" t="b">
        <f t="shared" si="221"/>
        <v>1</v>
      </c>
    </row>
    <row r="895" spans="4:34" hidden="1" x14ac:dyDescent="0.4">
      <c r="D895" t="s">
        <v>52</v>
      </c>
      <c r="E895" t="s">
        <v>37</v>
      </c>
      <c r="F895" s="9">
        <v>45812</v>
      </c>
      <c r="G895">
        <v>5.38</v>
      </c>
      <c r="H895" s="9">
        <v>45814</v>
      </c>
      <c r="I895">
        <v>4.8940000000000001</v>
      </c>
      <c r="J895">
        <v>438.45</v>
      </c>
      <c r="K895" s="12">
        <v>2358.86</v>
      </c>
      <c r="L895">
        <v>3.38</v>
      </c>
      <c r="M895">
        <v>-216.47</v>
      </c>
      <c r="N895" s="13">
        <v>-9.1800000000000007E-2</v>
      </c>
      <c r="O895" t="s">
        <v>38</v>
      </c>
      <c r="Q895">
        <f t="shared" si="222"/>
        <v>-213.08669999999989</v>
      </c>
      <c r="R895">
        <f t="shared" si="223"/>
        <v>-216.46669999999989</v>
      </c>
      <c r="S895">
        <f t="shared" si="224"/>
        <v>2145.7743</v>
      </c>
      <c r="U895">
        <f t="shared" si="211"/>
        <v>306.69144999999997</v>
      </c>
      <c r="V895">
        <f t="shared" si="225"/>
        <v>1650.0000009999999</v>
      </c>
      <c r="W895">
        <f t="shared" si="212"/>
        <v>-149.05204469999993</v>
      </c>
      <c r="X895">
        <f t="shared" si="213"/>
        <v>3.1509479573000001</v>
      </c>
      <c r="Y895">
        <f t="shared" si="214"/>
        <v>-152.20299265729992</v>
      </c>
      <c r="Z895">
        <f t="shared" si="215"/>
        <v>30342.647923582561</v>
      </c>
      <c r="AB895">
        <f t="shared" si="216"/>
        <v>704.68696499999999</v>
      </c>
      <c r="AC895">
        <f t="shared" si="217"/>
        <v>3791.2158716999998</v>
      </c>
      <c r="AD895">
        <f t="shared" si="218"/>
        <v>-342.47786498999983</v>
      </c>
      <c r="AE895">
        <f t="shared" si="219"/>
        <v>7.2399538784100015</v>
      </c>
      <c r="AF895">
        <f t="shared" si="220"/>
        <v>-349.71781886840984</v>
      </c>
      <c r="AG895">
        <f t="shared" si="226"/>
        <v>37562.440918177832</v>
      </c>
      <c r="AH895" t="b">
        <f t="shared" si="221"/>
        <v>1</v>
      </c>
    </row>
    <row r="896" spans="4:34" hidden="1" x14ac:dyDescent="0.4">
      <c r="D896" t="s">
        <v>56</v>
      </c>
      <c r="E896" t="s">
        <v>37</v>
      </c>
      <c r="F896" s="9">
        <v>45813.166666666664</v>
      </c>
      <c r="G896" s="12">
        <v>2621.49</v>
      </c>
      <c r="H896" s="9">
        <v>45813.666666666664</v>
      </c>
      <c r="I896" s="12">
        <v>2579.6999999999998</v>
      </c>
      <c r="J896">
        <v>2.0495999999999999</v>
      </c>
      <c r="K896" s="12">
        <v>5373.23</v>
      </c>
      <c r="L896">
        <v>8</v>
      </c>
      <c r="M896">
        <v>-93.64</v>
      </c>
      <c r="N896" s="13">
        <v>-1.7399999999999999E-2</v>
      </c>
      <c r="O896" t="s">
        <v>49</v>
      </c>
      <c r="Q896">
        <f t="shared" si="222"/>
        <v>-85.652783999999926</v>
      </c>
      <c r="R896">
        <f t="shared" si="223"/>
        <v>-93.652783999999926</v>
      </c>
      <c r="S896">
        <f t="shared" si="224"/>
        <v>5287.3531199999989</v>
      </c>
      <c r="U896">
        <f t="shared" si="211"/>
        <v>0.629413</v>
      </c>
      <c r="V896">
        <f t="shared" si="225"/>
        <v>1649.9998853699999</v>
      </c>
      <c r="W896">
        <f t="shared" si="212"/>
        <v>-26.303169269999977</v>
      </c>
      <c r="X896">
        <f t="shared" si="213"/>
        <v>3.2736966014699997</v>
      </c>
      <c r="Y896">
        <f t="shared" si="214"/>
        <v>-29.576865871469977</v>
      </c>
      <c r="Z896">
        <f t="shared" si="215"/>
        <v>30494.850916239862</v>
      </c>
      <c r="AB896">
        <f t="shared" si="216"/>
        <v>1.448804</v>
      </c>
      <c r="AC896">
        <f t="shared" si="217"/>
        <v>3798.0251979599998</v>
      </c>
      <c r="AD896">
        <f t="shared" si="218"/>
        <v>-60.545519159999948</v>
      </c>
      <c r="AE896">
        <f t="shared" si="219"/>
        <v>7.5355048767599992</v>
      </c>
      <c r="AF896">
        <f t="shared" si="220"/>
        <v>-68.081024036759942</v>
      </c>
      <c r="AG896">
        <f t="shared" si="226"/>
        <v>37912.158737046244</v>
      </c>
      <c r="AH896" t="b">
        <f t="shared" si="221"/>
        <v>1</v>
      </c>
    </row>
    <row r="897" spans="4:34" hidden="1" x14ac:dyDescent="0.4">
      <c r="D897" t="s">
        <v>61</v>
      </c>
      <c r="E897" t="s">
        <v>37</v>
      </c>
      <c r="F897" s="9">
        <v>45811.666666666664</v>
      </c>
      <c r="G897">
        <v>0.69679999999999997</v>
      </c>
      <c r="H897" s="9">
        <v>45813.666666666664</v>
      </c>
      <c r="I897">
        <v>0.67510000000000003</v>
      </c>
      <c r="J897" s="12">
        <v>11757.9</v>
      </c>
      <c r="K897" s="12">
        <v>8192.93</v>
      </c>
      <c r="L897">
        <v>12.1</v>
      </c>
      <c r="M897">
        <v>-267.24</v>
      </c>
      <c r="N897" s="13">
        <v>-3.2599999999999997E-2</v>
      </c>
      <c r="O897" t="s">
        <v>38</v>
      </c>
      <c r="Q897">
        <f t="shared" si="222"/>
        <v>-255.1464299999993</v>
      </c>
      <c r="R897">
        <f t="shared" si="223"/>
        <v>-267.24642999999929</v>
      </c>
      <c r="S897">
        <f t="shared" si="224"/>
        <v>7937.7582899999998</v>
      </c>
      <c r="U897">
        <f t="shared" si="211"/>
        <v>2367.9678530000001</v>
      </c>
      <c r="V897">
        <f t="shared" si="225"/>
        <v>1649.9999999704</v>
      </c>
      <c r="W897">
        <f t="shared" si="212"/>
        <v>-51.384902410099862</v>
      </c>
      <c r="X897">
        <f t="shared" si="213"/>
        <v>3.2486150975307004</v>
      </c>
      <c r="Y897">
        <f t="shared" si="214"/>
        <v>-54.633517507630565</v>
      </c>
      <c r="Z897">
        <f t="shared" si="215"/>
        <v>30524.427782111332</v>
      </c>
      <c r="AB897">
        <f t="shared" si="216"/>
        <v>5468.7736450000002</v>
      </c>
      <c r="AC897">
        <f t="shared" si="217"/>
        <v>3810.6414758360002</v>
      </c>
      <c r="AD897">
        <f t="shared" si="218"/>
        <v>-118.67238809649969</v>
      </c>
      <c r="AE897">
        <f t="shared" si="219"/>
        <v>7.5026105635755007</v>
      </c>
      <c r="AF897">
        <f t="shared" si="220"/>
        <v>-126.17499866007519</v>
      </c>
      <c r="AG897">
        <f t="shared" si="226"/>
        <v>37980.239761083001</v>
      </c>
      <c r="AH897" t="b">
        <f t="shared" si="221"/>
        <v>1</v>
      </c>
    </row>
    <row r="898" spans="4:34" hidden="1" x14ac:dyDescent="0.4">
      <c r="D898" t="s">
        <v>53</v>
      </c>
      <c r="E898" t="s">
        <v>37</v>
      </c>
      <c r="F898" s="9">
        <v>45811.666666666664</v>
      </c>
      <c r="G898" s="12">
        <v>667.97</v>
      </c>
      <c r="H898" s="9">
        <v>45813.666666666664</v>
      </c>
      <c r="I898" s="12">
        <v>660.36</v>
      </c>
      <c r="J898">
        <v>13.954000000000001</v>
      </c>
      <c r="K898" s="12">
        <v>9320.99</v>
      </c>
      <c r="L898">
        <v>13.9</v>
      </c>
      <c r="M898">
        <v>-120.09</v>
      </c>
      <c r="N898" s="13">
        <v>-1.29E-2</v>
      </c>
      <c r="O898" t="s">
        <v>38</v>
      </c>
      <c r="Q898">
        <f t="shared" si="222"/>
        <v>-106.18994000000019</v>
      </c>
      <c r="R898">
        <f t="shared" si="223"/>
        <v>-120.0899400000002</v>
      </c>
      <c r="S898">
        <f t="shared" si="224"/>
        <v>9214.6634400000003</v>
      </c>
      <c r="U898">
        <f t="shared" si="211"/>
        <v>2.4701710000000001</v>
      </c>
      <c r="V898">
        <f t="shared" si="225"/>
        <v>1650.00012287</v>
      </c>
      <c r="W898">
        <f t="shared" si="212"/>
        <v>-18.798001310000036</v>
      </c>
      <c r="X898">
        <f t="shared" si="213"/>
        <v>3.2812022444300002</v>
      </c>
      <c r="Y898">
        <f t="shared" si="214"/>
        <v>-22.079203554430038</v>
      </c>
      <c r="Z898">
        <f t="shared" si="215"/>
        <v>30579.061299618963</v>
      </c>
      <c r="AB898">
        <f t="shared" si="216"/>
        <v>5.712453</v>
      </c>
      <c r="AC898">
        <f t="shared" si="217"/>
        <v>3815.7472304100002</v>
      </c>
      <c r="AD898">
        <f t="shared" si="218"/>
        <v>-43.471767330000077</v>
      </c>
      <c r="AE898">
        <f t="shared" si="219"/>
        <v>7.5880226934900001</v>
      </c>
      <c r="AF898">
        <f t="shared" si="220"/>
        <v>-51.059790023490081</v>
      </c>
      <c r="AG898">
        <f t="shared" si="226"/>
        <v>38106.414759743078</v>
      </c>
      <c r="AH898" t="b">
        <f t="shared" si="221"/>
        <v>1</v>
      </c>
    </row>
    <row r="899" spans="4:34" hidden="1" x14ac:dyDescent="0.4">
      <c r="D899" t="s">
        <v>55</v>
      </c>
      <c r="E899" t="s">
        <v>37</v>
      </c>
      <c r="F899" s="9">
        <v>45811.291666666664</v>
      </c>
      <c r="G899">
        <v>6.0900000000000003E-5</v>
      </c>
      <c r="H899" s="9">
        <v>45813.291666666664</v>
      </c>
      <c r="I899">
        <v>5.8879999999999999E-5</v>
      </c>
      <c r="J899" s="12">
        <v>97713939.290000007</v>
      </c>
      <c r="K899" s="12">
        <v>5950.78</v>
      </c>
      <c r="L899">
        <v>8.7799999999999994</v>
      </c>
      <c r="M899">
        <v>-206.16</v>
      </c>
      <c r="N899" s="13">
        <v>-3.4599999999999999E-2</v>
      </c>
      <c r="O899" t="s">
        <v>38</v>
      </c>
      <c r="Q899">
        <f t="shared" si="222"/>
        <v>-197.38215736580045</v>
      </c>
      <c r="R899">
        <f t="shared" si="223"/>
        <v>-206.16215736580045</v>
      </c>
      <c r="S899">
        <f t="shared" si="224"/>
        <v>5753.3967453952</v>
      </c>
      <c r="U899">
        <f t="shared" si="211"/>
        <v>27093596.059113</v>
      </c>
      <c r="V899">
        <f t="shared" si="225"/>
        <v>1649.9999999999818</v>
      </c>
      <c r="W899">
        <f t="shared" si="212"/>
        <v>-54.729064039408378</v>
      </c>
      <c r="X899">
        <f t="shared" si="213"/>
        <v>3.2452709359605554</v>
      </c>
      <c r="Y899">
        <f t="shared" si="214"/>
        <v>-57.974334975368933</v>
      </c>
      <c r="Z899">
        <f t="shared" si="215"/>
        <v>30601.140503173392</v>
      </c>
      <c r="AB899">
        <f t="shared" si="216"/>
        <v>62876875.583913997</v>
      </c>
      <c r="AC899">
        <f t="shared" si="217"/>
        <v>3829.2017230603624</v>
      </c>
      <c r="AD899">
        <f t="shared" si="218"/>
        <v>-127.01128867950655</v>
      </c>
      <c r="AE899">
        <f t="shared" si="219"/>
        <v>7.5313921574412186</v>
      </c>
      <c r="AF899">
        <f t="shared" si="220"/>
        <v>-134.54268083694777</v>
      </c>
      <c r="AG899">
        <f t="shared" si="226"/>
        <v>38157.474549766572</v>
      </c>
      <c r="AH899" t="b">
        <f t="shared" si="221"/>
        <v>1</v>
      </c>
    </row>
    <row r="900" spans="4:34" hidden="1" x14ac:dyDescent="0.4">
      <c r="D900" t="s">
        <v>56</v>
      </c>
      <c r="E900" t="s">
        <v>37</v>
      </c>
      <c r="F900" s="9">
        <v>45810.583333333336</v>
      </c>
      <c r="G900" s="12">
        <v>2499.2800000000002</v>
      </c>
      <c r="H900" s="9">
        <v>45813.083333333336</v>
      </c>
      <c r="I900" s="12">
        <v>2613.48</v>
      </c>
      <c r="J900">
        <v>2.1404000000000001</v>
      </c>
      <c r="K900" s="12">
        <v>5349.61</v>
      </c>
      <c r="L900">
        <v>8.2100000000000009</v>
      </c>
      <c r="M900">
        <v>236.23</v>
      </c>
      <c r="N900" s="13">
        <v>4.4200000000000003E-2</v>
      </c>
      <c r="O900" t="s">
        <v>57</v>
      </c>
      <c r="Q900">
        <f t="shared" si="222"/>
        <v>244.43367999999961</v>
      </c>
      <c r="R900">
        <f t="shared" si="223"/>
        <v>236.2236799999996</v>
      </c>
      <c r="S900">
        <f t="shared" si="224"/>
        <v>5593.8925920000001</v>
      </c>
      <c r="U900">
        <f t="shared" si="211"/>
        <v>0.66019000000000005</v>
      </c>
      <c r="V900">
        <f t="shared" si="225"/>
        <v>1649.9996632000002</v>
      </c>
      <c r="W900">
        <f t="shared" si="212"/>
        <v>75.393697999999887</v>
      </c>
      <c r="X900">
        <f t="shared" si="213"/>
        <v>3.3753930244000006</v>
      </c>
      <c r="Y900">
        <f t="shared" si="214"/>
        <v>72.018304975599889</v>
      </c>
      <c r="Z900">
        <f t="shared" si="215"/>
        <v>30659.114838148762</v>
      </c>
      <c r="AB900">
        <f t="shared" si="216"/>
        <v>1.5254639999999999</v>
      </c>
      <c r="AC900">
        <f t="shared" si="217"/>
        <v>3812.56166592</v>
      </c>
      <c r="AD900">
        <f t="shared" si="218"/>
        <v>174.20798879999973</v>
      </c>
      <c r="AE900">
        <f t="shared" si="219"/>
        <v>7.7993313206400003</v>
      </c>
      <c r="AF900">
        <f t="shared" si="220"/>
        <v>166.40865747935973</v>
      </c>
      <c r="AG900">
        <f t="shared" si="226"/>
        <v>38292.017230603517</v>
      </c>
      <c r="AH900" t="b">
        <f t="shared" si="221"/>
        <v>1</v>
      </c>
    </row>
    <row r="901" spans="4:34" hidden="1" x14ac:dyDescent="0.4">
      <c r="D901" t="s">
        <v>48</v>
      </c>
      <c r="E901" t="s">
        <v>37</v>
      </c>
      <c r="F901" s="9">
        <v>45810.916666666664</v>
      </c>
      <c r="G901">
        <v>0.13600000000000001</v>
      </c>
      <c r="H901" s="9">
        <v>45812.916666666664</v>
      </c>
      <c r="I901">
        <v>0.13070000000000001</v>
      </c>
      <c r="J901" s="12">
        <v>22010.3</v>
      </c>
      <c r="K901" s="12">
        <v>2993.41</v>
      </c>
      <c r="L901">
        <v>4.4000000000000004</v>
      </c>
      <c r="M901">
        <v>-121.06</v>
      </c>
      <c r="N901" s="13">
        <v>-4.0399999999999998E-2</v>
      </c>
      <c r="O901" t="s">
        <v>38</v>
      </c>
      <c r="Q901">
        <f t="shared" si="222"/>
        <v>-116.65458999999997</v>
      </c>
      <c r="R901">
        <f t="shared" si="223"/>
        <v>-121.05458999999998</v>
      </c>
      <c r="S901">
        <f t="shared" si="224"/>
        <v>2876.7462100000002</v>
      </c>
      <c r="U901">
        <f t="shared" si="211"/>
        <v>12132.352940999999</v>
      </c>
      <c r="V901">
        <f t="shared" si="225"/>
        <v>1649.999999976</v>
      </c>
      <c r="W901">
        <f t="shared" si="212"/>
        <v>-64.301470587299988</v>
      </c>
      <c r="X901">
        <f t="shared" si="213"/>
        <v>3.2356985293647003</v>
      </c>
      <c r="Y901">
        <f t="shared" si="214"/>
        <v>-67.537169116664685</v>
      </c>
      <c r="Z901">
        <f t="shared" si="215"/>
        <v>30587.09653317316</v>
      </c>
      <c r="AB901">
        <f t="shared" si="216"/>
        <v>28148.753116</v>
      </c>
      <c r="AC901">
        <f t="shared" si="217"/>
        <v>3828.2304237760004</v>
      </c>
      <c r="AD901">
        <f t="shared" si="218"/>
        <v>-149.18839151479997</v>
      </c>
      <c r="AE901">
        <f t="shared" si="219"/>
        <v>7.5072724560372013</v>
      </c>
      <c r="AF901">
        <f t="shared" si="220"/>
        <v>-156.69566397083719</v>
      </c>
      <c r="AG901">
        <f t="shared" si="226"/>
        <v>38125.608573124155</v>
      </c>
      <c r="AH901" t="b">
        <f t="shared" si="221"/>
        <v>1</v>
      </c>
    </row>
    <row r="902" spans="4:34" hidden="1" x14ac:dyDescent="0.4">
      <c r="D902" t="s">
        <v>60</v>
      </c>
      <c r="E902" t="s">
        <v>37</v>
      </c>
      <c r="F902" s="9">
        <v>45809.666666666664</v>
      </c>
      <c r="G902">
        <v>2.1476000000000002</v>
      </c>
      <c r="H902" s="9">
        <v>45812.166666666664</v>
      </c>
      <c r="I902">
        <v>2.2488000000000001</v>
      </c>
      <c r="J902" s="12">
        <v>1019.6</v>
      </c>
      <c r="K902" s="12">
        <v>2189.81</v>
      </c>
      <c r="L902">
        <v>3.36</v>
      </c>
      <c r="M902">
        <v>99.82</v>
      </c>
      <c r="N902" s="13">
        <v>4.5600000000000002E-2</v>
      </c>
      <c r="O902" t="s">
        <v>57</v>
      </c>
      <c r="Q902">
        <f t="shared" si="222"/>
        <v>103.18351999999996</v>
      </c>
      <c r="R902">
        <f t="shared" si="223"/>
        <v>99.823519999999959</v>
      </c>
      <c r="S902">
        <f t="shared" si="224"/>
        <v>2292.8764800000004</v>
      </c>
      <c r="U902">
        <f t="shared" si="211"/>
        <v>768.29949699999997</v>
      </c>
      <c r="V902">
        <f t="shared" si="225"/>
        <v>1649.9999997572002</v>
      </c>
      <c r="W902">
        <f t="shared" si="212"/>
        <v>77.75190909639997</v>
      </c>
      <c r="X902">
        <f t="shared" si="213"/>
        <v>3.3777519086107999</v>
      </c>
      <c r="Y902">
        <f t="shared" si="214"/>
        <v>74.374157187789166</v>
      </c>
      <c r="Z902">
        <f t="shared" si="215"/>
        <v>30654.633702289826</v>
      </c>
      <c r="AB902">
        <f t="shared" si="216"/>
        <v>1774.5632390000001</v>
      </c>
      <c r="AC902">
        <f t="shared" si="217"/>
        <v>3811.0520120764004</v>
      </c>
      <c r="AD902">
        <f t="shared" si="218"/>
        <v>179.58579978679992</v>
      </c>
      <c r="AE902">
        <f t="shared" si="219"/>
        <v>7.8016898239396006</v>
      </c>
      <c r="AF902">
        <f t="shared" si="220"/>
        <v>171.78410996286033</v>
      </c>
      <c r="AG902">
        <f t="shared" si="226"/>
        <v>38282.304237094992</v>
      </c>
      <c r="AH902" t="b">
        <f t="shared" si="221"/>
        <v>1</v>
      </c>
    </row>
    <row r="903" spans="4:34" hidden="1" x14ac:dyDescent="0.4">
      <c r="D903" t="s">
        <v>59</v>
      </c>
      <c r="E903" t="s">
        <v>37</v>
      </c>
      <c r="F903" s="9">
        <v>45809.625</v>
      </c>
      <c r="G903" s="12">
        <v>104318</v>
      </c>
      <c r="H903" s="9">
        <v>45812.125</v>
      </c>
      <c r="I903" s="12">
        <v>105662.01</v>
      </c>
      <c r="J903" s="12">
        <v>9.9589999999999998E-2</v>
      </c>
      <c r="K903" s="12">
        <v>10389.42</v>
      </c>
      <c r="L903">
        <v>15.68</v>
      </c>
      <c r="M903">
        <v>118.17</v>
      </c>
      <c r="N903" s="13">
        <v>1.14E-2</v>
      </c>
      <c r="O903" t="s">
        <v>57</v>
      </c>
      <c r="Q903">
        <f t="shared" si="222"/>
        <v>133.84995589999949</v>
      </c>
      <c r="R903">
        <f t="shared" si="223"/>
        <v>118.16995589999948</v>
      </c>
      <c r="S903">
        <f t="shared" si="224"/>
        <v>10522.879575899999</v>
      </c>
      <c r="U903">
        <f t="shared" si="211"/>
        <v>1.5817000000000001E-2</v>
      </c>
      <c r="V903">
        <f t="shared" si="225"/>
        <v>1649.9978060000001</v>
      </c>
      <c r="W903">
        <f t="shared" si="212"/>
        <v>21.258206169999919</v>
      </c>
      <c r="X903">
        <f t="shared" si="213"/>
        <v>3.3212538181700006</v>
      </c>
      <c r="Y903">
        <f t="shared" si="214"/>
        <v>17.93695235182992</v>
      </c>
      <c r="Z903">
        <f t="shared" si="215"/>
        <v>30580.259545102035</v>
      </c>
      <c r="AB903">
        <f t="shared" si="216"/>
        <v>3.6492999999999998E-2</v>
      </c>
      <c r="AC903">
        <f t="shared" si="217"/>
        <v>3806.8767739999998</v>
      </c>
      <c r="AD903">
        <f t="shared" si="218"/>
        <v>49.046956929999808</v>
      </c>
      <c r="AE903">
        <f t="shared" si="219"/>
        <v>7.6628005049299999</v>
      </c>
      <c r="AF903">
        <f t="shared" si="220"/>
        <v>41.384156425069811</v>
      </c>
      <c r="AG903">
        <f t="shared" si="226"/>
        <v>38110.520127132135</v>
      </c>
      <c r="AH903" t="b">
        <f t="shared" si="221"/>
        <v>1</v>
      </c>
    </row>
    <row r="904" spans="4:34" hidden="1" x14ac:dyDescent="0.4">
      <c r="D904" t="s">
        <v>43</v>
      </c>
      <c r="E904" t="s">
        <v>37</v>
      </c>
      <c r="F904" s="9">
        <v>45809.625</v>
      </c>
      <c r="G904">
        <v>3.2747999999999999</v>
      </c>
      <c r="H904" s="9">
        <v>45811.625</v>
      </c>
      <c r="I904">
        <v>3.3003</v>
      </c>
      <c r="J904" s="12">
        <v>554.6</v>
      </c>
      <c r="K904" s="12">
        <v>1816.29</v>
      </c>
      <c r="L904">
        <v>2.73</v>
      </c>
      <c r="M904">
        <v>11.41</v>
      </c>
      <c r="N904" s="13">
        <v>6.3E-3</v>
      </c>
      <c r="O904" t="s">
        <v>38</v>
      </c>
      <c r="Q904">
        <f t="shared" si="222"/>
        <v>14.142300000000043</v>
      </c>
      <c r="R904">
        <f t="shared" si="223"/>
        <v>11.412300000000043</v>
      </c>
      <c r="S904">
        <f t="shared" si="224"/>
        <v>1830.3463800000002</v>
      </c>
      <c r="U904">
        <f t="shared" si="211"/>
        <v>503.84756299999998</v>
      </c>
      <c r="V904">
        <f t="shared" si="225"/>
        <v>1649.9999993124</v>
      </c>
      <c r="W904">
        <f t="shared" si="212"/>
        <v>12.848112856500039</v>
      </c>
      <c r="X904">
        <f t="shared" si="213"/>
        <v>3.3128481114813</v>
      </c>
      <c r="Y904">
        <f t="shared" si="214"/>
        <v>9.5352647450187398</v>
      </c>
      <c r="Z904">
        <f t="shared" si="215"/>
        <v>30562.322592750206</v>
      </c>
      <c r="AB904">
        <f t="shared" si="216"/>
        <v>1161.8159499999999</v>
      </c>
      <c r="AC904">
        <f t="shared" si="217"/>
        <v>3804.7148730599997</v>
      </c>
      <c r="AD904">
        <f t="shared" si="218"/>
        <v>29.626306725000088</v>
      </c>
      <c r="AE904">
        <f t="shared" si="219"/>
        <v>7.6390560528449996</v>
      </c>
      <c r="AF904">
        <f t="shared" si="220"/>
        <v>21.987250672155088</v>
      </c>
      <c r="AG904">
        <f t="shared" si="226"/>
        <v>38069.135970707066</v>
      </c>
      <c r="AH904" t="b">
        <f t="shared" si="221"/>
        <v>1</v>
      </c>
    </row>
    <row r="905" spans="4:34" hidden="1" x14ac:dyDescent="0.4">
      <c r="D905" t="s">
        <v>52</v>
      </c>
      <c r="E905" t="s">
        <v>37</v>
      </c>
      <c r="F905" s="9">
        <v>45809.625</v>
      </c>
      <c r="G905" s="12">
        <v>4.8849999999999998</v>
      </c>
      <c r="H905" s="9">
        <v>45811.625</v>
      </c>
      <c r="I905" s="12">
        <v>5.2050000000000001</v>
      </c>
      <c r="J905">
        <v>479.81</v>
      </c>
      <c r="K905" s="12">
        <v>2343.87</v>
      </c>
      <c r="L905">
        <v>3.63</v>
      </c>
      <c r="M905">
        <v>149.91</v>
      </c>
      <c r="N905" s="13">
        <v>6.4000000000000001E-2</v>
      </c>
      <c r="O905" t="s">
        <v>38</v>
      </c>
      <c r="Q905">
        <f t="shared" si="222"/>
        <v>153.53920000000014</v>
      </c>
      <c r="R905">
        <f t="shared" si="223"/>
        <v>149.90920000000014</v>
      </c>
      <c r="S905">
        <f t="shared" si="224"/>
        <v>2497.4110500000002</v>
      </c>
      <c r="U905">
        <f t="shared" si="211"/>
        <v>337.76868000000002</v>
      </c>
      <c r="V905">
        <f t="shared" si="225"/>
        <v>1650.0000018000001</v>
      </c>
      <c r="W905">
        <f t="shared" si="212"/>
        <v>108.08597760000011</v>
      </c>
      <c r="X905">
        <f t="shared" si="213"/>
        <v>3.4080859812000002</v>
      </c>
      <c r="Y905">
        <f t="shared" si="214"/>
        <v>104.6778916188001</v>
      </c>
      <c r="Z905">
        <f t="shared" si="215"/>
        <v>30552.787328005186</v>
      </c>
      <c r="AB905">
        <f t="shared" si="216"/>
        <v>773.94667200000004</v>
      </c>
      <c r="AC905">
        <f t="shared" si="217"/>
        <v>3780.7294927200001</v>
      </c>
      <c r="AD905">
        <f t="shared" si="218"/>
        <v>247.66293504000024</v>
      </c>
      <c r="AE905">
        <f t="shared" si="219"/>
        <v>7.80912192048</v>
      </c>
      <c r="AF905">
        <f t="shared" si="220"/>
        <v>239.85381311952023</v>
      </c>
      <c r="AG905">
        <f t="shared" si="226"/>
        <v>38047.148720034907</v>
      </c>
      <c r="AH905" t="b">
        <f t="shared" si="221"/>
        <v>1</v>
      </c>
    </row>
    <row r="906" spans="4:34" hidden="1" x14ac:dyDescent="0.4">
      <c r="D906" t="s">
        <v>54</v>
      </c>
      <c r="E906" t="s">
        <v>37</v>
      </c>
      <c r="F906" s="9">
        <v>45809.625</v>
      </c>
      <c r="G906">
        <v>152.11000000000001</v>
      </c>
      <c r="H906" s="9">
        <v>45811.625</v>
      </c>
      <c r="I906">
        <v>160.85</v>
      </c>
      <c r="J906" s="12">
        <v>31.602</v>
      </c>
      <c r="K906" s="12">
        <v>4807.12</v>
      </c>
      <c r="L906">
        <v>7.42</v>
      </c>
      <c r="M906">
        <v>268.77999999999997</v>
      </c>
      <c r="N906" s="13">
        <v>5.5899999999999998E-2</v>
      </c>
      <c r="O906" t="s">
        <v>38</v>
      </c>
      <c r="Q906">
        <f t="shared" si="222"/>
        <v>276.20147999999938</v>
      </c>
      <c r="R906">
        <f t="shared" si="223"/>
        <v>268.78147999999936</v>
      </c>
      <c r="S906">
        <f t="shared" si="224"/>
        <v>5083.1817000000001</v>
      </c>
      <c r="U906">
        <f t="shared" si="211"/>
        <v>10.847413</v>
      </c>
      <c r="V906">
        <f t="shared" si="225"/>
        <v>1649.9999914300001</v>
      </c>
      <c r="W906">
        <f t="shared" si="212"/>
        <v>94.806389619999791</v>
      </c>
      <c r="X906">
        <f t="shared" si="213"/>
        <v>3.3948063724800002</v>
      </c>
      <c r="Y906">
        <f t="shared" si="214"/>
        <v>91.411583247519786</v>
      </c>
      <c r="Z906">
        <f t="shared" si="215"/>
        <v>30448.109436386385</v>
      </c>
      <c r="AB906">
        <f t="shared" si="216"/>
        <v>24.718291000000001</v>
      </c>
      <c r="AC906">
        <f t="shared" si="217"/>
        <v>3759.8992440100005</v>
      </c>
      <c r="AD906">
        <f t="shared" si="218"/>
        <v>216.03786333999952</v>
      </c>
      <c r="AE906">
        <f t="shared" si="219"/>
        <v>7.7358363513600006</v>
      </c>
      <c r="AF906">
        <f t="shared" si="220"/>
        <v>208.30202698863951</v>
      </c>
      <c r="AG906">
        <f t="shared" si="226"/>
        <v>37807.294906915384</v>
      </c>
      <c r="AH906" t="b">
        <f t="shared" si="221"/>
        <v>1</v>
      </c>
    </row>
    <row r="907" spans="4:34" hidden="1" x14ac:dyDescent="0.4">
      <c r="D907" t="s">
        <v>58</v>
      </c>
      <c r="E907" t="s">
        <v>37</v>
      </c>
      <c r="F907" s="9">
        <v>45809.625</v>
      </c>
      <c r="G907">
        <v>13.83</v>
      </c>
      <c r="H907" s="9">
        <v>45811.625</v>
      </c>
      <c r="I907">
        <v>14.2</v>
      </c>
      <c r="J907">
        <v>509</v>
      </c>
      <c r="K907" s="12">
        <v>7039.51</v>
      </c>
      <c r="L907">
        <v>10.7</v>
      </c>
      <c r="M907">
        <v>177.63</v>
      </c>
      <c r="N907" s="13">
        <v>2.52E-2</v>
      </c>
      <c r="O907" t="s">
        <v>38</v>
      </c>
      <c r="Q907">
        <f t="shared" si="222"/>
        <v>188.32999999999961</v>
      </c>
      <c r="R907">
        <f t="shared" si="223"/>
        <v>177.62999999999963</v>
      </c>
      <c r="S907">
        <f t="shared" si="224"/>
        <v>7227.7999999999993</v>
      </c>
      <c r="U907">
        <f t="shared" si="211"/>
        <v>119.305857</v>
      </c>
      <c r="V907">
        <f t="shared" si="225"/>
        <v>1650.0000023100001</v>
      </c>
      <c r="W907">
        <f t="shared" si="212"/>
        <v>44.143167089999906</v>
      </c>
      <c r="X907">
        <f t="shared" si="213"/>
        <v>3.3441431717100003</v>
      </c>
      <c r="Y907">
        <f t="shared" si="214"/>
        <v>40.799023918289905</v>
      </c>
      <c r="Z907">
        <f t="shared" si="215"/>
        <v>30356.697853138867</v>
      </c>
      <c r="AB907">
        <f t="shared" si="216"/>
        <v>271.194883</v>
      </c>
      <c r="AC907">
        <f t="shared" si="217"/>
        <v>3750.6252318900001</v>
      </c>
      <c r="AD907">
        <f t="shared" si="218"/>
        <v>100.34210670999978</v>
      </c>
      <c r="AE907">
        <f t="shared" si="219"/>
        <v>7.6015925704900011</v>
      </c>
      <c r="AF907">
        <f t="shared" si="220"/>
        <v>92.740514139509784</v>
      </c>
      <c r="AG907">
        <f t="shared" si="226"/>
        <v>37598.992879926744</v>
      </c>
      <c r="AH907" t="b">
        <f t="shared" si="221"/>
        <v>1</v>
      </c>
    </row>
    <row r="908" spans="4:34" hidden="1" x14ac:dyDescent="0.4">
      <c r="D908" t="s">
        <v>61</v>
      </c>
      <c r="E908" t="s">
        <v>37</v>
      </c>
      <c r="F908" s="9">
        <v>45809.625</v>
      </c>
      <c r="G908">
        <v>0.66369999999999996</v>
      </c>
      <c r="H908" s="9">
        <v>45811.625</v>
      </c>
      <c r="I908">
        <v>0.68959999999999999</v>
      </c>
      <c r="J908" s="12">
        <v>12298.2</v>
      </c>
      <c r="K908" s="12">
        <v>8162.33</v>
      </c>
      <c r="L908">
        <v>12.48</v>
      </c>
      <c r="M908">
        <v>306.04000000000002</v>
      </c>
      <c r="N908" s="13">
        <v>3.7499999999999999E-2</v>
      </c>
      <c r="O908" t="s">
        <v>38</v>
      </c>
      <c r="Q908">
        <f t="shared" si="222"/>
        <v>318.52338000000043</v>
      </c>
      <c r="R908">
        <f t="shared" si="223"/>
        <v>306.04338000000041</v>
      </c>
      <c r="S908">
        <f t="shared" si="224"/>
        <v>8480.8387199999997</v>
      </c>
      <c r="U908">
        <f t="shared" si="211"/>
        <v>2486.0629800000002</v>
      </c>
      <c r="V908">
        <f t="shared" si="225"/>
        <v>1649.999999826</v>
      </c>
      <c r="W908">
        <f t="shared" si="212"/>
        <v>64.389031182000082</v>
      </c>
      <c r="X908">
        <f t="shared" si="213"/>
        <v>3.3643890308340003</v>
      </c>
      <c r="Y908">
        <f t="shared" si="214"/>
        <v>61.024642151166084</v>
      </c>
      <c r="Z908">
        <f t="shared" si="215"/>
        <v>30315.898829220576</v>
      </c>
      <c r="AB908">
        <f t="shared" si="216"/>
        <v>5630.2618679999996</v>
      </c>
      <c r="AC908">
        <f t="shared" si="217"/>
        <v>3736.8048017915994</v>
      </c>
      <c r="AD908">
        <f t="shared" si="218"/>
        <v>145.82378238120017</v>
      </c>
      <c r="AE908">
        <f t="shared" si="219"/>
        <v>7.619433385964399</v>
      </c>
      <c r="AF908">
        <f t="shared" si="220"/>
        <v>138.20434899523576</v>
      </c>
      <c r="AG908">
        <f t="shared" si="226"/>
        <v>37506.252365787237</v>
      </c>
      <c r="AH908" t="b">
        <f t="shared" si="221"/>
        <v>1</v>
      </c>
    </row>
    <row r="909" spans="4:34" hidden="1" x14ac:dyDescent="0.4">
      <c r="D909" t="s">
        <v>53</v>
      </c>
      <c r="E909" t="s">
        <v>37</v>
      </c>
      <c r="F909" s="9">
        <v>45809.625</v>
      </c>
      <c r="G909">
        <v>650.41999999999996</v>
      </c>
      <c r="H909" s="9">
        <v>45811.625</v>
      </c>
      <c r="I909">
        <v>664.95</v>
      </c>
      <c r="J909">
        <v>14.3</v>
      </c>
      <c r="K909" s="12">
        <v>9301.6200000000008</v>
      </c>
      <c r="L909">
        <v>14.11</v>
      </c>
      <c r="M909">
        <v>193.67</v>
      </c>
      <c r="N909" s="13">
        <v>2.0799999999999999E-2</v>
      </c>
      <c r="O909" t="s">
        <v>38</v>
      </c>
      <c r="Q909">
        <f t="shared" si="222"/>
        <v>207.77900000000125</v>
      </c>
      <c r="R909">
        <f t="shared" si="223"/>
        <v>193.66900000000123</v>
      </c>
      <c r="S909">
        <f t="shared" si="224"/>
        <v>9508.7850000000017</v>
      </c>
      <c r="U909">
        <f t="shared" ref="U909:U972" si="227">ROUND(($Q$2)/G909,6)</f>
        <v>2.5368219999999999</v>
      </c>
      <c r="V909">
        <f t="shared" si="225"/>
        <v>1649.9997652399998</v>
      </c>
      <c r="W909">
        <f t="shared" ref="W909:W972" si="228">U909*(I909-G909)</f>
        <v>36.860023660000216</v>
      </c>
      <c r="X909">
        <f t="shared" ref="X909:X972" si="229">(G909+I909)*$R$2*U909</f>
        <v>3.3368595541399997</v>
      </c>
      <c r="Y909">
        <f t="shared" ref="Y909:Y972" si="230">W909-X909</f>
        <v>33.523164105860218</v>
      </c>
      <c r="Z909">
        <f t="shared" ref="Z909:Z972" si="231">Z910+Y909</f>
        <v>30254.87418706941</v>
      </c>
      <c r="AB909">
        <f t="shared" ref="AB909:AB972" si="232">ROUND(((AH909*AG910 +(1-AH909)*AI909)/$P$2)/G909,6)</f>
        <v>5.7335690000000001</v>
      </c>
      <c r="AC909">
        <f t="shared" ref="AC909:AC972" si="233">AB909*G909</f>
        <v>3729.2279489799998</v>
      </c>
      <c r="AD909">
        <f t="shared" ref="AD909:AD972" si="234">AB909*(I909-G909)</f>
        <v>83.308757570000495</v>
      </c>
      <c r="AE909">
        <f t="shared" ref="AE909:AE972" si="235">(G909+I909)*$R$2*AB909</f>
        <v>7.5417646555299998</v>
      </c>
      <c r="AF909">
        <f t="shared" ref="AF909:AF972" si="236">AD909-AE909</f>
        <v>75.766992914470492</v>
      </c>
      <c r="AG909">
        <f t="shared" si="226"/>
        <v>37368.048016792003</v>
      </c>
      <c r="AH909" t="b">
        <f t="shared" ref="AH909:AH972" si="237">ISBLANK(AI909)</f>
        <v>1</v>
      </c>
    </row>
    <row r="910" spans="4:34" hidden="1" x14ac:dyDescent="0.4">
      <c r="D910" t="s">
        <v>55</v>
      </c>
      <c r="E910" t="s">
        <v>37</v>
      </c>
      <c r="F910" s="9">
        <v>45809.083333333336</v>
      </c>
      <c r="G910">
        <v>5.821E-5</v>
      </c>
      <c r="H910" s="9">
        <v>45811.083333333336</v>
      </c>
      <c r="I910">
        <v>6.0850000000000002E-5</v>
      </c>
      <c r="J910" s="12">
        <v>101783489.73</v>
      </c>
      <c r="K910" s="12">
        <v>5924.82</v>
      </c>
      <c r="L910">
        <v>9.09</v>
      </c>
      <c r="M910">
        <v>259.62</v>
      </c>
      <c r="N910" s="13">
        <v>4.3799999999999999E-2</v>
      </c>
      <c r="O910" t="s">
        <v>38</v>
      </c>
      <c r="Q910">
        <f t="shared" ref="Q910:Q973" si="238">(I910-G910)*J910</f>
        <v>268.70841288720021</v>
      </c>
      <c r="R910">
        <f t="shared" ref="R910:R973" si="239">Q910-L910</f>
        <v>259.61841288720024</v>
      </c>
      <c r="S910">
        <f t="shared" ref="S910:S973" si="240">I910*J910</f>
        <v>6193.5253500705003</v>
      </c>
      <c r="U910">
        <f t="shared" si="227"/>
        <v>28345645.078164998</v>
      </c>
      <c r="V910">
        <f t="shared" ref="V910:V973" si="241">U910*G910</f>
        <v>1649.9999999999845</v>
      </c>
      <c r="W910">
        <f t="shared" si="228"/>
        <v>74.832503006355651</v>
      </c>
      <c r="X910">
        <f t="shared" si="229"/>
        <v>3.3748325030063251</v>
      </c>
      <c r="Y910">
        <f t="shared" si="230"/>
        <v>71.45767050334932</v>
      </c>
      <c r="Z910">
        <f t="shared" si="231"/>
        <v>30221.35102296355</v>
      </c>
      <c r="AB910">
        <f t="shared" si="232"/>
        <v>63788821.905486003</v>
      </c>
      <c r="AC910">
        <f t="shared" si="233"/>
        <v>3713.1473231183404</v>
      </c>
      <c r="AD910">
        <f t="shared" si="234"/>
        <v>168.40248983048318</v>
      </c>
      <c r="AE910">
        <f t="shared" si="235"/>
        <v>7.5946971360671638</v>
      </c>
      <c r="AF910">
        <f t="shared" si="236"/>
        <v>160.80779269441601</v>
      </c>
      <c r="AG910">
        <f t="shared" si="226"/>
        <v>37292.281023877535</v>
      </c>
      <c r="AH910" t="b">
        <f t="shared" si="237"/>
        <v>1</v>
      </c>
    </row>
    <row r="911" spans="4:34" hidden="1" x14ac:dyDescent="0.4">
      <c r="D911" t="s">
        <v>48</v>
      </c>
      <c r="E911" t="s">
        <v>37</v>
      </c>
      <c r="F911" s="9">
        <v>45808.833333333336</v>
      </c>
      <c r="G911">
        <v>0.1293</v>
      </c>
      <c r="H911" s="9">
        <v>45810.833333333336</v>
      </c>
      <c r="I911">
        <v>0.1353</v>
      </c>
      <c r="J911" s="12">
        <v>23047.4</v>
      </c>
      <c r="K911" s="12">
        <v>2980.04</v>
      </c>
      <c r="L911">
        <v>4.57</v>
      </c>
      <c r="M911">
        <v>133.71</v>
      </c>
      <c r="N911" s="13">
        <v>4.4900000000000002E-2</v>
      </c>
      <c r="O911" t="s">
        <v>38</v>
      </c>
      <c r="Q911">
        <f t="shared" si="238"/>
        <v>138.28440000000012</v>
      </c>
      <c r="R911">
        <f t="shared" si="239"/>
        <v>133.71440000000013</v>
      </c>
      <c r="S911">
        <f t="shared" si="240"/>
        <v>3118.3132200000005</v>
      </c>
      <c r="U911">
        <f t="shared" si="227"/>
        <v>12761.020882000001</v>
      </c>
      <c r="V911">
        <f t="shared" si="241"/>
        <v>1650.0000000426</v>
      </c>
      <c r="W911">
        <f t="shared" si="228"/>
        <v>76.566125292000066</v>
      </c>
      <c r="X911">
        <f t="shared" si="229"/>
        <v>3.3765661253772001</v>
      </c>
      <c r="Y911">
        <f t="shared" si="230"/>
        <v>73.189559166622871</v>
      </c>
      <c r="Z911">
        <f t="shared" si="231"/>
        <v>30149.8933524602</v>
      </c>
      <c r="AB911">
        <f t="shared" si="232"/>
        <v>28590.483659000001</v>
      </c>
      <c r="AC911">
        <f t="shared" si="233"/>
        <v>3696.7495371087002</v>
      </c>
      <c r="AD911">
        <f t="shared" si="234"/>
        <v>171.54290195400017</v>
      </c>
      <c r="AE911">
        <f t="shared" si="235"/>
        <v>7.5650419761713996</v>
      </c>
      <c r="AF911">
        <f t="shared" si="236"/>
        <v>163.97785997782879</v>
      </c>
      <c r="AG911">
        <f t="shared" si="226"/>
        <v>37131.473231183118</v>
      </c>
      <c r="AH911" t="b">
        <f t="shared" si="237"/>
        <v>1</v>
      </c>
    </row>
    <row r="912" spans="4:34" hidden="1" x14ac:dyDescent="0.4">
      <c r="D912" t="s">
        <v>50</v>
      </c>
      <c r="E912" t="s">
        <v>37</v>
      </c>
      <c r="F912" s="9">
        <v>45808.583333333336</v>
      </c>
      <c r="G912">
        <v>403.9</v>
      </c>
      <c r="H912" s="9">
        <v>45810.583333333336</v>
      </c>
      <c r="I912">
        <v>410.4</v>
      </c>
      <c r="J912" s="12">
        <v>31.421099999999999</v>
      </c>
      <c r="K912" s="12">
        <v>12690.98</v>
      </c>
      <c r="L912">
        <v>19.190000000000001</v>
      </c>
      <c r="M912">
        <v>185.05</v>
      </c>
      <c r="N912" s="13">
        <v>1.46E-2</v>
      </c>
      <c r="O912" t="s">
        <v>38</v>
      </c>
      <c r="Q912">
        <f t="shared" si="238"/>
        <v>204.23714999999999</v>
      </c>
      <c r="R912">
        <f t="shared" si="239"/>
        <v>185.04714999999999</v>
      </c>
      <c r="S912">
        <f t="shared" si="240"/>
        <v>12895.219439999999</v>
      </c>
      <c r="U912">
        <f t="shared" si="227"/>
        <v>4.0851699999999997</v>
      </c>
      <c r="V912">
        <f t="shared" si="241"/>
        <v>1650.0001629999997</v>
      </c>
      <c r="W912">
        <f t="shared" si="228"/>
        <v>26.553604999999997</v>
      </c>
      <c r="X912">
        <f t="shared" si="229"/>
        <v>3.3265539309999999</v>
      </c>
      <c r="Y912">
        <f t="shared" si="230"/>
        <v>23.227051068999998</v>
      </c>
      <c r="Z912">
        <f t="shared" si="231"/>
        <v>30076.703793293578</v>
      </c>
      <c r="AB912">
        <f t="shared" si="232"/>
        <v>9.1397700000000004</v>
      </c>
      <c r="AC912">
        <f t="shared" si="233"/>
        <v>3691.5531029999997</v>
      </c>
      <c r="AD912">
        <f t="shared" si="234"/>
        <v>59.408505000000005</v>
      </c>
      <c r="AE912">
        <f t="shared" si="235"/>
        <v>7.4425147110000003</v>
      </c>
      <c r="AF912">
        <f t="shared" si="236"/>
        <v>51.965990289000004</v>
      </c>
      <c r="AG912">
        <f t="shared" si="226"/>
        <v>36967.495371205288</v>
      </c>
      <c r="AH912" t="b">
        <f t="shared" si="237"/>
        <v>1</v>
      </c>
    </row>
    <row r="913" spans="4:34" hidden="1" x14ac:dyDescent="0.4">
      <c r="D913" t="s">
        <v>60</v>
      </c>
      <c r="E913" t="s">
        <v>37</v>
      </c>
      <c r="F913" s="9">
        <v>45806.333333333336</v>
      </c>
      <c r="G913">
        <v>2.2852999999999999</v>
      </c>
      <c r="H913" s="9">
        <v>45808.833333333336</v>
      </c>
      <c r="I913">
        <v>2.1903000000000001</v>
      </c>
      <c r="J913" s="12">
        <v>962.3</v>
      </c>
      <c r="K913" s="12">
        <v>2199.27</v>
      </c>
      <c r="L913">
        <v>3.23</v>
      </c>
      <c r="M913">
        <v>-94.65</v>
      </c>
      <c r="N913" s="13">
        <v>-4.2999999999999997E-2</v>
      </c>
      <c r="O913" t="s">
        <v>57</v>
      </c>
      <c r="Q913">
        <f t="shared" si="238"/>
        <v>-91.418499999999753</v>
      </c>
      <c r="R913">
        <f t="shared" si="239"/>
        <v>-94.648499999999757</v>
      </c>
      <c r="S913">
        <f t="shared" si="240"/>
        <v>2107.7256900000002</v>
      </c>
      <c r="U913">
        <f t="shared" si="227"/>
        <v>722.00586399999997</v>
      </c>
      <c r="V913">
        <f t="shared" si="241"/>
        <v>1650.0000009991998</v>
      </c>
      <c r="W913">
        <f t="shared" si="228"/>
        <v>-68.590557079999812</v>
      </c>
      <c r="X913">
        <f t="shared" si="229"/>
        <v>3.2314094449183997</v>
      </c>
      <c r="Y913">
        <f t="shared" si="230"/>
        <v>-71.82196652491821</v>
      </c>
      <c r="Z913">
        <f t="shared" si="231"/>
        <v>30053.476742224579</v>
      </c>
      <c r="AB913">
        <f t="shared" si="232"/>
        <v>1622.4092909999999</v>
      </c>
      <c r="AC913">
        <f t="shared" si="233"/>
        <v>3707.6919527222999</v>
      </c>
      <c r="AD913">
        <f t="shared" si="234"/>
        <v>-154.12888264499958</v>
      </c>
      <c r="AE913">
        <f t="shared" si="235"/>
        <v>7.2612550227995989</v>
      </c>
      <c r="AF913">
        <f t="shared" si="236"/>
        <v>-161.39013766779917</v>
      </c>
      <c r="AG913">
        <f t="shared" si="226"/>
        <v>36915.52938091629</v>
      </c>
      <c r="AH913" t="b">
        <f t="shared" si="237"/>
        <v>1</v>
      </c>
    </row>
    <row r="914" spans="4:34" hidden="1" x14ac:dyDescent="0.4">
      <c r="D914" t="s">
        <v>58</v>
      </c>
      <c r="E914" t="s">
        <v>37</v>
      </c>
      <c r="F914" s="9">
        <v>45806.416666666664</v>
      </c>
      <c r="G914">
        <v>15.88</v>
      </c>
      <c r="H914" s="9">
        <v>45808.416666666664</v>
      </c>
      <c r="I914">
        <v>13.77</v>
      </c>
      <c r="J914">
        <v>449.32</v>
      </c>
      <c r="K914" s="12">
        <v>7135.32</v>
      </c>
      <c r="L914">
        <v>9.99</v>
      </c>
      <c r="M914">
        <v>-958.06</v>
      </c>
      <c r="N914" s="13">
        <v>-0.1343</v>
      </c>
      <c r="O914" t="s">
        <v>38</v>
      </c>
      <c r="Q914">
        <f t="shared" si="238"/>
        <v>-948.06520000000057</v>
      </c>
      <c r="R914">
        <f t="shared" si="239"/>
        <v>-958.05520000000058</v>
      </c>
      <c r="S914">
        <f t="shared" si="240"/>
        <v>6187.1363999999994</v>
      </c>
      <c r="U914">
        <f t="shared" si="227"/>
        <v>103.90428199999999</v>
      </c>
      <c r="V914">
        <f t="shared" si="241"/>
        <v>1649.9999981599999</v>
      </c>
      <c r="W914">
        <f t="shared" si="228"/>
        <v>-219.23803502000013</v>
      </c>
      <c r="X914">
        <f t="shared" si="229"/>
        <v>3.0807619612999999</v>
      </c>
      <c r="Y914">
        <f t="shared" si="230"/>
        <v>-222.31879698130012</v>
      </c>
      <c r="Z914">
        <f t="shared" si="231"/>
        <v>30125.298708749498</v>
      </c>
      <c r="AB914">
        <f t="shared" si="232"/>
        <v>236.67073099999999</v>
      </c>
      <c r="AC914">
        <f t="shared" si="233"/>
        <v>3758.3312082799998</v>
      </c>
      <c r="AD914">
        <f t="shared" si="234"/>
        <v>-499.37524241000028</v>
      </c>
      <c r="AE914">
        <f t="shared" si="235"/>
        <v>7.0172871741499998</v>
      </c>
      <c r="AF914">
        <f t="shared" si="236"/>
        <v>-506.39252958415028</v>
      </c>
      <c r="AG914">
        <f t="shared" si="226"/>
        <v>37076.919518584087</v>
      </c>
      <c r="AH914" t="b">
        <f t="shared" si="237"/>
        <v>1</v>
      </c>
    </row>
    <row r="915" spans="4:34" hidden="1" x14ac:dyDescent="0.4">
      <c r="D915" t="s">
        <v>43</v>
      </c>
      <c r="E915" t="s">
        <v>37</v>
      </c>
      <c r="F915" s="9">
        <v>45806.333333333336</v>
      </c>
      <c r="G915">
        <v>3.6575000000000002</v>
      </c>
      <c r="H915" s="9">
        <v>45808.333333333336</v>
      </c>
      <c r="I915">
        <v>3.1741000000000001</v>
      </c>
      <c r="J915">
        <v>503.3</v>
      </c>
      <c r="K915" s="12">
        <v>1840.88</v>
      </c>
      <c r="L915">
        <v>2.58</v>
      </c>
      <c r="M915" s="12">
        <v>-245.87</v>
      </c>
      <c r="N915" s="13">
        <v>-0.1336</v>
      </c>
      <c r="O915" t="s">
        <v>38</v>
      </c>
      <c r="Q915">
        <f t="shared" si="238"/>
        <v>-243.29522000000003</v>
      </c>
      <c r="R915">
        <f t="shared" si="239"/>
        <v>-245.87522000000004</v>
      </c>
      <c r="S915">
        <f t="shared" si="240"/>
        <v>1597.5245300000001</v>
      </c>
      <c r="U915">
        <f t="shared" si="227"/>
        <v>451.12781999999999</v>
      </c>
      <c r="V915">
        <f t="shared" si="241"/>
        <v>1650.0000016500001</v>
      </c>
      <c r="W915">
        <f t="shared" si="228"/>
        <v>-218.07518818800003</v>
      </c>
      <c r="X915">
        <f t="shared" si="229"/>
        <v>3.081924815112</v>
      </c>
      <c r="Y915">
        <f t="shared" si="230"/>
        <v>-221.15711300311202</v>
      </c>
      <c r="Z915">
        <f t="shared" si="231"/>
        <v>30347.617505730799</v>
      </c>
      <c r="AB915">
        <f t="shared" si="232"/>
        <v>1041.5284260000001</v>
      </c>
      <c r="AC915">
        <f t="shared" si="233"/>
        <v>3809.3902180950004</v>
      </c>
      <c r="AD915">
        <f t="shared" si="234"/>
        <v>-503.4748411284001</v>
      </c>
      <c r="AE915">
        <f t="shared" si="235"/>
        <v>7.1153055950616011</v>
      </c>
      <c r="AF915">
        <f t="shared" si="236"/>
        <v>-510.59014672346171</v>
      </c>
      <c r="AG915">
        <f t="shared" si="226"/>
        <v>37583.312048168234</v>
      </c>
      <c r="AH915" t="b">
        <f t="shared" si="237"/>
        <v>1</v>
      </c>
    </row>
    <row r="916" spans="4:34" hidden="1" x14ac:dyDescent="0.4">
      <c r="D916" t="s">
        <v>55</v>
      </c>
      <c r="E916" t="s">
        <v>37</v>
      </c>
      <c r="F916" s="9">
        <v>45805.5</v>
      </c>
      <c r="G916" s="12">
        <v>6.2589999999999995E-5</v>
      </c>
      <c r="H916" s="9">
        <v>45807.5</v>
      </c>
      <c r="I916" s="12">
        <v>5.8919999999999998E-5</v>
      </c>
      <c r="J916" s="12">
        <v>95233029.900000006</v>
      </c>
      <c r="K916" s="12">
        <v>5960.64</v>
      </c>
      <c r="L916">
        <v>8.68</v>
      </c>
      <c r="M916">
        <v>-358.18</v>
      </c>
      <c r="N916" s="13">
        <v>-6.0100000000000001E-2</v>
      </c>
      <c r="O916" t="s">
        <v>38</v>
      </c>
      <c r="Q916">
        <f t="shared" si="238"/>
        <v>-349.50521973299976</v>
      </c>
      <c r="R916">
        <f t="shared" si="239"/>
        <v>-358.18521973299977</v>
      </c>
      <c r="S916">
        <f t="shared" si="240"/>
        <v>5611.1301217079999</v>
      </c>
      <c r="U916">
        <f t="shared" si="227"/>
        <v>26362038.664322998</v>
      </c>
      <c r="V916">
        <f t="shared" si="241"/>
        <v>1649.9999999999764</v>
      </c>
      <c r="W916">
        <f t="shared" si="228"/>
        <v>-96.748681898065328</v>
      </c>
      <c r="X916">
        <f t="shared" si="229"/>
        <v>3.2032513181018878</v>
      </c>
      <c r="Y916">
        <f t="shared" si="230"/>
        <v>-99.95193321616722</v>
      </c>
      <c r="Z916">
        <f t="shared" si="231"/>
        <v>30568.774618733911</v>
      </c>
      <c r="AB916">
        <f t="shared" si="232"/>
        <v>61233535.319365002</v>
      </c>
      <c r="AC916">
        <f t="shared" si="233"/>
        <v>3832.6069756390552</v>
      </c>
      <c r="AD916">
        <f t="shared" si="234"/>
        <v>-224.72707462206938</v>
      </c>
      <c r="AE916">
        <f t="shared" si="235"/>
        <v>7.4404868766560419</v>
      </c>
      <c r="AF916">
        <f t="shared" si="236"/>
        <v>-232.16756149872543</v>
      </c>
      <c r="AG916">
        <f t="shared" si="226"/>
        <v>38093.9021948917</v>
      </c>
      <c r="AH916" t="b">
        <f t="shared" si="237"/>
        <v>1</v>
      </c>
    </row>
    <row r="917" spans="4:34" hidden="1" x14ac:dyDescent="0.4">
      <c r="D917" t="s">
        <v>53</v>
      </c>
      <c r="E917" t="s">
        <v>37</v>
      </c>
      <c r="F917" s="9">
        <v>45805.208333333336</v>
      </c>
      <c r="G917">
        <v>684.73</v>
      </c>
      <c r="H917" s="9">
        <v>45807.208333333336</v>
      </c>
      <c r="I917">
        <v>673.36</v>
      </c>
      <c r="J917" s="12">
        <v>13.608000000000001</v>
      </c>
      <c r="K917" s="12">
        <v>9318.48</v>
      </c>
      <c r="L917">
        <v>13.86</v>
      </c>
      <c r="M917">
        <v>-168.58</v>
      </c>
      <c r="N917" s="13">
        <v>-1.8100000000000002E-2</v>
      </c>
      <c r="O917" t="s">
        <v>38</v>
      </c>
      <c r="Q917">
        <f t="shared" si="238"/>
        <v>-154.72296000000006</v>
      </c>
      <c r="R917">
        <f t="shared" si="239"/>
        <v>-168.58296000000007</v>
      </c>
      <c r="S917">
        <f t="shared" si="240"/>
        <v>9163.0828799999999</v>
      </c>
      <c r="U917">
        <f t="shared" si="227"/>
        <v>2.4097089999999999</v>
      </c>
      <c r="V917">
        <f t="shared" si="241"/>
        <v>1650.0000435699999</v>
      </c>
      <c r="W917">
        <f t="shared" si="228"/>
        <v>-27.39839133000001</v>
      </c>
      <c r="X917">
        <f t="shared" si="229"/>
        <v>3.2726016958100006</v>
      </c>
      <c r="Y917">
        <f t="shared" si="230"/>
        <v>-30.670993025810009</v>
      </c>
      <c r="Z917">
        <f t="shared" si="231"/>
        <v>30668.72655195008</v>
      </c>
      <c r="AB917">
        <f t="shared" si="232"/>
        <v>5.6076769999999998</v>
      </c>
      <c r="AC917">
        <f t="shared" si="233"/>
        <v>3839.7446722099999</v>
      </c>
      <c r="AD917">
        <f t="shared" si="234"/>
        <v>-63.75928749000002</v>
      </c>
      <c r="AE917">
        <f t="shared" si="235"/>
        <v>7.6157300569300013</v>
      </c>
      <c r="AF917">
        <f t="shared" si="236"/>
        <v>-71.375017546930025</v>
      </c>
      <c r="AG917">
        <f t="shared" si="226"/>
        <v>38326.069756390425</v>
      </c>
      <c r="AH917" t="b">
        <f t="shared" si="237"/>
        <v>1</v>
      </c>
    </row>
    <row r="918" spans="4:34" hidden="1" x14ac:dyDescent="0.4">
      <c r="D918" t="s">
        <v>56</v>
      </c>
      <c r="E918" t="s">
        <v>37</v>
      </c>
      <c r="F918" s="9">
        <v>45805.5</v>
      </c>
      <c r="G918" s="12">
        <v>2641.73</v>
      </c>
      <c r="H918" s="9">
        <v>45807.083333333336</v>
      </c>
      <c r="I918" s="12">
        <v>2596.02</v>
      </c>
      <c r="J918">
        <v>2.0287999999999999</v>
      </c>
      <c r="K918" s="12">
        <v>5359.68</v>
      </c>
      <c r="L918">
        <v>7.97</v>
      </c>
      <c r="M918">
        <v>-100.72</v>
      </c>
      <c r="N918" s="13">
        <v>-1.8800000000000001E-2</v>
      </c>
      <c r="O918" t="s">
        <v>49</v>
      </c>
      <c r="Q918">
        <f t="shared" si="238"/>
        <v>-92.736448000000067</v>
      </c>
      <c r="R918">
        <f t="shared" si="239"/>
        <v>-100.70644800000007</v>
      </c>
      <c r="S918">
        <f t="shared" si="240"/>
        <v>5266.8053760000003</v>
      </c>
      <c r="U918">
        <f t="shared" si="227"/>
        <v>0.62459100000000001</v>
      </c>
      <c r="V918">
        <f t="shared" si="241"/>
        <v>1650.0007824300001</v>
      </c>
      <c r="W918">
        <f t="shared" si="228"/>
        <v>-28.550054610000021</v>
      </c>
      <c r="X918">
        <f t="shared" si="229"/>
        <v>3.2714515102499999</v>
      </c>
      <c r="Y918">
        <f t="shared" si="230"/>
        <v>-31.821506120250021</v>
      </c>
      <c r="Z918">
        <f t="shared" si="231"/>
        <v>30699.397544975891</v>
      </c>
      <c r="AB918">
        <f t="shared" si="232"/>
        <v>1.456305</v>
      </c>
      <c r="AC918">
        <f t="shared" si="233"/>
        <v>3847.1646076500001</v>
      </c>
      <c r="AD918">
        <f t="shared" si="234"/>
        <v>-66.567701550000052</v>
      </c>
      <c r="AE918">
        <f t="shared" si="235"/>
        <v>7.6277615137500003</v>
      </c>
      <c r="AF918">
        <f t="shared" si="236"/>
        <v>-74.195463063750054</v>
      </c>
      <c r="AG918">
        <f t="shared" si="226"/>
        <v>38397.444773937357</v>
      </c>
      <c r="AH918" t="b">
        <f t="shared" si="237"/>
        <v>1</v>
      </c>
    </row>
    <row r="919" spans="4:34" hidden="1" x14ac:dyDescent="0.4">
      <c r="D919" t="s">
        <v>52</v>
      </c>
      <c r="E919" t="s">
        <v>37</v>
      </c>
      <c r="F919" s="9">
        <v>45804.916666666664</v>
      </c>
      <c r="G919">
        <v>5.37</v>
      </c>
      <c r="H919" s="9">
        <v>45806.916666666664</v>
      </c>
      <c r="I919">
        <v>5.2670000000000003</v>
      </c>
      <c r="J919">
        <v>437.37</v>
      </c>
      <c r="K919" s="12">
        <v>2348.73</v>
      </c>
      <c r="L919">
        <v>3.49</v>
      </c>
      <c r="M919">
        <v>-48.54</v>
      </c>
      <c r="N919" s="13">
        <v>-2.07E-2</v>
      </c>
      <c r="O919" t="s">
        <v>38</v>
      </c>
      <c r="Q919">
        <f t="shared" si="238"/>
        <v>-45.049109999999892</v>
      </c>
      <c r="R919">
        <f t="shared" si="239"/>
        <v>-48.539109999999894</v>
      </c>
      <c r="S919">
        <f t="shared" si="240"/>
        <v>2303.62779</v>
      </c>
      <c r="U919">
        <f t="shared" si="227"/>
        <v>307.26256999999998</v>
      </c>
      <c r="V919">
        <f t="shared" si="241"/>
        <v>1650.0000009</v>
      </c>
      <c r="W919">
        <f t="shared" si="228"/>
        <v>-31.648044709999922</v>
      </c>
      <c r="X919">
        <f t="shared" si="229"/>
        <v>3.2683519570900001</v>
      </c>
      <c r="Y919">
        <f t="shared" si="230"/>
        <v>-34.91639666708992</v>
      </c>
      <c r="Z919">
        <f t="shared" si="231"/>
        <v>30731.219051096141</v>
      </c>
      <c r="AB919">
        <f t="shared" si="232"/>
        <v>717.937141</v>
      </c>
      <c r="AC919">
        <f t="shared" si="233"/>
        <v>3855.32244717</v>
      </c>
      <c r="AD919">
        <f t="shared" si="234"/>
        <v>-73.947525522999825</v>
      </c>
      <c r="AE919">
        <f t="shared" si="235"/>
        <v>7.6366973688170008</v>
      </c>
      <c r="AF919">
        <f t="shared" si="236"/>
        <v>-81.584222891816822</v>
      </c>
      <c r="AG919">
        <f t="shared" si="226"/>
        <v>38471.640237001106</v>
      </c>
      <c r="AH919" t="b">
        <f t="shared" si="237"/>
        <v>1</v>
      </c>
    </row>
    <row r="920" spans="4:34" hidden="1" x14ac:dyDescent="0.4">
      <c r="D920" t="s">
        <v>50</v>
      </c>
      <c r="E920" t="s">
        <v>37</v>
      </c>
      <c r="F920" s="9">
        <v>45804.708333333336</v>
      </c>
      <c r="G920">
        <v>446.6</v>
      </c>
      <c r="H920" s="9">
        <v>45806.708333333336</v>
      </c>
      <c r="I920">
        <v>424.1</v>
      </c>
      <c r="J920">
        <v>28.564900000000002</v>
      </c>
      <c r="K920" s="12">
        <v>12757.12</v>
      </c>
      <c r="L920">
        <v>18.649999999999999</v>
      </c>
      <c r="M920">
        <v>-661.36</v>
      </c>
      <c r="N920" s="13">
        <v>-5.1799999999999999E-2</v>
      </c>
      <c r="O920" t="s">
        <v>38</v>
      </c>
      <c r="Q920">
        <f t="shared" si="238"/>
        <v>-642.71025000000009</v>
      </c>
      <c r="R920">
        <f t="shared" si="239"/>
        <v>-661.36025000000006</v>
      </c>
      <c r="S920">
        <f t="shared" si="240"/>
        <v>12114.374090000001</v>
      </c>
      <c r="U920">
        <f t="shared" si="227"/>
        <v>3.6945809999999999</v>
      </c>
      <c r="V920">
        <f t="shared" si="241"/>
        <v>1649.9998746000001</v>
      </c>
      <c r="W920">
        <f t="shared" si="228"/>
        <v>-83.128072500000002</v>
      </c>
      <c r="X920">
        <f t="shared" si="229"/>
        <v>3.2168716766999998</v>
      </c>
      <c r="Y920">
        <f t="shared" si="230"/>
        <v>-86.344944176699997</v>
      </c>
      <c r="Z920">
        <f t="shared" si="231"/>
        <v>30766.13544776323</v>
      </c>
      <c r="AB920">
        <f t="shared" si="232"/>
        <v>8.6780200000000001</v>
      </c>
      <c r="AC920">
        <f t="shared" si="233"/>
        <v>3875.603732</v>
      </c>
      <c r="AD920">
        <f t="shared" si="234"/>
        <v>-195.25545</v>
      </c>
      <c r="AE920">
        <f t="shared" si="235"/>
        <v>7.5559520140000007</v>
      </c>
      <c r="AF920">
        <f t="shared" si="236"/>
        <v>-202.81140201400001</v>
      </c>
      <c r="AG920">
        <f t="shared" si="226"/>
        <v>38553.224459892925</v>
      </c>
      <c r="AH920" t="b">
        <f t="shared" si="237"/>
        <v>1</v>
      </c>
    </row>
    <row r="921" spans="4:34" hidden="1" x14ac:dyDescent="0.4">
      <c r="D921" t="s">
        <v>58</v>
      </c>
      <c r="E921" t="s">
        <v>37</v>
      </c>
      <c r="F921" s="9">
        <v>45804.25</v>
      </c>
      <c r="G921">
        <v>15.53</v>
      </c>
      <c r="H921" s="9">
        <v>45806.25</v>
      </c>
      <c r="I921">
        <v>15.82</v>
      </c>
      <c r="J921" s="12">
        <v>458.66</v>
      </c>
      <c r="K921" s="12">
        <v>7123.1</v>
      </c>
      <c r="L921">
        <v>10.78</v>
      </c>
      <c r="M921">
        <v>122.23</v>
      </c>
      <c r="N921" s="13">
        <v>1.72E-2</v>
      </c>
      <c r="O921" t="s">
        <v>38</v>
      </c>
      <c r="Q921">
        <f t="shared" si="238"/>
        <v>133.01140000000044</v>
      </c>
      <c r="R921">
        <f t="shared" si="239"/>
        <v>122.23140000000043</v>
      </c>
      <c r="S921">
        <f t="shared" si="240"/>
        <v>7256.0012000000006</v>
      </c>
      <c r="U921">
        <f t="shared" si="227"/>
        <v>106.245976</v>
      </c>
      <c r="V921">
        <f t="shared" si="241"/>
        <v>1650.0000072799999</v>
      </c>
      <c r="W921">
        <f t="shared" si="228"/>
        <v>30.811333040000097</v>
      </c>
      <c r="X921">
        <f t="shared" si="229"/>
        <v>3.3308113476000001</v>
      </c>
      <c r="Y921">
        <f t="shared" si="230"/>
        <v>27.480521692400096</v>
      </c>
      <c r="Z921">
        <f t="shared" si="231"/>
        <v>30852.480391939931</v>
      </c>
      <c r="AB921">
        <f t="shared" si="232"/>
        <v>249.14098899999999</v>
      </c>
      <c r="AC921">
        <f t="shared" si="233"/>
        <v>3869.1595591699997</v>
      </c>
      <c r="AD921">
        <f t="shared" si="234"/>
        <v>72.250886810000225</v>
      </c>
      <c r="AE921">
        <f t="shared" si="235"/>
        <v>7.8105700051500007</v>
      </c>
      <c r="AF921">
        <f t="shared" si="236"/>
        <v>64.440316804850227</v>
      </c>
      <c r="AG921">
        <f t="shared" si="226"/>
        <v>38756.035861906923</v>
      </c>
      <c r="AH921" t="b">
        <f t="shared" si="237"/>
        <v>1</v>
      </c>
    </row>
    <row r="922" spans="4:34" hidden="1" x14ac:dyDescent="0.4">
      <c r="D922" t="s">
        <v>43</v>
      </c>
      <c r="E922" t="s">
        <v>37</v>
      </c>
      <c r="F922" s="9">
        <v>45804.208333333336</v>
      </c>
      <c r="G922">
        <v>3.4638</v>
      </c>
      <c r="H922" s="9">
        <v>45806.208333333336</v>
      </c>
      <c r="I922">
        <v>3.6444999999999999</v>
      </c>
      <c r="J922">
        <v>528.70000000000005</v>
      </c>
      <c r="K922" s="12">
        <v>1831.61</v>
      </c>
      <c r="L922">
        <v>2.82</v>
      </c>
      <c r="M922">
        <v>92.72</v>
      </c>
      <c r="N922" s="13">
        <v>5.0599999999999999E-2</v>
      </c>
      <c r="O922" t="s">
        <v>38</v>
      </c>
      <c r="Q922">
        <f t="shared" si="238"/>
        <v>95.53608999999993</v>
      </c>
      <c r="R922">
        <f t="shared" si="239"/>
        <v>92.716089999999937</v>
      </c>
      <c r="S922">
        <f t="shared" si="240"/>
        <v>1926.8471500000001</v>
      </c>
      <c r="U922">
        <f t="shared" si="227"/>
        <v>476.35544800000002</v>
      </c>
      <c r="V922">
        <f t="shared" si="241"/>
        <v>1650.0000007824001</v>
      </c>
      <c r="W922">
        <f t="shared" si="228"/>
        <v>86.077429453599933</v>
      </c>
      <c r="X922">
        <f t="shared" si="229"/>
        <v>3.3860774310183999</v>
      </c>
      <c r="Y922">
        <f t="shared" si="230"/>
        <v>82.691352022581526</v>
      </c>
      <c r="Z922">
        <f t="shared" si="231"/>
        <v>30824.999870247531</v>
      </c>
      <c r="AB922">
        <f t="shared" si="232"/>
        <v>1111.457238</v>
      </c>
      <c r="AC922">
        <f t="shared" si="233"/>
        <v>3849.8655809843999</v>
      </c>
      <c r="AD922">
        <f t="shared" si="234"/>
        <v>200.84032290659985</v>
      </c>
      <c r="AE922">
        <f t="shared" si="235"/>
        <v>7.9005714848753996</v>
      </c>
      <c r="AF922">
        <f t="shared" si="236"/>
        <v>192.93975142172445</v>
      </c>
      <c r="AG922">
        <f t="shared" si="226"/>
        <v>38691.595545102071</v>
      </c>
      <c r="AH922" t="b">
        <f t="shared" si="237"/>
        <v>1</v>
      </c>
    </row>
    <row r="923" spans="4:34" hidden="1" x14ac:dyDescent="0.4">
      <c r="D923" t="s">
        <v>59</v>
      </c>
      <c r="E923" t="s">
        <v>37</v>
      </c>
      <c r="F923" s="9">
        <v>45803.708333333336</v>
      </c>
      <c r="G923" s="12">
        <v>110055.99</v>
      </c>
      <c r="H923" s="9">
        <v>45806.208333333336</v>
      </c>
      <c r="I923" s="12">
        <v>108082.79</v>
      </c>
      <c r="J923" s="12">
        <v>9.4579999999999997E-2</v>
      </c>
      <c r="K923" s="12">
        <v>10409.629999999999</v>
      </c>
      <c r="L923">
        <v>15.47</v>
      </c>
      <c r="M923">
        <v>-202.1</v>
      </c>
      <c r="N923" s="13">
        <v>-1.9400000000000001E-2</v>
      </c>
      <c r="O923" t="s">
        <v>57</v>
      </c>
      <c r="Q923">
        <f t="shared" si="238"/>
        <v>-186.62525600000109</v>
      </c>
      <c r="R923">
        <f t="shared" si="239"/>
        <v>-202.09525600000109</v>
      </c>
      <c r="S923">
        <f t="shared" si="240"/>
        <v>10222.470278199999</v>
      </c>
      <c r="U923">
        <f t="shared" si="227"/>
        <v>1.4992E-2</v>
      </c>
      <c r="V923">
        <f t="shared" si="241"/>
        <v>1649.95940208</v>
      </c>
      <c r="W923">
        <f t="shared" si="228"/>
        <v>-29.582214400000176</v>
      </c>
      <c r="X923">
        <f t="shared" si="229"/>
        <v>3.2703365897599999</v>
      </c>
      <c r="Y923">
        <f t="shared" si="230"/>
        <v>-32.852550989760175</v>
      </c>
      <c r="Z923">
        <f t="shared" si="231"/>
        <v>30742.308518224949</v>
      </c>
      <c r="AB923">
        <f t="shared" si="232"/>
        <v>3.5050999999999999E-2</v>
      </c>
      <c r="AC923">
        <f t="shared" si="233"/>
        <v>3857.5725054899999</v>
      </c>
      <c r="AD923">
        <f t="shared" si="234"/>
        <v>-69.1626332000004</v>
      </c>
      <c r="AE923">
        <f t="shared" si="235"/>
        <v>7.6459823777799993</v>
      </c>
      <c r="AF923">
        <f t="shared" si="236"/>
        <v>-76.808615577780401</v>
      </c>
      <c r="AG923">
        <f t="shared" si="226"/>
        <v>38498.655793680344</v>
      </c>
      <c r="AH923" t="b">
        <f t="shared" si="237"/>
        <v>1</v>
      </c>
    </row>
    <row r="924" spans="4:34" hidden="1" x14ac:dyDescent="0.4">
      <c r="D924" t="s">
        <v>48</v>
      </c>
      <c r="E924" t="s">
        <v>37</v>
      </c>
      <c r="F924" s="9">
        <v>45804.166666666664</v>
      </c>
      <c r="G924">
        <v>0.14799999999999999</v>
      </c>
      <c r="H924" s="9">
        <v>45806.166666666664</v>
      </c>
      <c r="I924">
        <v>0.15679999999999999</v>
      </c>
      <c r="J924" s="12">
        <v>20019.400000000001</v>
      </c>
      <c r="K924" s="12">
        <v>2962.88</v>
      </c>
      <c r="L924">
        <v>4.58</v>
      </c>
      <c r="M924">
        <v>171.59</v>
      </c>
      <c r="N924" s="13">
        <v>5.79E-2</v>
      </c>
      <c r="O924" t="s">
        <v>38</v>
      </c>
      <c r="Q924">
        <f t="shared" si="238"/>
        <v>176.17072000000005</v>
      </c>
      <c r="R924">
        <f t="shared" si="239"/>
        <v>171.59072000000003</v>
      </c>
      <c r="S924">
        <f t="shared" si="240"/>
        <v>3139.0419200000001</v>
      </c>
      <c r="U924">
        <f t="shared" si="227"/>
        <v>11148.648649000001</v>
      </c>
      <c r="V924">
        <f t="shared" si="241"/>
        <v>1650.0000000519999</v>
      </c>
      <c r="W924">
        <f t="shared" si="228"/>
        <v>98.108108111200025</v>
      </c>
      <c r="X924">
        <f t="shared" si="229"/>
        <v>3.3981081082152</v>
      </c>
      <c r="Y924">
        <f t="shared" si="230"/>
        <v>94.710000002984827</v>
      </c>
      <c r="Z924">
        <f t="shared" si="231"/>
        <v>30775.161069214708</v>
      </c>
      <c r="AB924">
        <f t="shared" si="232"/>
        <v>25915.746594</v>
      </c>
      <c r="AC924">
        <f t="shared" si="233"/>
        <v>3835.5304959119999</v>
      </c>
      <c r="AD924">
        <f t="shared" si="234"/>
        <v>228.05857002720006</v>
      </c>
      <c r="AE924">
        <f t="shared" si="235"/>
        <v>7.8991195618512</v>
      </c>
      <c r="AF924">
        <f t="shared" si="236"/>
        <v>220.15945046534887</v>
      </c>
      <c r="AG924">
        <f t="shared" si="226"/>
        <v>38575.464409258122</v>
      </c>
      <c r="AH924" t="b">
        <f t="shared" si="237"/>
        <v>1</v>
      </c>
    </row>
    <row r="925" spans="4:34" hidden="1" x14ac:dyDescent="0.4">
      <c r="D925" t="s">
        <v>56</v>
      </c>
      <c r="E925" t="s">
        <v>37</v>
      </c>
      <c r="F925" s="9">
        <v>45803</v>
      </c>
      <c r="G925" s="12">
        <v>2550.8000000000002</v>
      </c>
      <c r="H925" s="9">
        <v>45805.5</v>
      </c>
      <c r="I925" s="12">
        <v>2641.73</v>
      </c>
      <c r="J925">
        <v>2.0939999999999999</v>
      </c>
      <c r="K925" s="12">
        <v>5341.45</v>
      </c>
      <c r="L925">
        <v>8.15</v>
      </c>
      <c r="M925">
        <v>182.25</v>
      </c>
      <c r="N925" s="13">
        <v>3.4099999999999998E-2</v>
      </c>
      <c r="O925" t="s">
        <v>57</v>
      </c>
      <c r="Q925">
        <f t="shared" si="238"/>
        <v>190.40741999999963</v>
      </c>
      <c r="R925">
        <f t="shared" si="239"/>
        <v>182.25741999999963</v>
      </c>
      <c r="S925">
        <f t="shared" si="240"/>
        <v>5531.78262</v>
      </c>
      <c r="U925">
        <f t="shared" si="227"/>
        <v>0.64685599999999999</v>
      </c>
      <c r="V925">
        <f t="shared" si="241"/>
        <v>1650.0002848000001</v>
      </c>
      <c r="W925">
        <f t="shared" si="228"/>
        <v>58.818616079999892</v>
      </c>
      <c r="X925">
        <f t="shared" si="229"/>
        <v>3.3588191856800003</v>
      </c>
      <c r="Y925">
        <f t="shared" si="230"/>
        <v>55.459796894319894</v>
      </c>
      <c r="Z925">
        <f t="shared" si="231"/>
        <v>30680.451069211722</v>
      </c>
      <c r="AB925">
        <f t="shared" si="232"/>
        <v>1.498621</v>
      </c>
      <c r="AC925">
        <f t="shared" si="233"/>
        <v>3822.6824468000004</v>
      </c>
      <c r="AD925">
        <f t="shared" si="234"/>
        <v>136.26960752999975</v>
      </c>
      <c r="AE925">
        <f t="shared" si="235"/>
        <v>7.781634501130001</v>
      </c>
      <c r="AF925">
        <f t="shared" si="236"/>
        <v>128.48797302886973</v>
      </c>
      <c r="AG925">
        <f t="shared" si="226"/>
        <v>38355.304958792774</v>
      </c>
      <c r="AH925" t="b">
        <f t="shared" si="237"/>
        <v>1</v>
      </c>
    </row>
    <row r="926" spans="4:34" hidden="1" x14ac:dyDescent="0.4">
      <c r="D926" t="s">
        <v>55</v>
      </c>
      <c r="E926" t="s">
        <v>37</v>
      </c>
      <c r="F926" s="9">
        <v>45803.291666666664</v>
      </c>
      <c r="G926">
        <v>6.2749999999999994E-5</v>
      </c>
      <c r="H926" s="9">
        <v>45805.291666666664</v>
      </c>
      <c r="I926">
        <v>6.3100000000000002E-5</v>
      </c>
      <c r="J926" s="12">
        <v>94951526.079999998</v>
      </c>
      <c r="K926" s="12">
        <v>5958.21</v>
      </c>
      <c r="L926">
        <v>8.9600000000000009</v>
      </c>
      <c r="M926">
        <v>24.27</v>
      </c>
      <c r="N926" s="13">
        <v>4.1000000000000003E-3</v>
      </c>
      <c r="O926" t="s">
        <v>38</v>
      </c>
      <c r="Q926">
        <f t="shared" si="238"/>
        <v>33.23303412800081</v>
      </c>
      <c r="R926">
        <f t="shared" si="239"/>
        <v>24.273034128000809</v>
      </c>
      <c r="S926">
        <f t="shared" si="240"/>
        <v>5991.4412956480001</v>
      </c>
      <c r="U926">
        <f t="shared" si="227"/>
        <v>26294820.717131998</v>
      </c>
      <c r="V926">
        <f t="shared" si="241"/>
        <v>1650.0000000000327</v>
      </c>
      <c r="W926">
        <f t="shared" si="228"/>
        <v>9.2031872509964234</v>
      </c>
      <c r="X926">
        <f t="shared" si="229"/>
        <v>3.3092031872510623</v>
      </c>
      <c r="Y926">
        <f t="shared" si="230"/>
        <v>5.8939840637453607</v>
      </c>
      <c r="Z926">
        <f t="shared" si="231"/>
        <v>30624.991272317402</v>
      </c>
      <c r="AB926">
        <f t="shared" si="232"/>
        <v>60897476.998079002</v>
      </c>
      <c r="AC926">
        <f t="shared" si="233"/>
        <v>3821.316681629457</v>
      </c>
      <c r="AD926">
        <f t="shared" si="234"/>
        <v>21.31411694932817</v>
      </c>
      <c r="AE926">
        <f t="shared" si="235"/>
        <v>7.6639474802082423</v>
      </c>
      <c r="AF926">
        <f t="shared" si="236"/>
        <v>13.650169469119927</v>
      </c>
      <c r="AG926">
        <f t="shared" si="226"/>
        <v>38226.816985763908</v>
      </c>
      <c r="AH926" t="b">
        <f t="shared" si="237"/>
        <v>1</v>
      </c>
    </row>
    <row r="927" spans="4:34" hidden="1" x14ac:dyDescent="0.4">
      <c r="D927" t="s">
        <v>60</v>
      </c>
      <c r="E927" t="s">
        <v>37</v>
      </c>
      <c r="F927" s="9">
        <v>45802.583333333336</v>
      </c>
      <c r="G927">
        <v>2.3056000000000001</v>
      </c>
      <c r="H927" s="9">
        <v>45805.083333333336</v>
      </c>
      <c r="I927">
        <v>2.3224</v>
      </c>
      <c r="J927">
        <v>953.3</v>
      </c>
      <c r="K927" s="12">
        <v>2198</v>
      </c>
      <c r="L927">
        <v>3.31</v>
      </c>
      <c r="M927" s="12">
        <v>12.71</v>
      </c>
      <c r="N927" s="13">
        <v>5.7999999999999996E-3</v>
      </c>
      <c r="O927" t="s">
        <v>57</v>
      </c>
      <c r="Q927">
        <f t="shared" si="238"/>
        <v>16.015439999999927</v>
      </c>
      <c r="R927">
        <f t="shared" si="239"/>
        <v>12.705439999999927</v>
      </c>
      <c r="S927">
        <f t="shared" si="240"/>
        <v>2213.9439199999997</v>
      </c>
      <c r="U927">
        <f t="shared" si="227"/>
        <v>715.64885500000003</v>
      </c>
      <c r="V927">
        <f t="shared" si="241"/>
        <v>1650.0000000880002</v>
      </c>
      <c r="W927">
        <f t="shared" si="228"/>
        <v>12.022900763999948</v>
      </c>
      <c r="X927">
        <f t="shared" si="229"/>
        <v>3.3120229009400002</v>
      </c>
      <c r="Y927">
        <f t="shared" si="230"/>
        <v>8.710877863059947</v>
      </c>
      <c r="Z927">
        <f t="shared" si="231"/>
        <v>30619.097288253655</v>
      </c>
      <c r="AB927">
        <f t="shared" si="232"/>
        <v>1656.532074</v>
      </c>
      <c r="AC927">
        <f t="shared" si="233"/>
        <v>3819.3003498143999</v>
      </c>
      <c r="AD927">
        <f t="shared" si="234"/>
        <v>27.829738843199877</v>
      </c>
      <c r="AE927">
        <f t="shared" si="235"/>
        <v>7.6664304384720001</v>
      </c>
      <c r="AF927">
        <f t="shared" si="236"/>
        <v>20.163308404727879</v>
      </c>
      <c r="AG927">
        <f t="shared" si="226"/>
        <v>38213.16681629479</v>
      </c>
      <c r="AH927" t="b">
        <f t="shared" si="237"/>
        <v>1</v>
      </c>
    </row>
    <row r="928" spans="4:34" hidden="1" x14ac:dyDescent="0.4">
      <c r="D928" t="s">
        <v>52</v>
      </c>
      <c r="E928" t="s">
        <v>37</v>
      </c>
      <c r="F928" s="9">
        <v>45802.791666666664</v>
      </c>
      <c r="G928">
        <v>5.08</v>
      </c>
      <c r="H928" s="9">
        <v>45804.791666666664</v>
      </c>
      <c r="I928">
        <v>5.3760000000000003</v>
      </c>
      <c r="J928">
        <v>459.73</v>
      </c>
      <c r="K928" s="12">
        <v>2335.48</v>
      </c>
      <c r="L928">
        <v>3.61</v>
      </c>
      <c r="M928">
        <v>132.47</v>
      </c>
      <c r="N928" s="13">
        <v>5.67E-2</v>
      </c>
      <c r="O928" t="s">
        <v>38</v>
      </c>
      <c r="Q928">
        <f t="shared" si="238"/>
        <v>136.08008000000012</v>
      </c>
      <c r="R928">
        <f t="shared" si="239"/>
        <v>132.47008000000011</v>
      </c>
      <c r="S928">
        <f t="shared" si="240"/>
        <v>2471.5084800000004</v>
      </c>
      <c r="U928">
        <f t="shared" si="227"/>
        <v>324.80315000000002</v>
      </c>
      <c r="V928">
        <f t="shared" si="241"/>
        <v>1650.000002</v>
      </c>
      <c r="W928">
        <f t="shared" si="228"/>
        <v>96.141732400000095</v>
      </c>
      <c r="X928">
        <f t="shared" si="229"/>
        <v>3.3961417364000002</v>
      </c>
      <c r="Y928">
        <f t="shared" si="230"/>
        <v>92.745590663600098</v>
      </c>
      <c r="Z928">
        <f t="shared" si="231"/>
        <v>30610.386410390594</v>
      </c>
      <c r="AB928">
        <f t="shared" si="232"/>
        <v>747.62840000000006</v>
      </c>
      <c r="AC928">
        <f t="shared" si="233"/>
        <v>3797.9522720000004</v>
      </c>
      <c r="AD928">
        <f t="shared" si="234"/>
        <v>221.29800640000022</v>
      </c>
      <c r="AE928">
        <f t="shared" si="235"/>
        <v>7.8172025504000002</v>
      </c>
      <c r="AF928">
        <f t="shared" si="236"/>
        <v>213.48080384960022</v>
      </c>
      <c r="AG928">
        <f t="shared" si="226"/>
        <v>38193.003507890062</v>
      </c>
      <c r="AH928" t="b">
        <f t="shared" si="237"/>
        <v>1</v>
      </c>
    </row>
    <row r="929" spans="4:34" hidden="1" x14ac:dyDescent="0.4">
      <c r="D929" t="s">
        <v>54</v>
      </c>
      <c r="E929" t="s">
        <v>37</v>
      </c>
      <c r="F929" s="9">
        <v>45802.791666666664</v>
      </c>
      <c r="G929">
        <v>171.05</v>
      </c>
      <c r="H929" s="9">
        <v>45804.791666666664</v>
      </c>
      <c r="I929">
        <v>178.51</v>
      </c>
      <c r="J929" s="12">
        <v>27.984999999999999</v>
      </c>
      <c r="K929" s="12">
        <v>4786.9799999999996</v>
      </c>
      <c r="L929">
        <v>7.34</v>
      </c>
      <c r="M929">
        <v>201.43</v>
      </c>
      <c r="N929" s="13">
        <v>4.2099999999999999E-2</v>
      </c>
      <c r="O929" t="s">
        <v>38</v>
      </c>
      <c r="Q929">
        <f t="shared" si="238"/>
        <v>208.76809999999944</v>
      </c>
      <c r="R929">
        <f t="shared" si="239"/>
        <v>201.42809999999943</v>
      </c>
      <c r="S929">
        <f t="shared" si="240"/>
        <v>4995.6023499999992</v>
      </c>
      <c r="U929">
        <f t="shared" si="227"/>
        <v>9.6463020000000004</v>
      </c>
      <c r="V929">
        <f t="shared" si="241"/>
        <v>1649.9999571000001</v>
      </c>
      <c r="W929">
        <f t="shared" si="228"/>
        <v>71.961412919999802</v>
      </c>
      <c r="X929">
        <f t="shared" si="229"/>
        <v>3.3719613271199997</v>
      </c>
      <c r="Y929">
        <f t="shared" si="230"/>
        <v>68.589451592879797</v>
      </c>
      <c r="Z929">
        <f t="shared" si="231"/>
        <v>30517.640819726996</v>
      </c>
      <c r="AB929">
        <f t="shared" si="232"/>
        <v>22.111837000000001</v>
      </c>
      <c r="AC929">
        <f t="shared" si="233"/>
        <v>3782.2297188500006</v>
      </c>
      <c r="AD929">
        <f t="shared" si="234"/>
        <v>164.95430401999957</v>
      </c>
      <c r="AE929">
        <f t="shared" si="235"/>
        <v>7.7294137417200002</v>
      </c>
      <c r="AF929">
        <f t="shared" si="236"/>
        <v>157.22489027827956</v>
      </c>
      <c r="AG929">
        <f t="shared" si="226"/>
        <v>37979.522704040464</v>
      </c>
      <c r="AH929" t="b">
        <f t="shared" si="237"/>
        <v>1</v>
      </c>
    </row>
    <row r="930" spans="4:34" hidden="1" x14ac:dyDescent="0.4">
      <c r="D930" t="s">
        <v>61</v>
      </c>
      <c r="E930" t="s">
        <v>37</v>
      </c>
      <c r="F930" s="9">
        <v>45802.75</v>
      </c>
      <c r="G930">
        <v>0.74280000000000002</v>
      </c>
      <c r="H930" s="9">
        <v>45804.75</v>
      </c>
      <c r="I930">
        <v>0.76929999999999998</v>
      </c>
      <c r="J930" s="12">
        <v>10951.1</v>
      </c>
      <c r="K930" s="12">
        <v>8134.55</v>
      </c>
      <c r="L930">
        <v>12.42</v>
      </c>
      <c r="M930" s="12">
        <v>277.77999999999997</v>
      </c>
      <c r="N930" s="13">
        <v>3.4099999999999998E-2</v>
      </c>
      <c r="O930" t="s">
        <v>38</v>
      </c>
      <c r="Q930">
        <f t="shared" si="238"/>
        <v>290.20414999999969</v>
      </c>
      <c r="R930">
        <f t="shared" si="239"/>
        <v>277.78414999999967</v>
      </c>
      <c r="S930">
        <f t="shared" si="240"/>
        <v>8424.6812300000001</v>
      </c>
      <c r="U930">
        <f t="shared" si="227"/>
        <v>2221.324717</v>
      </c>
      <c r="V930">
        <f t="shared" si="241"/>
        <v>1649.9999997876</v>
      </c>
      <c r="W930">
        <f t="shared" si="228"/>
        <v>58.865105000499931</v>
      </c>
      <c r="X930">
        <f t="shared" si="229"/>
        <v>3.3588651045756999</v>
      </c>
      <c r="Y930">
        <f t="shared" si="230"/>
        <v>55.506239895924232</v>
      </c>
      <c r="Z930">
        <f t="shared" si="231"/>
        <v>30449.051368134114</v>
      </c>
      <c r="AB930">
        <f t="shared" si="232"/>
        <v>5074.7832040000003</v>
      </c>
      <c r="AC930">
        <f t="shared" si="233"/>
        <v>3769.5489639312004</v>
      </c>
      <c r="AD930">
        <f t="shared" si="234"/>
        <v>134.48175490599985</v>
      </c>
      <c r="AE930">
        <f t="shared" si="235"/>
        <v>7.6735796827684002</v>
      </c>
      <c r="AF930">
        <f t="shared" si="236"/>
        <v>126.80817522323144</v>
      </c>
      <c r="AG930">
        <f t="shared" si="226"/>
        <v>37822.297813762183</v>
      </c>
      <c r="AH930" t="b">
        <f t="shared" si="237"/>
        <v>1</v>
      </c>
    </row>
    <row r="931" spans="4:34" hidden="1" x14ac:dyDescent="0.4">
      <c r="D931" t="s">
        <v>53</v>
      </c>
      <c r="E931" t="s">
        <v>37</v>
      </c>
      <c r="F931" s="9">
        <v>45802.75</v>
      </c>
      <c r="G931" s="12">
        <v>666.16</v>
      </c>
      <c r="H931" s="9">
        <v>45804.75</v>
      </c>
      <c r="I931" s="12">
        <v>692.74</v>
      </c>
      <c r="J931">
        <v>13.933999999999999</v>
      </c>
      <c r="K931" s="12">
        <v>9282.86</v>
      </c>
      <c r="L931">
        <v>14.2</v>
      </c>
      <c r="M931">
        <v>356.16</v>
      </c>
      <c r="N931" s="13">
        <v>3.8399999999999997E-2</v>
      </c>
      <c r="O931" t="s">
        <v>38</v>
      </c>
      <c r="Q931">
        <f t="shared" si="238"/>
        <v>370.36572000000058</v>
      </c>
      <c r="R931">
        <f t="shared" si="239"/>
        <v>356.16572000000059</v>
      </c>
      <c r="S931">
        <f t="shared" si="240"/>
        <v>9652.6391599999988</v>
      </c>
      <c r="U931">
        <f t="shared" si="227"/>
        <v>2.4768819999999998</v>
      </c>
      <c r="V931">
        <f t="shared" si="241"/>
        <v>1649.9997131199998</v>
      </c>
      <c r="W931">
        <f t="shared" si="228"/>
        <v>65.835523560000098</v>
      </c>
      <c r="X931">
        <f t="shared" si="229"/>
        <v>3.3658349498000004</v>
      </c>
      <c r="Y931">
        <f t="shared" si="230"/>
        <v>62.469688610200095</v>
      </c>
      <c r="Z931">
        <f t="shared" si="231"/>
        <v>30393.545128238191</v>
      </c>
      <c r="AB931">
        <f t="shared" si="232"/>
        <v>5.6372809999999998</v>
      </c>
      <c r="AC931">
        <f t="shared" si="233"/>
        <v>3755.3311109599995</v>
      </c>
      <c r="AD931">
        <f t="shared" si="234"/>
        <v>149.83892898000022</v>
      </c>
      <c r="AE931">
        <f t="shared" si="235"/>
        <v>7.6605011509000009</v>
      </c>
      <c r="AF931">
        <f t="shared" si="236"/>
        <v>142.17842782910023</v>
      </c>
      <c r="AG931">
        <f t="shared" si="226"/>
        <v>37695.489638538951</v>
      </c>
      <c r="AH931" t="b">
        <f t="shared" si="237"/>
        <v>1</v>
      </c>
    </row>
    <row r="932" spans="4:34" hidden="1" x14ac:dyDescent="0.4">
      <c r="D932" t="s">
        <v>50</v>
      </c>
      <c r="E932" t="s">
        <v>37</v>
      </c>
      <c r="F932" s="9">
        <v>45802.583333333336</v>
      </c>
      <c r="G932">
        <v>421.9</v>
      </c>
      <c r="H932" s="9">
        <v>45804.583333333336</v>
      </c>
      <c r="I932">
        <v>445.2</v>
      </c>
      <c r="J932">
        <v>30.075800000000001</v>
      </c>
      <c r="K932" s="12">
        <v>12689</v>
      </c>
      <c r="L932">
        <v>19.559999999999999</v>
      </c>
      <c r="M932">
        <v>681.21</v>
      </c>
      <c r="N932" s="13">
        <v>5.3699999999999998E-2</v>
      </c>
      <c r="O932" t="s">
        <v>38</v>
      </c>
      <c r="Q932">
        <f t="shared" si="238"/>
        <v>700.76614000000041</v>
      </c>
      <c r="R932">
        <f t="shared" si="239"/>
        <v>681.20614000000046</v>
      </c>
      <c r="S932">
        <f t="shared" si="240"/>
        <v>13389.746160000001</v>
      </c>
      <c r="U932">
        <f t="shared" si="227"/>
        <v>3.910879</v>
      </c>
      <c r="V932">
        <f t="shared" si="241"/>
        <v>1649.9998501</v>
      </c>
      <c r="W932">
        <f t="shared" si="228"/>
        <v>91.123480700000044</v>
      </c>
      <c r="X932">
        <f t="shared" si="229"/>
        <v>3.3911231808999998</v>
      </c>
      <c r="Y932">
        <f t="shared" si="230"/>
        <v>87.732357519100049</v>
      </c>
      <c r="Z932">
        <f t="shared" si="231"/>
        <v>30331.075439627992</v>
      </c>
      <c r="AB932">
        <f t="shared" si="232"/>
        <v>8.8539209999999997</v>
      </c>
      <c r="AC932">
        <f t="shared" si="233"/>
        <v>3735.4692698999997</v>
      </c>
      <c r="AD932">
        <f t="shared" si="234"/>
        <v>206.29635930000009</v>
      </c>
      <c r="AE932">
        <f t="shared" si="235"/>
        <v>7.6772348990999992</v>
      </c>
      <c r="AF932">
        <f t="shared" si="236"/>
        <v>198.61912440090009</v>
      </c>
      <c r="AG932">
        <f t="shared" si="226"/>
        <v>37553.31121070985</v>
      </c>
      <c r="AH932" t="b">
        <f t="shared" si="237"/>
        <v>1</v>
      </c>
    </row>
    <row r="933" spans="4:34" hidden="1" x14ac:dyDescent="0.4">
      <c r="D933" t="s">
        <v>59</v>
      </c>
      <c r="E933" t="s">
        <v>37</v>
      </c>
      <c r="F933" s="9">
        <v>45801.166666666664</v>
      </c>
      <c r="G933" s="12">
        <v>107828.02</v>
      </c>
      <c r="H933" s="9">
        <v>45803.666666666664</v>
      </c>
      <c r="I933" s="12">
        <v>109708</v>
      </c>
      <c r="J933">
        <v>9.6379999999999993E-2</v>
      </c>
      <c r="K933" s="12">
        <v>10393.08</v>
      </c>
      <c r="L933">
        <v>15.72</v>
      </c>
      <c r="M933">
        <v>165.47</v>
      </c>
      <c r="N933" s="13">
        <v>1.5900000000000001E-2</v>
      </c>
      <c r="O933" t="s">
        <v>57</v>
      </c>
      <c r="Q933">
        <f t="shared" si="238"/>
        <v>181.19247239999959</v>
      </c>
      <c r="R933">
        <f t="shared" si="239"/>
        <v>165.47247239999959</v>
      </c>
      <c r="S933">
        <f t="shared" si="240"/>
        <v>10573.65704</v>
      </c>
      <c r="U933">
        <f t="shared" si="227"/>
        <v>1.5302E-2</v>
      </c>
      <c r="V933">
        <f t="shared" si="241"/>
        <v>1649.98436204</v>
      </c>
      <c r="W933">
        <f t="shared" si="228"/>
        <v>28.767453959999937</v>
      </c>
      <c r="X933">
        <f t="shared" si="229"/>
        <v>3.3287361780400007</v>
      </c>
      <c r="Y933">
        <f t="shared" si="230"/>
        <v>25.438717781959937</v>
      </c>
      <c r="Z933">
        <f t="shared" si="231"/>
        <v>30243.343082108891</v>
      </c>
      <c r="AB933">
        <f t="shared" si="232"/>
        <v>3.4590000000000003E-2</v>
      </c>
      <c r="AC933">
        <f t="shared" si="233"/>
        <v>3729.7712118000004</v>
      </c>
      <c r="AD933">
        <f t="shared" si="234"/>
        <v>65.028508199999862</v>
      </c>
      <c r="AE933">
        <f t="shared" si="235"/>
        <v>7.5245709318000022</v>
      </c>
      <c r="AF933">
        <f t="shared" si="236"/>
        <v>57.503937268199863</v>
      </c>
      <c r="AG933">
        <f t="shared" si="226"/>
        <v>37354.692086308947</v>
      </c>
      <c r="AH933" t="b">
        <f t="shared" si="237"/>
        <v>1</v>
      </c>
    </row>
    <row r="934" spans="4:34" hidden="1" x14ac:dyDescent="0.4">
      <c r="D934" t="s">
        <v>58</v>
      </c>
      <c r="E934" t="s">
        <v>37</v>
      </c>
      <c r="F934" s="9">
        <v>45800.416666666664</v>
      </c>
      <c r="G934" s="12">
        <v>16.84</v>
      </c>
      <c r="H934" s="9">
        <v>45802.416666666664</v>
      </c>
      <c r="I934" s="12">
        <v>15.12</v>
      </c>
      <c r="J934">
        <v>427.41</v>
      </c>
      <c r="K934" s="12">
        <v>7197.64</v>
      </c>
      <c r="L934">
        <v>10.25</v>
      </c>
      <c r="M934">
        <v>-745.39</v>
      </c>
      <c r="N934" s="13">
        <v>-0.1036</v>
      </c>
      <c r="O934" t="s">
        <v>38</v>
      </c>
      <c r="Q934">
        <f t="shared" si="238"/>
        <v>-735.14520000000027</v>
      </c>
      <c r="R934">
        <f t="shared" si="239"/>
        <v>-745.39520000000027</v>
      </c>
      <c r="S934">
        <f t="shared" si="240"/>
        <v>6462.4391999999998</v>
      </c>
      <c r="U934">
        <f t="shared" si="227"/>
        <v>97.980998</v>
      </c>
      <c r="V934">
        <f t="shared" si="241"/>
        <v>1650.00000632</v>
      </c>
      <c r="W934">
        <f t="shared" si="228"/>
        <v>-168.52731656000006</v>
      </c>
      <c r="X934">
        <f t="shared" si="229"/>
        <v>3.1314726960800003</v>
      </c>
      <c r="Y934">
        <f t="shared" si="230"/>
        <v>-171.65878925608007</v>
      </c>
      <c r="Z934">
        <f t="shared" si="231"/>
        <v>30217.904364326932</v>
      </c>
      <c r="AB934">
        <f t="shared" si="232"/>
        <v>223.808142</v>
      </c>
      <c r="AC934">
        <f t="shared" si="233"/>
        <v>3768.9291112800001</v>
      </c>
      <c r="AD934">
        <f t="shared" si="234"/>
        <v>-384.95000424000017</v>
      </c>
      <c r="AE934">
        <f t="shared" si="235"/>
        <v>7.1529082183200003</v>
      </c>
      <c r="AF934">
        <f t="shared" si="236"/>
        <v>-392.10291245832019</v>
      </c>
      <c r="AG934">
        <f t="shared" si="226"/>
        <v>37297.188149040747</v>
      </c>
      <c r="AH934" t="b">
        <f t="shared" si="237"/>
        <v>1</v>
      </c>
    </row>
    <row r="935" spans="4:34" hidden="1" x14ac:dyDescent="0.4">
      <c r="D935" t="s">
        <v>48</v>
      </c>
      <c r="E935" t="s">
        <v>37</v>
      </c>
      <c r="F935" s="9">
        <v>45800.041666666664</v>
      </c>
      <c r="G935">
        <v>0.1716</v>
      </c>
      <c r="H935" s="9">
        <v>45802.041666666664</v>
      </c>
      <c r="I935">
        <v>0.15310000000000001</v>
      </c>
      <c r="J935" s="12">
        <v>17456.8</v>
      </c>
      <c r="K935" s="12">
        <v>2995.6</v>
      </c>
      <c r="L935">
        <v>4.25</v>
      </c>
      <c r="M935">
        <v>-327.2</v>
      </c>
      <c r="N935" s="13">
        <v>-0.10920000000000001</v>
      </c>
      <c r="O935" t="s">
        <v>38</v>
      </c>
      <c r="Q935">
        <f t="shared" si="238"/>
        <v>-322.95079999999979</v>
      </c>
      <c r="R935">
        <f t="shared" si="239"/>
        <v>-327.20079999999979</v>
      </c>
      <c r="S935">
        <f t="shared" si="240"/>
        <v>2672.6360800000002</v>
      </c>
      <c r="U935">
        <f t="shared" si="227"/>
        <v>9615.3846150000008</v>
      </c>
      <c r="V935">
        <f t="shared" si="241"/>
        <v>1649.9999999340002</v>
      </c>
      <c r="W935">
        <f t="shared" si="228"/>
        <v>-177.8846153774999</v>
      </c>
      <c r="X935">
        <f t="shared" si="229"/>
        <v>3.1221153844904999</v>
      </c>
      <c r="Y935">
        <f t="shared" si="230"/>
        <v>-181.00673076199041</v>
      </c>
      <c r="Z935">
        <f t="shared" si="231"/>
        <v>30389.563153583011</v>
      </c>
      <c r="AB935">
        <f t="shared" si="232"/>
        <v>22207.070219000001</v>
      </c>
      <c r="AC935">
        <f t="shared" si="233"/>
        <v>3810.7332495804003</v>
      </c>
      <c r="AD935">
        <f t="shared" si="234"/>
        <v>-410.83079905149975</v>
      </c>
      <c r="AE935">
        <f t="shared" si="235"/>
        <v>7.2106357001093002</v>
      </c>
      <c r="AF935">
        <f t="shared" si="236"/>
        <v>-418.04143475160907</v>
      </c>
      <c r="AG935">
        <f t="shared" si="226"/>
        <v>37689.291061499069</v>
      </c>
      <c r="AH935" t="b">
        <f t="shared" si="237"/>
        <v>1</v>
      </c>
    </row>
    <row r="936" spans="4:34" hidden="1" x14ac:dyDescent="0.4">
      <c r="D936" t="s">
        <v>55</v>
      </c>
      <c r="E936" t="s">
        <v>37</v>
      </c>
      <c r="F936" s="9">
        <v>45800.041666666664</v>
      </c>
      <c r="G936">
        <v>6.6989999999999994E-5</v>
      </c>
      <c r="H936" s="9">
        <v>45802.041666666664</v>
      </c>
      <c r="I936">
        <v>6.1240000000000003E-5</v>
      </c>
      <c r="J936" s="12">
        <v>89724778.549999997</v>
      </c>
      <c r="K936" s="12">
        <v>6010.66</v>
      </c>
      <c r="L936">
        <v>8.6300000000000008</v>
      </c>
      <c r="M936">
        <v>-524.54999999999995</v>
      </c>
      <c r="N936" s="13">
        <v>-8.7300000000000003E-2</v>
      </c>
      <c r="O936" t="s">
        <v>38</v>
      </c>
      <c r="Q936">
        <f t="shared" si="238"/>
        <v>-515.9174766624991</v>
      </c>
      <c r="R936">
        <f t="shared" si="239"/>
        <v>-524.54747666249909</v>
      </c>
      <c r="S936">
        <f t="shared" si="240"/>
        <v>5494.7454384020002</v>
      </c>
      <c r="U936">
        <f t="shared" si="227"/>
        <v>24630541.871920999</v>
      </c>
      <c r="V936">
        <f t="shared" si="241"/>
        <v>1649.9999999999875</v>
      </c>
      <c r="W936">
        <f t="shared" si="228"/>
        <v>-141.62561576354551</v>
      </c>
      <c r="X936">
        <f t="shared" si="229"/>
        <v>3.15837438423643</v>
      </c>
      <c r="Y936">
        <f t="shared" si="230"/>
        <v>-144.78399014778194</v>
      </c>
      <c r="Z936">
        <f t="shared" si="231"/>
        <v>30570.569884345001</v>
      </c>
      <c r="AB936">
        <f t="shared" si="232"/>
        <v>57388679.434788004</v>
      </c>
      <c r="AC936">
        <f t="shared" si="233"/>
        <v>3844.467635336448</v>
      </c>
      <c r="AD936">
        <f t="shared" si="234"/>
        <v>-329.98490675003046</v>
      </c>
      <c r="AE936">
        <f t="shared" si="235"/>
        <v>7.3589503639228662</v>
      </c>
      <c r="AF936">
        <f t="shared" si="236"/>
        <v>-337.34385711395333</v>
      </c>
      <c r="AG936">
        <f t="shared" si="226"/>
        <v>38107.332496250681</v>
      </c>
      <c r="AH936" t="b">
        <f t="shared" si="237"/>
        <v>1</v>
      </c>
    </row>
    <row r="937" spans="4:34" hidden="1" x14ac:dyDescent="0.4">
      <c r="D937" t="s">
        <v>52</v>
      </c>
      <c r="E937" t="s">
        <v>37</v>
      </c>
      <c r="F937" s="9">
        <v>45800</v>
      </c>
      <c r="G937">
        <v>5.6509999999999998</v>
      </c>
      <c r="H937" s="9">
        <v>45802</v>
      </c>
      <c r="I937">
        <v>5.1829999999999998</v>
      </c>
      <c r="J937" s="12">
        <v>416.79</v>
      </c>
      <c r="K937" s="12">
        <v>2355.3200000000002</v>
      </c>
      <c r="L937">
        <v>3.39</v>
      </c>
      <c r="M937">
        <v>-198.44</v>
      </c>
      <c r="N937" s="13">
        <v>-8.43E-2</v>
      </c>
      <c r="O937" t="s">
        <v>38</v>
      </c>
      <c r="Q937">
        <f t="shared" si="238"/>
        <v>-195.05771999999999</v>
      </c>
      <c r="R937">
        <f t="shared" si="239"/>
        <v>-198.44771999999998</v>
      </c>
      <c r="S937">
        <f t="shared" si="240"/>
        <v>2160.2225699999999</v>
      </c>
      <c r="U937">
        <f t="shared" si="227"/>
        <v>291.98372000000001</v>
      </c>
      <c r="V937">
        <f t="shared" si="241"/>
        <v>1650.00000172</v>
      </c>
      <c r="W937">
        <f t="shared" si="228"/>
        <v>-136.64838096</v>
      </c>
      <c r="X937">
        <f t="shared" si="229"/>
        <v>3.16335162248</v>
      </c>
      <c r="Y937">
        <f t="shared" si="230"/>
        <v>-139.81173258248</v>
      </c>
      <c r="Z937">
        <f t="shared" si="231"/>
        <v>30715.353874492783</v>
      </c>
      <c r="AB937">
        <f t="shared" si="232"/>
        <v>686.130222</v>
      </c>
      <c r="AC937">
        <f t="shared" si="233"/>
        <v>3877.3218845219999</v>
      </c>
      <c r="AD937">
        <f t="shared" si="234"/>
        <v>-321.10894389599997</v>
      </c>
      <c r="AE937">
        <f t="shared" si="235"/>
        <v>7.4335348251479996</v>
      </c>
      <c r="AF937">
        <f t="shared" si="236"/>
        <v>-328.54247872114797</v>
      </c>
      <c r="AG937">
        <f t="shared" si="226"/>
        <v>38444.676353364637</v>
      </c>
      <c r="AH937" t="b">
        <f t="shared" si="237"/>
        <v>1</v>
      </c>
    </row>
    <row r="938" spans="4:34" hidden="1" x14ac:dyDescent="0.4">
      <c r="D938" t="s">
        <v>53</v>
      </c>
      <c r="E938" t="s">
        <v>37</v>
      </c>
      <c r="F938" s="9">
        <v>45799.958333333336</v>
      </c>
      <c r="G938">
        <v>681.99</v>
      </c>
      <c r="H938" s="9">
        <v>45801.958333333336</v>
      </c>
      <c r="I938">
        <v>671.85</v>
      </c>
      <c r="J938">
        <v>13.632999999999999</v>
      </c>
      <c r="K938" s="12">
        <v>9298.07</v>
      </c>
      <c r="L938">
        <v>13.84</v>
      </c>
      <c r="M938">
        <v>-152.08000000000001</v>
      </c>
      <c r="N938" s="13">
        <v>-1.6400000000000001E-2</v>
      </c>
      <c r="O938" t="s">
        <v>38</v>
      </c>
      <c r="Q938">
        <f t="shared" si="238"/>
        <v>-138.2386199999998</v>
      </c>
      <c r="R938">
        <f t="shared" si="239"/>
        <v>-152.0786199999998</v>
      </c>
      <c r="S938">
        <f t="shared" si="240"/>
        <v>9159.3310499999989</v>
      </c>
      <c r="U938">
        <f t="shared" si="227"/>
        <v>2.4193899999999999</v>
      </c>
      <c r="V938">
        <f t="shared" si="241"/>
        <v>1649.9997860999999</v>
      </c>
      <c r="W938">
        <f t="shared" si="228"/>
        <v>-24.532614599999967</v>
      </c>
      <c r="X938">
        <f t="shared" si="229"/>
        <v>3.2754669576000004</v>
      </c>
      <c r="Y938">
        <f t="shared" si="230"/>
        <v>-27.808081557599966</v>
      </c>
      <c r="Z938">
        <f t="shared" si="231"/>
        <v>30855.165607075262</v>
      </c>
      <c r="AB938">
        <f t="shared" si="232"/>
        <v>5.6949040000000002</v>
      </c>
      <c r="AC938">
        <f t="shared" si="233"/>
        <v>3883.8675789600002</v>
      </c>
      <c r="AD938">
        <f t="shared" si="234"/>
        <v>-57.746326559999922</v>
      </c>
      <c r="AE938">
        <f t="shared" si="235"/>
        <v>7.7099888313600013</v>
      </c>
      <c r="AF938">
        <f t="shared" si="236"/>
        <v>-65.456315391359922</v>
      </c>
      <c r="AG938">
        <f t="shared" ref="AG938:AG1001" si="242">AG939*AH938 + (1-AH938)*AI938+AF938</f>
        <v>38773.218832085782</v>
      </c>
      <c r="AH938" t="b">
        <f t="shared" si="237"/>
        <v>1</v>
      </c>
    </row>
    <row r="939" spans="4:34" hidden="1" x14ac:dyDescent="0.4">
      <c r="D939" t="s">
        <v>54</v>
      </c>
      <c r="E939" t="s">
        <v>37</v>
      </c>
      <c r="F939" s="9">
        <v>45799.791666666664</v>
      </c>
      <c r="G939">
        <v>179.15</v>
      </c>
      <c r="H939" s="9">
        <v>45801.791666666664</v>
      </c>
      <c r="I939">
        <v>176.93</v>
      </c>
      <c r="J939" s="12">
        <v>26.757000000000001</v>
      </c>
      <c r="K939" s="12">
        <v>4793.63</v>
      </c>
      <c r="L939">
        <v>7.15</v>
      </c>
      <c r="M939">
        <v>-66.55</v>
      </c>
      <c r="N939" s="13">
        <v>-1.3899999999999999E-2</v>
      </c>
      <c r="O939" t="s">
        <v>38</v>
      </c>
      <c r="Q939">
        <f t="shared" si="238"/>
        <v>-59.400539999999971</v>
      </c>
      <c r="R939">
        <f t="shared" si="239"/>
        <v>-66.55053999999997</v>
      </c>
      <c r="S939">
        <f t="shared" si="240"/>
        <v>4734.1160100000006</v>
      </c>
      <c r="U939">
        <f t="shared" si="227"/>
        <v>9.2101590000000009</v>
      </c>
      <c r="V939">
        <f t="shared" si="241"/>
        <v>1649.9999848500001</v>
      </c>
      <c r="W939">
        <f t="shared" si="228"/>
        <v>-20.446552979999993</v>
      </c>
      <c r="X939">
        <f t="shared" si="229"/>
        <v>3.2795534167200011</v>
      </c>
      <c r="Y939">
        <f t="shared" si="230"/>
        <v>-23.726106396719995</v>
      </c>
      <c r="Z939">
        <f t="shared" si="231"/>
        <v>30882.973688632861</v>
      </c>
      <c r="AB939">
        <f t="shared" si="232"/>
        <v>21.710635</v>
      </c>
      <c r="AC939">
        <f t="shared" si="233"/>
        <v>3889.4602602499999</v>
      </c>
      <c r="AD939">
        <f t="shared" si="234"/>
        <v>-48.197609699999973</v>
      </c>
      <c r="AE939">
        <f t="shared" si="235"/>
        <v>7.7307229108000017</v>
      </c>
      <c r="AF939">
        <f t="shared" si="236"/>
        <v>-55.928332610799977</v>
      </c>
      <c r="AG939">
        <f t="shared" si="242"/>
        <v>38838.675147477144</v>
      </c>
      <c r="AH939" t="b">
        <f t="shared" si="237"/>
        <v>1</v>
      </c>
    </row>
    <row r="940" spans="4:34" hidden="1" x14ac:dyDescent="0.4">
      <c r="D940" t="s">
        <v>61</v>
      </c>
      <c r="E940" t="s">
        <v>37</v>
      </c>
      <c r="F940" s="9">
        <v>45799.791666666664</v>
      </c>
      <c r="G940">
        <v>0.80469999999999997</v>
      </c>
      <c r="H940" s="9">
        <v>45801.791666666664</v>
      </c>
      <c r="I940">
        <v>0.75719999999999998</v>
      </c>
      <c r="J940" s="12">
        <v>10170.299999999999</v>
      </c>
      <c r="K940" s="12">
        <v>8184.05</v>
      </c>
      <c r="L940">
        <v>11.91</v>
      </c>
      <c r="M940">
        <v>-495</v>
      </c>
      <c r="N940" s="13">
        <v>-6.0499999999999998E-2</v>
      </c>
      <c r="O940" t="s">
        <v>38</v>
      </c>
      <c r="Q940">
        <f t="shared" si="238"/>
        <v>-483.08924999999982</v>
      </c>
      <c r="R940">
        <f t="shared" si="239"/>
        <v>-494.99924999999985</v>
      </c>
      <c r="S940">
        <f t="shared" si="240"/>
        <v>7700.9511599999996</v>
      </c>
      <c r="U940">
        <f t="shared" si="227"/>
        <v>2050.4535850000002</v>
      </c>
      <c r="V940">
        <f t="shared" si="241"/>
        <v>1649.9999998495</v>
      </c>
      <c r="W940">
        <f t="shared" si="228"/>
        <v>-97.396545287499976</v>
      </c>
      <c r="X940">
        <f t="shared" si="229"/>
        <v>3.2026034544115007</v>
      </c>
      <c r="Y940">
        <f t="shared" si="230"/>
        <v>-100.59914874191148</v>
      </c>
      <c r="Z940">
        <f t="shared" si="231"/>
        <v>30906.699795029581</v>
      </c>
      <c r="AB940">
        <f t="shared" si="232"/>
        <v>4863.0788329999996</v>
      </c>
      <c r="AC940">
        <f t="shared" si="233"/>
        <v>3913.3195369150994</v>
      </c>
      <c r="AD940">
        <f t="shared" si="234"/>
        <v>-230.99624456749993</v>
      </c>
      <c r="AE940">
        <f t="shared" si="235"/>
        <v>7.5956428292627001</v>
      </c>
      <c r="AF940">
        <f t="shared" si="236"/>
        <v>-238.59188739676262</v>
      </c>
      <c r="AG940">
        <f t="shared" si="242"/>
        <v>38894.603480087942</v>
      </c>
      <c r="AH940" t="b">
        <f t="shared" si="237"/>
        <v>1</v>
      </c>
    </row>
    <row r="941" spans="4:34" hidden="1" x14ac:dyDescent="0.4">
      <c r="D941" t="s">
        <v>43</v>
      </c>
      <c r="E941" t="s">
        <v>37</v>
      </c>
      <c r="F941" s="9">
        <v>45799.375</v>
      </c>
      <c r="G941">
        <v>4.1731999999999996</v>
      </c>
      <c r="H941" s="9">
        <v>45801.375</v>
      </c>
      <c r="I941">
        <v>3.6562999999999999</v>
      </c>
      <c r="J941" s="12">
        <v>444.4</v>
      </c>
      <c r="K941" s="12">
        <v>1854.84</v>
      </c>
      <c r="L941">
        <v>2.61</v>
      </c>
      <c r="M941">
        <v>-232.32</v>
      </c>
      <c r="N941" s="13">
        <v>-0.12529999999999999</v>
      </c>
      <c r="O941" t="s">
        <v>38</v>
      </c>
      <c r="Q941">
        <f t="shared" si="238"/>
        <v>-229.71035999999984</v>
      </c>
      <c r="R941">
        <f t="shared" si="239"/>
        <v>-232.32035999999985</v>
      </c>
      <c r="S941">
        <f t="shared" si="240"/>
        <v>1624.8597199999999</v>
      </c>
      <c r="U941">
        <f t="shared" si="227"/>
        <v>395.380044</v>
      </c>
      <c r="V941">
        <f t="shared" si="241"/>
        <v>1649.9999996207998</v>
      </c>
      <c r="W941">
        <f t="shared" si="228"/>
        <v>-204.37194474359987</v>
      </c>
      <c r="X941">
        <f t="shared" si="229"/>
        <v>3.0956280544979999</v>
      </c>
      <c r="Y941">
        <f t="shared" si="230"/>
        <v>-207.46757279809788</v>
      </c>
      <c r="Z941">
        <f t="shared" si="231"/>
        <v>31007.298943771493</v>
      </c>
      <c r="AB941">
        <f t="shared" si="232"/>
        <v>949.66725299999996</v>
      </c>
      <c r="AC941">
        <f t="shared" si="233"/>
        <v>3963.1513802195996</v>
      </c>
      <c r="AD941">
        <f t="shared" si="234"/>
        <v>-490.88300307569966</v>
      </c>
      <c r="AE941">
        <f t="shared" si="235"/>
        <v>7.4354197573634995</v>
      </c>
      <c r="AF941">
        <f t="shared" si="236"/>
        <v>-498.31842283306315</v>
      </c>
      <c r="AG941">
        <f t="shared" si="242"/>
        <v>39133.195367484703</v>
      </c>
      <c r="AH941" t="b">
        <f t="shared" si="237"/>
        <v>1</v>
      </c>
    </row>
    <row r="942" spans="4:34" hidden="1" x14ac:dyDescent="0.4">
      <c r="D942" t="s">
        <v>60</v>
      </c>
      <c r="E942" t="s">
        <v>37</v>
      </c>
      <c r="F942" s="9">
        <v>45798.875</v>
      </c>
      <c r="G942" s="12">
        <v>2.3913000000000002</v>
      </c>
      <c r="H942" s="9">
        <v>45801.375</v>
      </c>
      <c r="I942" s="12">
        <v>2.3368000000000002</v>
      </c>
      <c r="J942">
        <v>921.4</v>
      </c>
      <c r="K942" s="12">
        <v>2203.35</v>
      </c>
      <c r="L942">
        <v>3.27</v>
      </c>
      <c r="M942">
        <v>-53.48</v>
      </c>
      <c r="N942" s="13">
        <v>-2.4299999999999999E-2</v>
      </c>
      <c r="O942" t="s">
        <v>57</v>
      </c>
      <c r="Q942">
        <f t="shared" si="238"/>
        <v>-50.21629999999999</v>
      </c>
      <c r="R942">
        <f t="shared" si="239"/>
        <v>-53.486299999999993</v>
      </c>
      <c r="S942">
        <f t="shared" si="240"/>
        <v>2153.12752</v>
      </c>
      <c r="U942">
        <f t="shared" si="227"/>
        <v>690.00125500000001</v>
      </c>
      <c r="V942">
        <f t="shared" si="241"/>
        <v>1650.0000010815002</v>
      </c>
      <c r="W942">
        <f t="shared" si="228"/>
        <v>-37.605068397499998</v>
      </c>
      <c r="X942">
        <f t="shared" si="229"/>
        <v>3.2623949337655005</v>
      </c>
      <c r="Y942">
        <f t="shared" si="230"/>
        <v>-40.867463331265498</v>
      </c>
      <c r="Z942">
        <f t="shared" si="231"/>
        <v>31214.766516569591</v>
      </c>
      <c r="AB942">
        <f t="shared" si="232"/>
        <v>1661.4359340000001</v>
      </c>
      <c r="AC942">
        <f t="shared" si="233"/>
        <v>3972.9917489742006</v>
      </c>
      <c r="AD942">
        <f t="shared" si="234"/>
        <v>-90.548258402999991</v>
      </c>
      <c r="AE942">
        <f t="shared" si="235"/>
        <v>7.8554352395454012</v>
      </c>
      <c r="AF942">
        <f t="shared" si="236"/>
        <v>-98.403693642545392</v>
      </c>
      <c r="AG942">
        <f t="shared" si="242"/>
        <v>39631.513790317767</v>
      </c>
      <c r="AH942" t="b">
        <f t="shared" si="237"/>
        <v>1</v>
      </c>
    </row>
    <row r="943" spans="4:34" hidden="1" x14ac:dyDescent="0.4">
      <c r="D943" t="s">
        <v>50</v>
      </c>
      <c r="E943" t="s">
        <v>37</v>
      </c>
      <c r="F943" s="9">
        <v>45799.333333333336</v>
      </c>
      <c r="G943">
        <v>471.2</v>
      </c>
      <c r="H943" s="9">
        <v>45801.333333333336</v>
      </c>
      <c r="I943">
        <v>424.8</v>
      </c>
      <c r="J943">
        <v>27.200800000000001</v>
      </c>
      <c r="K943" s="12">
        <v>12817.04</v>
      </c>
      <c r="L943">
        <v>18.28</v>
      </c>
      <c r="M943" s="12">
        <v>-1280.4000000000001</v>
      </c>
      <c r="N943" s="13">
        <v>-9.9900000000000003E-2</v>
      </c>
      <c r="O943" t="s">
        <v>38</v>
      </c>
      <c r="Q943">
        <f t="shared" si="238"/>
        <v>-1262.1171199999994</v>
      </c>
      <c r="R943">
        <f t="shared" si="239"/>
        <v>-1280.3971199999994</v>
      </c>
      <c r="S943">
        <f t="shared" si="240"/>
        <v>11554.89984</v>
      </c>
      <c r="U943">
        <f t="shared" si="227"/>
        <v>3.5016980000000002</v>
      </c>
      <c r="V943">
        <f t="shared" si="241"/>
        <v>1650.0000976000001</v>
      </c>
      <c r="W943">
        <f t="shared" si="228"/>
        <v>-162.47878719999994</v>
      </c>
      <c r="X943">
        <f t="shared" si="229"/>
        <v>3.1375214080000005</v>
      </c>
      <c r="Y943">
        <f t="shared" si="230"/>
        <v>-165.61630860799994</v>
      </c>
      <c r="Z943">
        <f t="shared" si="231"/>
        <v>31255.633979900857</v>
      </c>
      <c r="AB943">
        <f t="shared" si="232"/>
        <v>8.5171360000000007</v>
      </c>
      <c r="AC943">
        <f t="shared" si="233"/>
        <v>4013.2744832000003</v>
      </c>
      <c r="AD943">
        <f t="shared" si="234"/>
        <v>-395.19511039999986</v>
      </c>
      <c r="AE943">
        <f t="shared" si="235"/>
        <v>7.6313538560000005</v>
      </c>
      <c r="AF943">
        <f t="shared" si="236"/>
        <v>-402.82646425599984</v>
      </c>
      <c r="AG943">
        <f t="shared" si="242"/>
        <v>39729.917483960315</v>
      </c>
      <c r="AH943" t="b">
        <f t="shared" si="237"/>
        <v>1</v>
      </c>
    </row>
    <row r="944" spans="4:34" hidden="1" x14ac:dyDescent="0.4">
      <c r="D944" t="s">
        <v>59</v>
      </c>
      <c r="E944" t="s">
        <v>37</v>
      </c>
      <c r="F944" s="9">
        <v>45798.166666666664</v>
      </c>
      <c r="G944" s="12">
        <v>106892.3</v>
      </c>
      <c r="H944" s="9">
        <v>45800.666666666664</v>
      </c>
      <c r="I944" s="12">
        <v>109706.05</v>
      </c>
      <c r="J944">
        <v>9.6979999999999997E-2</v>
      </c>
      <c r="K944" s="12">
        <v>10367.370000000001</v>
      </c>
      <c r="L944">
        <v>15.75</v>
      </c>
      <c r="M944">
        <v>257.12</v>
      </c>
      <c r="N944" s="13">
        <v>2.4799999999999999E-2</v>
      </c>
      <c r="O944" t="s">
        <v>57</v>
      </c>
      <c r="Q944">
        <f t="shared" si="238"/>
        <v>272.877475</v>
      </c>
      <c r="R944">
        <f t="shared" si="239"/>
        <v>257.127475</v>
      </c>
      <c r="S944">
        <f t="shared" si="240"/>
        <v>10639.292729000001</v>
      </c>
      <c r="U944">
        <f t="shared" si="227"/>
        <v>1.5436E-2</v>
      </c>
      <c r="V944">
        <f t="shared" si="241"/>
        <v>1649.9895428</v>
      </c>
      <c r="W944">
        <f t="shared" si="228"/>
        <v>43.433045</v>
      </c>
      <c r="X944">
        <f t="shared" si="229"/>
        <v>3.3434121306</v>
      </c>
      <c r="Y944">
        <f t="shared" si="230"/>
        <v>40.089632869399999</v>
      </c>
      <c r="Z944">
        <f t="shared" si="231"/>
        <v>31421.250288508858</v>
      </c>
      <c r="AB944">
        <f t="shared" si="232"/>
        <v>3.7454000000000001E-2</v>
      </c>
      <c r="AC944">
        <f t="shared" si="233"/>
        <v>4003.5442042000004</v>
      </c>
      <c r="AD944">
        <f t="shared" si="234"/>
        <v>105.38619250000001</v>
      </c>
      <c r="AE944">
        <f t="shared" si="235"/>
        <v>8.1124746009000006</v>
      </c>
      <c r="AF944">
        <f t="shared" si="236"/>
        <v>97.273717899100006</v>
      </c>
      <c r="AG944">
        <f t="shared" si="242"/>
        <v>40132.743948216317</v>
      </c>
      <c r="AH944" t="b">
        <f t="shared" si="237"/>
        <v>1</v>
      </c>
    </row>
    <row r="945" spans="4:34" hidden="1" x14ac:dyDescent="0.4">
      <c r="D945" t="s">
        <v>56</v>
      </c>
      <c r="E945" t="s">
        <v>37</v>
      </c>
      <c r="F945" s="9">
        <v>45797.875</v>
      </c>
      <c r="G945" s="12">
        <v>2502.39</v>
      </c>
      <c r="H945" s="9">
        <v>45800.375</v>
      </c>
      <c r="I945" s="12">
        <v>2655.41</v>
      </c>
      <c r="J945" s="12">
        <v>2.1217999999999999</v>
      </c>
      <c r="K945" s="12">
        <v>5309.81</v>
      </c>
      <c r="L945">
        <v>8.2100000000000009</v>
      </c>
      <c r="M945">
        <v>316.47000000000003</v>
      </c>
      <c r="N945" s="13">
        <v>5.96E-2</v>
      </c>
      <c r="O945" t="s">
        <v>57</v>
      </c>
      <c r="Q945">
        <f t="shared" si="238"/>
        <v>324.67783599999996</v>
      </c>
      <c r="R945">
        <f t="shared" si="239"/>
        <v>316.46783599999998</v>
      </c>
      <c r="S945">
        <f t="shared" si="240"/>
        <v>5634.2489379999997</v>
      </c>
      <c r="U945">
        <f t="shared" si="227"/>
        <v>0.65937000000000001</v>
      </c>
      <c r="V945">
        <f t="shared" si="241"/>
        <v>1650.0008943</v>
      </c>
      <c r="W945">
        <f t="shared" si="228"/>
        <v>100.89679739999998</v>
      </c>
      <c r="X945">
        <f t="shared" si="229"/>
        <v>3.4008985859999994</v>
      </c>
      <c r="Y945">
        <f t="shared" si="230"/>
        <v>97.495898813999986</v>
      </c>
      <c r="Z945">
        <f t="shared" si="231"/>
        <v>31381.160655639458</v>
      </c>
      <c r="AB945">
        <f t="shared" si="232"/>
        <v>1.5904910000000001</v>
      </c>
      <c r="AC945">
        <f t="shared" si="233"/>
        <v>3980.0287734899998</v>
      </c>
      <c r="AD945">
        <f t="shared" si="234"/>
        <v>243.37693281999998</v>
      </c>
      <c r="AE945">
        <f t="shared" si="235"/>
        <v>8.2034344797999985</v>
      </c>
      <c r="AF945">
        <f t="shared" si="236"/>
        <v>235.17349834019998</v>
      </c>
      <c r="AG945">
        <f t="shared" si="242"/>
        <v>40035.470230317216</v>
      </c>
      <c r="AH945" t="b">
        <f t="shared" si="237"/>
        <v>1</v>
      </c>
    </row>
    <row r="946" spans="4:34" hidden="1" x14ac:dyDescent="0.4">
      <c r="D946" t="s">
        <v>58</v>
      </c>
      <c r="E946" t="s">
        <v>37</v>
      </c>
      <c r="F946" s="9">
        <v>45798.166666666664</v>
      </c>
      <c r="G946">
        <v>15.79</v>
      </c>
      <c r="H946" s="9">
        <v>45800.166666666664</v>
      </c>
      <c r="I946">
        <v>16.97</v>
      </c>
      <c r="J946">
        <v>452.52</v>
      </c>
      <c r="K946" s="12">
        <v>7145.35</v>
      </c>
      <c r="L946">
        <v>11.12</v>
      </c>
      <c r="M946">
        <v>522.86</v>
      </c>
      <c r="N946" s="13">
        <v>7.3200000000000001E-2</v>
      </c>
      <c r="O946" t="s">
        <v>38</v>
      </c>
      <c r="Q946">
        <f t="shared" si="238"/>
        <v>533.97359999999981</v>
      </c>
      <c r="R946">
        <f t="shared" si="239"/>
        <v>522.8535999999998</v>
      </c>
      <c r="S946">
        <f t="shared" si="240"/>
        <v>7679.2643999999991</v>
      </c>
      <c r="U946">
        <f t="shared" si="227"/>
        <v>104.496517</v>
      </c>
      <c r="V946">
        <f t="shared" si="241"/>
        <v>1650.0000034299999</v>
      </c>
      <c r="W946">
        <f t="shared" si="228"/>
        <v>123.30589005999997</v>
      </c>
      <c r="X946">
        <f t="shared" si="229"/>
        <v>3.4233058969199996</v>
      </c>
      <c r="Y946">
        <f t="shared" si="230"/>
        <v>119.88258416307997</v>
      </c>
      <c r="Z946">
        <f t="shared" si="231"/>
        <v>31283.664756825459</v>
      </c>
      <c r="AB946">
        <f t="shared" si="232"/>
        <v>250.241983</v>
      </c>
      <c r="AC946">
        <f t="shared" si="233"/>
        <v>3951.3209115699997</v>
      </c>
      <c r="AD946">
        <f t="shared" si="234"/>
        <v>295.28553993999992</v>
      </c>
      <c r="AE946">
        <f t="shared" si="235"/>
        <v>8.1979273630799998</v>
      </c>
      <c r="AF946">
        <f t="shared" si="236"/>
        <v>287.08761257691992</v>
      </c>
      <c r="AG946">
        <f t="shared" si="242"/>
        <v>39800.296731977018</v>
      </c>
      <c r="AH946" t="b">
        <f t="shared" si="237"/>
        <v>1</v>
      </c>
    </row>
    <row r="947" spans="4:34" hidden="1" x14ac:dyDescent="0.4">
      <c r="D947" t="s">
        <v>52</v>
      </c>
      <c r="E947" t="s">
        <v>37</v>
      </c>
      <c r="F947" s="9">
        <v>45797.708333333336</v>
      </c>
      <c r="G947">
        <v>5.1459999999999999</v>
      </c>
      <c r="H947" s="9">
        <v>45799.708333333336</v>
      </c>
      <c r="I947">
        <v>5.6059999999999999</v>
      </c>
      <c r="J947">
        <v>453.71</v>
      </c>
      <c r="K947" s="12">
        <v>2334.8200000000002</v>
      </c>
      <c r="L947">
        <v>3.66</v>
      </c>
      <c r="M947">
        <v>205.05</v>
      </c>
      <c r="N947" s="13">
        <v>8.7800000000000003E-2</v>
      </c>
      <c r="O947" t="s">
        <v>38</v>
      </c>
      <c r="Q947">
        <f t="shared" si="238"/>
        <v>208.70659999999998</v>
      </c>
      <c r="R947">
        <f t="shared" si="239"/>
        <v>205.04659999999998</v>
      </c>
      <c r="S947">
        <f t="shared" si="240"/>
        <v>2543.4982599999998</v>
      </c>
      <c r="U947">
        <f t="shared" si="227"/>
        <v>320.63738799999999</v>
      </c>
      <c r="V947">
        <f t="shared" si="241"/>
        <v>1649.999998648</v>
      </c>
      <c r="W947">
        <f t="shared" si="228"/>
        <v>147.49319847999999</v>
      </c>
      <c r="X947">
        <f t="shared" si="229"/>
        <v>3.4474931957759996</v>
      </c>
      <c r="Y947">
        <f t="shared" si="230"/>
        <v>144.045705284224</v>
      </c>
      <c r="Z947">
        <f t="shared" si="231"/>
        <v>31163.782172662381</v>
      </c>
      <c r="AB947">
        <f t="shared" si="232"/>
        <v>761.19787199999996</v>
      </c>
      <c r="AC947">
        <f t="shared" si="233"/>
        <v>3917.1242493119998</v>
      </c>
      <c r="AD947">
        <f t="shared" si="234"/>
        <v>350.15102111999994</v>
      </c>
      <c r="AE947">
        <f t="shared" si="235"/>
        <v>8.1843995197439998</v>
      </c>
      <c r="AF947">
        <f t="shared" si="236"/>
        <v>341.96662160025596</v>
      </c>
      <c r="AG947">
        <f t="shared" si="242"/>
        <v>39513.209119400097</v>
      </c>
      <c r="AH947" t="b">
        <f t="shared" si="237"/>
        <v>1</v>
      </c>
    </row>
    <row r="948" spans="4:34" hidden="1" x14ac:dyDescent="0.4">
      <c r="D948" t="s">
        <v>48</v>
      </c>
      <c r="E948" t="s">
        <v>37</v>
      </c>
      <c r="F948" s="9">
        <v>45797.708333333336</v>
      </c>
      <c r="G948">
        <v>0.15179999999999999</v>
      </c>
      <c r="H948" s="9">
        <v>45799.708333333336</v>
      </c>
      <c r="I948">
        <v>0.16900000000000001</v>
      </c>
      <c r="J948" s="12">
        <v>19515.8</v>
      </c>
      <c r="K948" s="12">
        <v>2962.5</v>
      </c>
      <c r="L948">
        <v>4.7</v>
      </c>
      <c r="M948">
        <v>330.98</v>
      </c>
      <c r="N948" s="13">
        <v>0.11169999999999999</v>
      </c>
      <c r="O948" t="s">
        <v>38</v>
      </c>
      <c r="Q948">
        <f t="shared" si="238"/>
        <v>335.6717600000004</v>
      </c>
      <c r="R948">
        <f t="shared" si="239"/>
        <v>330.97176000000042</v>
      </c>
      <c r="S948">
        <f t="shared" si="240"/>
        <v>3298.1702</v>
      </c>
      <c r="U948">
        <f t="shared" si="227"/>
        <v>10869.565216999999</v>
      </c>
      <c r="V948">
        <f t="shared" si="241"/>
        <v>1649.9999999405998</v>
      </c>
      <c r="W948">
        <f t="shared" si="228"/>
        <v>186.9565217324002</v>
      </c>
      <c r="X948">
        <f t="shared" si="229"/>
        <v>3.4869565216135996</v>
      </c>
      <c r="Y948">
        <f t="shared" si="230"/>
        <v>183.46956521078661</v>
      </c>
      <c r="Z948">
        <f t="shared" si="231"/>
        <v>31019.736467378156</v>
      </c>
      <c r="AB948">
        <f t="shared" si="232"/>
        <v>25520.733161</v>
      </c>
      <c r="AC948">
        <f t="shared" si="233"/>
        <v>3874.0472938397997</v>
      </c>
      <c r="AD948">
        <f t="shared" si="234"/>
        <v>438.95661036920052</v>
      </c>
      <c r="AE948">
        <f t="shared" si="235"/>
        <v>8.187051198048799</v>
      </c>
      <c r="AF948">
        <f t="shared" si="236"/>
        <v>430.76955917115174</v>
      </c>
      <c r="AG948">
        <f t="shared" si="242"/>
        <v>39171.242497799838</v>
      </c>
      <c r="AH948" t="b">
        <f t="shared" si="237"/>
        <v>1</v>
      </c>
    </row>
    <row r="949" spans="4:34" hidden="1" x14ac:dyDescent="0.4">
      <c r="D949" t="s">
        <v>54</v>
      </c>
      <c r="E949" t="s">
        <v>37</v>
      </c>
      <c r="F949" s="9">
        <v>45797.708333333336</v>
      </c>
      <c r="G949">
        <v>166.68</v>
      </c>
      <c r="H949" s="9">
        <v>45799.708333333336</v>
      </c>
      <c r="I949">
        <v>179.05</v>
      </c>
      <c r="J949" s="12">
        <v>28.552</v>
      </c>
      <c r="K949" s="12">
        <v>4759.05</v>
      </c>
      <c r="L949">
        <v>7.4</v>
      </c>
      <c r="M949">
        <v>345.78</v>
      </c>
      <c r="N949" s="13">
        <v>7.2700000000000001E-2</v>
      </c>
      <c r="O949" t="s">
        <v>38</v>
      </c>
      <c r="Q949">
        <f t="shared" si="238"/>
        <v>353.18824000000012</v>
      </c>
      <c r="R949">
        <f t="shared" si="239"/>
        <v>345.78824000000014</v>
      </c>
      <c r="S949">
        <f t="shared" si="240"/>
        <v>5112.2356</v>
      </c>
      <c r="U949">
        <f t="shared" si="227"/>
        <v>9.8992079999999998</v>
      </c>
      <c r="V949">
        <f t="shared" si="241"/>
        <v>1649.99998944</v>
      </c>
      <c r="W949">
        <f t="shared" si="228"/>
        <v>122.45320296000004</v>
      </c>
      <c r="X949">
        <f t="shared" si="229"/>
        <v>3.4224531818400004</v>
      </c>
      <c r="Y949">
        <f t="shared" si="230"/>
        <v>119.03074977816004</v>
      </c>
      <c r="Z949">
        <f t="shared" si="231"/>
        <v>30836.266902167368</v>
      </c>
      <c r="AB949">
        <f t="shared" si="232"/>
        <v>23.075955</v>
      </c>
      <c r="AC949">
        <f t="shared" si="233"/>
        <v>3846.3001794000002</v>
      </c>
      <c r="AD949">
        <f t="shared" si="234"/>
        <v>285.44956335000012</v>
      </c>
      <c r="AE949">
        <f t="shared" si="235"/>
        <v>7.9780499221500012</v>
      </c>
      <c r="AF949">
        <f t="shared" si="236"/>
        <v>277.47151342785014</v>
      </c>
      <c r="AG949">
        <f t="shared" si="242"/>
        <v>38740.472938628685</v>
      </c>
      <c r="AH949" t="b">
        <f t="shared" si="237"/>
        <v>1</v>
      </c>
    </row>
    <row r="950" spans="4:34" hidden="1" x14ac:dyDescent="0.4">
      <c r="D950" t="s">
        <v>55</v>
      </c>
      <c r="E950" t="s">
        <v>37</v>
      </c>
      <c r="F950" s="9">
        <v>45797.708333333336</v>
      </c>
      <c r="G950">
        <v>6.1649999999999994E-5</v>
      </c>
      <c r="H950" s="9">
        <v>45799.708333333336</v>
      </c>
      <c r="I950">
        <v>6.6299999999999999E-5</v>
      </c>
      <c r="J950" s="12">
        <v>96781641.409999996</v>
      </c>
      <c r="K950" s="12">
        <v>5966.59</v>
      </c>
      <c r="L950">
        <v>9.2899999999999991</v>
      </c>
      <c r="M950">
        <v>440.75</v>
      </c>
      <c r="N950" s="13">
        <v>7.3899999999999993E-2</v>
      </c>
      <c r="O950" t="s">
        <v>38</v>
      </c>
      <c r="Q950">
        <f t="shared" si="238"/>
        <v>450.03463255650041</v>
      </c>
      <c r="R950">
        <f t="shared" si="239"/>
        <v>440.74463255650039</v>
      </c>
      <c r="S950">
        <f t="shared" si="240"/>
        <v>6416.6228254829994</v>
      </c>
      <c r="U950">
        <f t="shared" si="227"/>
        <v>26763990.267639998</v>
      </c>
      <c r="V950">
        <f t="shared" si="241"/>
        <v>1650.0000000000057</v>
      </c>
      <c r="W950">
        <f t="shared" si="228"/>
        <v>124.45255474452611</v>
      </c>
      <c r="X950">
        <f t="shared" si="229"/>
        <v>3.4244525547445379</v>
      </c>
      <c r="Y950">
        <f t="shared" si="230"/>
        <v>121.02810218978158</v>
      </c>
      <c r="Z950">
        <f t="shared" si="231"/>
        <v>30717.236152389207</v>
      </c>
      <c r="AB950">
        <f t="shared" si="232"/>
        <v>61935001.221294999</v>
      </c>
      <c r="AC950">
        <f t="shared" si="233"/>
        <v>3818.2928252928364</v>
      </c>
      <c r="AD950">
        <f t="shared" si="234"/>
        <v>287.99775567902202</v>
      </c>
      <c r="AE950">
        <f t="shared" si="235"/>
        <v>7.9245834062646958</v>
      </c>
      <c r="AF950">
        <f t="shared" si="236"/>
        <v>280.07317227275735</v>
      </c>
      <c r="AG950">
        <f t="shared" si="242"/>
        <v>38463.001425200833</v>
      </c>
      <c r="AH950" t="b">
        <f t="shared" si="237"/>
        <v>1</v>
      </c>
    </row>
    <row r="951" spans="4:34" hidden="1" x14ac:dyDescent="0.4">
      <c r="D951" t="s">
        <v>61</v>
      </c>
      <c r="E951" t="s">
        <v>37</v>
      </c>
      <c r="F951" s="9">
        <v>45797.708333333336</v>
      </c>
      <c r="G951" s="12">
        <v>0.73250000000000004</v>
      </c>
      <c r="H951" s="9">
        <v>45799.708333333336</v>
      </c>
      <c r="I951" s="12">
        <v>0.80330000000000001</v>
      </c>
      <c r="J951" s="12">
        <v>11067.5</v>
      </c>
      <c r="K951" s="12">
        <v>8106.97</v>
      </c>
      <c r="L951">
        <v>12.75</v>
      </c>
      <c r="M951">
        <v>770.83</v>
      </c>
      <c r="N951" s="13">
        <v>9.5100000000000004E-2</v>
      </c>
      <c r="O951" t="s">
        <v>38</v>
      </c>
      <c r="Q951">
        <f t="shared" si="238"/>
        <v>783.57899999999972</v>
      </c>
      <c r="R951">
        <f t="shared" si="239"/>
        <v>770.82899999999972</v>
      </c>
      <c r="S951">
        <f t="shared" si="240"/>
        <v>8890.5227500000001</v>
      </c>
      <c r="U951">
        <f t="shared" si="227"/>
        <v>2252.5597269999998</v>
      </c>
      <c r="V951">
        <f t="shared" si="241"/>
        <v>1650.0000000274999</v>
      </c>
      <c r="W951">
        <f t="shared" si="228"/>
        <v>159.48122867159992</v>
      </c>
      <c r="X951">
        <f t="shared" si="229"/>
        <v>3.4594812287266001</v>
      </c>
      <c r="Y951">
        <f t="shared" si="230"/>
        <v>156.02174744287333</v>
      </c>
      <c r="Z951">
        <f t="shared" si="231"/>
        <v>30596.208050199424</v>
      </c>
      <c r="AB951">
        <f t="shared" si="232"/>
        <v>5163.8577169999999</v>
      </c>
      <c r="AC951">
        <f t="shared" si="233"/>
        <v>3782.5257777024999</v>
      </c>
      <c r="AD951">
        <f t="shared" si="234"/>
        <v>365.60112636359986</v>
      </c>
      <c r="AE951">
        <f t="shared" si="235"/>
        <v>7.9306526817686009</v>
      </c>
      <c r="AF951">
        <f t="shared" si="236"/>
        <v>357.67047368183125</v>
      </c>
      <c r="AG951">
        <f t="shared" si="242"/>
        <v>38182.928252928075</v>
      </c>
      <c r="AH951" t="b">
        <f t="shared" si="237"/>
        <v>1</v>
      </c>
    </row>
    <row r="952" spans="4:34" hidden="1" x14ac:dyDescent="0.4">
      <c r="D952" t="s">
        <v>53</v>
      </c>
      <c r="E952" t="s">
        <v>37</v>
      </c>
      <c r="F952" s="9">
        <v>45797.666666666664</v>
      </c>
      <c r="G952">
        <v>642.72</v>
      </c>
      <c r="H952" s="9">
        <v>45799.666666666664</v>
      </c>
      <c r="I952">
        <v>686</v>
      </c>
      <c r="J952">
        <v>14.372</v>
      </c>
      <c r="K952" s="12">
        <v>9237.2999999999993</v>
      </c>
      <c r="L952">
        <v>14.32</v>
      </c>
      <c r="M952">
        <v>607.70000000000005</v>
      </c>
      <c r="N952" s="13">
        <v>6.5799999999999997E-2</v>
      </c>
      <c r="O952" t="s">
        <v>38</v>
      </c>
      <c r="Q952">
        <f t="shared" si="238"/>
        <v>622.02015999999958</v>
      </c>
      <c r="R952">
        <f t="shared" si="239"/>
        <v>607.70015999999953</v>
      </c>
      <c r="S952">
        <f t="shared" si="240"/>
        <v>9859.1919999999991</v>
      </c>
      <c r="U952">
        <f t="shared" si="227"/>
        <v>2.5672139999999999</v>
      </c>
      <c r="V952">
        <f t="shared" si="241"/>
        <v>1649.9997820799999</v>
      </c>
      <c r="W952">
        <f t="shared" si="228"/>
        <v>111.10902191999992</v>
      </c>
      <c r="X952">
        <f t="shared" si="229"/>
        <v>3.4111085860800001</v>
      </c>
      <c r="Y952">
        <f t="shared" si="230"/>
        <v>107.69791333391991</v>
      </c>
      <c r="Z952">
        <f t="shared" si="231"/>
        <v>30440.186302756552</v>
      </c>
      <c r="AB952">
        <f t="shared" si="232"/>
        <v>5.8470199999999997</v>
      </c>
      <c r="AC952">
        <f t="shared" si="233"/>
        <v>3757.9966943999998</v>
      </c>
      <c r="AD952">
        <f t="shared" si="234"/>
        <v>253.05902559999981</v>
      </c>
      <c r="AE952">
        <f t="shared" si="235"/>
        <v>7.7690524143999999</v>
      </c>
      <c r="AF952">
        <f t="shared" si="236"/>
        <v>245.28997318559982</v>
      </c>
      <c r="AG952">
        <f t="shared" si="242"/>
        <v>37825.257779246247</v>
      </c>
      <c r="AH952" t="b">
        <f t="shared" si="237"/>
        <v>1</v>
      </c>
    </row>
    <row r="953" spans="4:34" hidden="1" x14ac:dyDescent="0.4">
      <c r="D953" t="s">
        <v>43</v>
      </c>
      <c r="E953" t="s">
        <v>37</v>
      </c>
      <c r="F953" s="9">
        <v>45797.25</v>
      </c>
      <c r="G953">
        <v>3.8935</v>
      </c>
      <c r="H953" s="9">
        <v>45799.25</v>
      </c>
      <c r="I953">
        <v>4.0636000000000001</v>
      </c>
      <c r="J953">
        <v>474.3</v>
      </c>
      <c r="K953" s="12">
        <v>1847.06</v>
      </c>
      <c r="L953">
        <v>2.83</v>
      </c>
      <c r="M953">
        <v>77.849999999999994</v>
      </c>
      <c r="N953" s="13">
        <v>4.2099999999999999E-2</v>
      </c>
      <c r="O953" t="s">
        <v>38</v>
      </c>
      <c r="Q953">
        <f t="shared" si="238"/>
        <v>80.678430000000063</v>
      </c>
      <c r="R953">
        <f t="shared" si="239"/>
        <v>77.848430000000064</v>
      </c>
      <c r="S953">
        <f t="shared" si="240"/>
        <v>1927.3654800000002</v>
      </c>
      <c r="U953">
        <f t="shared" si="227"/>
        <v>423.78322800000001</v>
      </c>
      <c r="V953">
        <f t="shared" si="241"/>
        <v>1649.999998218</v>
      </c>
      <c r="W953">
        <f t="shared" si="228"/>
        <v>72.085527082800056</v>
      </c>
      <c r="X953">
        <f t="shared" si="229"/>
        <v>3.3720855235188001</v>
      </c>
      <c r="Y953">
        <f t="shared" si="230"/>
        <v>68.71344155928125</v>
      </c>
      <c r="Z953">
        <f t="shared" si="231"/>
        <v>30332.488389422633</v>
      </c>
      <c r="AB953">
        <f t="shared" si="232"/>
        <v>961.19473200000004</v>
      </c>
      <c r="AC953">
        <f t="shared" si="233"/>
        <v>3742.411689042</v>
      </c>
      <c r="AD953">
        <f t="shared" si="234"/>
        <v>163.49922391320015</v>
      </c>
      <c r="AE953">
        <f t="shared" si="235"/>
        <v>7.6483226019971999</v>
      </c>
      <c r="AF953">
        <f t="shared" si="236"/>
        <v>155.85090131120296</v>
      </c>
      <c r="AG953">
        <f t="shared" si="242"/>
        <v>37579.967806060646</v>
      </c>
      <c r="AH953" t="b">
        <f t="shared" si="237"/>
        <v>1</v>
      </c>
    </row>
    <row r="954" spans="4:34" hidden="1" x14ac:dyDescent="0.4">
      <c r="D954" t="s">
        <v>50</v>
      </c>
      <c r="E954" t="s">
        <v>37</v>
      </c>
      <c r="F954" s="9">
        <v>45797.25</v>
      </c>
      <c r="G954">
        <v>416</v>
      </c>
      <c r="H954" s="9">
        <v>45799.25</v>
      </c>
      <c r="I954">
        <v>472</v>
      </c>
      <c r="J954" s="12">
        <v>30.4057</v>
      </c>
      <c r="K954" s="12">
        <v>12648.79</v>
      </c>
      <c r="L954">
        <v>20.25</v>
      </c>
      <c r="M954" s="12">
        <v>1682.47</v>
      </c>
      <c r="N954" s="13">
        <v>0.13300000000000001</v>
      </c>
      <c r="O954" t="s">
        <v>38</v>
      </c>
      <c r="Q954">
        <f t="shared" si="238"/>
        <v>1702.7192</v>
      </c>
      <c r="R954">
        <f t="shared" si="239"/>
        <v>1682.4692</v>
      </c>
      <c r="S954">
        <f t="shared" si="240"/>
        <v>14351.490400000001</v>
      </c>
      <c r="U954">
        <f t="shared" si="227"/>
        <v>3.9663460000000001</v>
      </c>
      <c r="V954">
        <f t="shared" si="241"/>
        <v>1649.9999360000002</v>
      </c>
      <c r="W954">
        <f t="shared" si="228"/>
        <v>222.115376</v>
      </c>
      <c r="X954">
        <f t="shared" si="229"/>
        <v>3.522115248</v>
      </c>
      <c r="Y954">
        <f t="shared" si="230"/>
        <v>218.59326075199999</v>
      </c>
      <c r="Z954">
        <f t="shared" si="231"/>
        <v>30263.774947863352</v>
      </c>
      <c r="AB954">
        <f t="shared" si="232"/>
        <v>8.878558</v>
      </c>
      <c r="AC954">
        <f t="shared" si="233"/>
        <v>3693.4801280000001</v>
      </c>
      <c r="AD954">
        <f t="shared" si="234"/>
        <v>497.19924800000001</v>
      </c>
      <c r="AE954">
        <f t="shared" si="235"/>
        <v>7.8841595040000003</v>
      </c>
      <c r="AF954">
        <f t="shared" si="236"/>
        <v>489.31508849599999</v>
      </c>
      <c r="AG954">
        <f t="shared" si="242"/>
        <v>37424.11690474944</v>
      </c>
      <c r="AH954" t="b">
        <f t="shared" si="237"/>
        <v>1</v>
      </c>
    </row>
    <row r="955" spans="4:34" hidden="1" x14ac:dyDescent="0.4">
      <c r="D955" t="s">
        <v>60</v>
      </c>
      <c r="E955" t="s">
        <v>37</v>
      </c>
      <c r="F955" s="9">
        <v>45796</v>
      </c>
      <c r="G955">
        <v>2.4062999999999999</v>
      </c>
      <c r="H955" s="9">
        <v>45798.5</v>
      </c>
      <c r="I955">
        <v>2.3452999999999999</v>
      </c>
      <c r="J955">
        <v>918.1</v>
      </c>
      <c r="K955" s="12">
        <v>2209.2800000000002</v>
      </c>
      <c r="L955">
        <v>3.27</v>
      </c>
      <c r="M955">
        <v>-59.28</v>
      </c>
      <c r="N955" s="13">
        <v>-2.6800000000000001E-2</v>
      </c>
      <c r="O955" t="s">
        <v>57</v>
      </c>
      <c r="Q955">
        <f t="shared" si="238"/>
        <v>-56.004099999999951</v>
      </c>
      <c r="R955">
        <f t="shared" si="239"/>
        <v>-59.274099999999954</v>
      </c>
      <c r="S955">
        <f t="shared" si="240"/>
        <v>2153.2199300000002</v>
      </c>
      <c r="U955">
        <f t="shared" si="227"/>
        <v>685.70003699999995</v>
      </c>
      <c r="V955">
        <f t="shared" si="241"/>
        <v>1649.9999990330998</v>
      </c>
      <c r="W955">
        <f t="shared" si="228"/>
        <v>-41.827702256999956</v>
      </c>
      <c r="X955">
        <f t="shared" si="229"/>
        <v>3.2581722958091999</v>
      </c>
      <c r="Y955">
        <f t="shared" si="230"/>
        <v>-45.085874552809159</v>
      </c>
      <c r="Z955">
        <f t="shared" si="231"/>
        <v>30045.181687111351</v>
      </c>
      <c r="AB955">
        <f t="shared" si="232"/>
        <v>1539.1265370000001</v>
      </c>
      <c r="AC955">
        <f t="shared" si="233"/>
        <v>3703.6001859830999</v>
      </c>
      <c r="AD955">
        <f t="shared" si="234"/>
        <v>-93.886718756999912</v>
      </c>
      <c r="AE955">
        <f t="shared" si="235"/>
        <v>7.3133136532092005</v>
      </c>
      <c r="AF955">
        <f t="shared" si="236"/>
        <v>-101.20003241020912</v>
      </c>
      <c r="AG955">
        <f t="shared" si="242"/>
        <v>36934.801816253443</v>
      </c>
      <c r="AH955" t="b">
        <f t="shared" si="237"/>
        <v>1</v>
      </c>
    </row>
    <row r="956" spans="4:34" hidden="1" x14ac:dyDescent="0.4">
      <c r="D956" t="s">
        <v>59</v>
      </c>
      <c r="E956" t="s">
        <v>37</v>
      </c>
      <c r="F956" s="9">
        <v>45795.583333333336</v>
      </c>
      <c r="G956" s="12">
        <v>103979.99</v>
      </c>
      <c r="H956" s="9">
        <v>45798.083333333336</v>
      </c>
      <c r="I956" s="12">
        <v>106793.99</v>
      </c>
      <c r="J956">
        <v>9.9449999999999997E-2</v>
      </c>
      <c r="K956" s="12">
        <v>10340.959999999999</v>
      </c>
      <c r="L956">
        <v>15.72</v>
      </c>
      <c r="M956">
        <v>264.13</v>
      </c>
      <c r="N956" s="13">
        <v>2.5499999999999998E-2</v>
      </c>
      <c r="O956" t="s">
        <v>57</v>
      </c>
      <c r="Q956">
        <f t="shared" si="238"/>
        <v>279.85230000000001</v>
      </c>
      <c r="R956">
        <f t="shared" si="239"/>
        <v>264.13229999999999</v>
      </c>
      <c r="S956">
        <f t="shared" si="240"/>
        <v>10620.6623055</v>
      </c>
      <c r="U956">
        <f t="shared" si="227"/>
        <v>1.5868E-2</v>
      </c>
      <c r="V956">
        <f t="shared" si="241"/>
        <v>1649.95448132</v>
      </c>
      <c r="W956">
        <f t="shared" si="228"/>
        <v>44.652552</v>
      </c>
      <c r="X956">
        <f t="shared" si="229"/>
        <v>3.3445615146400005</v>
      </c>
      <c r="Y956">
        <f t="shared" si="230"/>
        <v>41.307990485360001</v>
      </c>
      <c r="Z956">
        <f t="shared" si="231"/>
        <v>30090.267561664161</v>
      </c>
      <c r="AB956">
        <f t="shared" si="232"/>
        <v>3.5528999999999998E-2</v>
      </c>
      <c r="AC956">
        <f t="shared" si="233"/>
        <v>3694.3050647099999</v>
      </c>
      <c r="AD956">
        <f t="shared" si="234"/>
        <v>99.978605999999999</v>
      </c>
      <c r="AE956">
        <f t="shared" si="235"/>
        <v>7.4885887354200005</v>
      </c>
      <c r="AF956">
        <f t="shared" si="236"/>
        <v>92.490017264580004</v>
      </c>
      <c r="AG956">
        <f t="shared" si="242"/>
        <v>37036.001848663655</v>
      </c>
      <c r="AH956" t="b">
        <f t="shared" si="237"/>
        <v>1</v>
      </c>
    </row>
    <row r="957" spans="4:34" hidden="1" x14ac:dyDescent="0.4">
      <c r="D957" t="s">
        <v>58</v>
      </c>
      <c r="E957" t="s">
        <v>37</v>
      </c>
      <c r="F957" s="9">
        <v>45796</v>
      </c>
      <c r="G957">
        <v>15.68</v>
      </c>
      <c r="H957" s="9">
        <v>45798</v>
      </c>
      <c r="I957">
        <v>15.66</v>
      </c>
      <c r="J957">
        <v>455.82</v>
      </c>
      <c r="K957" s="12">
        <v>7147.33</v>
      </c>
      <c r="L957">
        <v>10.71</v>
      </c>
      <c r="M957">
        <v>-19.829999999999998</v>
      </c>
      <c r="N957" s="13">
        <v>-2.8E-3</v>
      </c>
      <c r="O957" t="s">
        <v>38</v>
      </c>
      <c r="Q957">
        <f t="shared" si="238"/>
        <v>-9.1163999999998051</v>
      </c>
      <c r="R957">
        <f t="shared" si="239"/>
        <v>-19.826399999999808</v>
      </c>
      <c r="S957">
        <f t="shared" si="240"/>
        <v>7138.1412</v>
      </c>
      <c r="U957">
        <f t="shared" si="227"/>
        <v>105.229592</v>
      </c>
      <c r="V957">
        <f t="shared" si="241"/>
        <v>1650.00000256</v>
      </c>
      <c r="W957">
        <f t="shared" si="228"/>
        <v>-2.104591839999955</v>
      </c>
      <c r="X957">
        <f t="shared" si="229"/>
        <v>3.29789541328</v>
      </c>
      <c r="Y957">
        <f t="shared" si="230"/>
        <v>-5.402487253279955</v>
      </c>
      <c r="Z957">
        <f t="shared" si="231"/>
        <v>30048.959571178802</v>
      </c>
      <c r="AB957">
        <f t="shared" si="232"/>
        <v>235.68630099999999</v>
      </c>
      <c r="AC957">
        <f t="shared" si="233"/>
        <v>3695.5611996799998</v>
      </c>
      <c r="AD957">
        <f t="shared" si="234"/>
        <v>-4.7137260199998989</v>
      </c>
      <c r="AE957">
        <f t="shared" si="235"/>
        <v>7.3864086733399992</v>
      </c>
      <c r="AF957">
        <f t="shared" si="236"/>
        <v>-12.100134693339898</v>
      </c>
      <c r="AG957">
        <f t="shared" si="242"/>
        <v>36943.511831399075</v>
      </c>
      <c r="AH957" t="b">
        <f t="shared" si="237"/>
        <v>1</v>
      </c>
    </row>
    <row r="958" spans="4:34" hidden="1" x14ac:dyDescent="0.4">
      <c r="D958" t="s">
        <v>56</v>
      </c>
      <c r="E958" t="s">
        <v>37</v>
      </c>
      <c r="F958" s="9">
        <v>45797.041666666664</v>
      </c>
      <c r="G958" s="12">
        <v>2528.9899999999998</v>
      </c>
      <c r="H958" s="9">
        <v>45797.833333333336</v>
      </c>
      <c r="I958" s="12">
        <v>2451.6799999999998</v>
      </c>
      <c r="J958">
        <v>2.1063000000000001</v>
      </c>
      <c r="K958" s="12">
        <v>5326.88</v>
      </c>
      <c r="L958">
        <v>7.87</v>
      </c>
      <c r="M958">
        <v>-170.71</v>
      </c>
      <c r="N958" s="13">
        <v>-3.2000000000000001E-2</v>
      </c>
      <c r="O958" t="s">
        <v>49</v>
      </c>
      <c r="Q958">
        <f t="shared" si="238"/>
        <v>-162.83805299999989</v>
      </c>
      <c r="R958">
        <f t="shared" si="239"/>
        <v>-170.70805299999989</v>
      </c>
      <c r="S958">
        <f t="shared" si="240"/>
        <v>5163.9735839999994</v>
      </c>
      <c r="U958">
        <f t="shared" si="227"/>
        <v>0.65243399999999996</v>
      </c>
      <c r="V958">
        <f t="shared" si="241"/>
        <v>1649.9990616599998</v>
      </c>
      <c r="W958">
        <f t="shared" si="228"/>
        <v>-50.439672539999961</v>
      </c>
      <c r="X958">
        <f t="shared" si="229"/>
        <v>3.2495584507799999</v>
      </c>
      <c r="Y958">
        <f t="shared" si="230"/>
        <v>-53.689230990779961</v>
      </c>
      <c r="Z958">
        <f t="shared" si="231"/>
        <v>30054.362058432082</v>
      </c>
      <c r="AB958">
        <f t="shared" si="232"/>
        <v>1.4660500000000001</v>
      </c>
      <c r="AC958">
        <f t="shared" si="233"/>
        <v>3707.6257894999999</v>
      </c>
      <c r="AD958">
        <f t="shared" si="234"/>
        <v>-113.34032549999992</v>
      </c>
      <c r="AE958">
        <f t="shared" si="235"/>
        <v>7.3019112535000001</v>
      </c>
      <c r="AF958">
        <f t="shared" si="236"/>
        <v>-120.64223675349992</v>
      </c>
      <c r="AG958">
        <f t="shared" si="242"/>
        <v>36955.611966092416</v>
      </c>
      <c r="AH958" t="b">
        <f t="shared" si="237"/>
        <v>1</v>
      </c>
    </row>
    <row r="959" spans="4:34" hidden="1" x14ac:dyDescent="0.4">
      <c r="D959" t="s">
        <v>52</v>
      </c>
      <c r="E959" t="s">
        <v>37</v>
      </c>
      <c r="F959" s="9">
        <v>45795.625</v>
      </c>
      <c r="G959">
        <v>5.319</v>
      </c>
      <c r="H959" s="9">
        <v>45797.625</v>
      </c>
      <c r="I959">
        <v>5.1130000000000004</v>
      </c>
      <c r="J959">
        <v>440.72</v>
      </c>
      <c r="K959" s="12">
        <v>2344.2399999999998</v>
      </c>
      <c r="L959">
        <v>3.45</v>
      </c>
      <c r="M959">
        <v>-94.24</v>
      </c>
      <c r="N959" s="13">
        <v>-4.02E-2</v>
      </c>
      <c r="O959" t="s">
        <v>38</v>
      </c>
      <c r="Q959">
        <f t="shared" si="238"/>
        <v>-90.788319999999786</v>
      </c>
      <c r="R959">
        <f t="shared" si="239"/>
        <v>-94.238319999999788</v>
      </c>
      <c r="S959">
        <f t="shared" si="240"/>
        <v>2253.4013600000003</v>
      </c>
      <c r="U959">
        <f t="shared" si="227"/>
        <v>310.208686</v>
      </c>
      <c r="V959">
        <f t="shared" si="241"/>
        <v>1650.000000834</v>
      </c>
      <c r="W959">
        <f t="shared" si="228"/>
        <v>-63.902989315999854</v>
      </c>
      <c r="X959">
        <f t="shared" si="229"/>
        <v>3.2360970123520003</v>
      </c>
      <c r="Y959">
        <f t="shared" si="230"/>
        <v>-67.139086328351851</v>
      </c>
      <c r="Z959">
        <f t="shared" si="231"/>
        <v>30108.051289422863</v>
      </c>
      <c r="AB959">
        <f t="shared" si="232"/>
        <v>699.90101900000002</v>
      </c>
      <c r="AC959">
        <f t="shared" si="233"/>
        <v>3722.773520061</v>
      </c>
      <c r="AD959">
        <f t="shared" si="234"/>
        <v>-144.17960991399966</v>
      </c>
      <c r="AE959">
        <f t="shared" si="235"/>
        <v>7.3013674302080007</v>
      </c>
      <c r="AF959">
        <f t="shared" si="236"/>
        <v>-151.48097734420764</v>
      </c>
      <c r="AG959">
        <f t="shared" si="242"/>
        <v>37076.254202845914</v>
      </c>
      <c r="AH959" t="b">
        <f t="shared" si="237"/>
        <v>1</v>
      </c>
    </row>
    <row r="960" spans="4:34" hidden="1" x14ac:dyDescent="0.4">
      <c r="D960" t="s">
        <v>48</v>
      </c>
      <c r="E960" t="s">
        <v>37</v>
      </c>
      <c r="F960" s="9">
        <v>45795.625</v>
      </c>
      <c r="G960">
        <v>0.15759999999999999</v>
      </c>
      <c r="H960" s="9">
        <v>45797.625</v>
      </c>
      <c r="I960">
        <v>0.15060000000000001</v>
      </c>
      <c r="J960" s="12">
        <v>18884.2</v>
      </c>
      <c r="K960" s="12">
        <v>2976.16</v>
      </c>
      <c r="L960">
        <v>4.37</v>
      </c>
      <c r="M960">
        <v>-136.55000000000001</v>
      </c>
      <c r="N960" s="13">
        <v>-4.5900000000000003E-2</v>
      </c>
      <c r="O960" t="s">
        <v>38</v>
      </c>
      <c r="Q960">
        <f t="shared" si="238"/>
        <v>-132.18939999999961</v>
      </c>
      <c r="R960">
        <f t="shared" si="239"/>
        <v>-136.55939999999961</v>
      </c>
      <c r="S960">
        <f t="shared" si="240"/>
        <v>2843.9605200000005</v>
      </c>
      <c r="U960">
        <f t="shared" si="227"/>
        <v>10469.543147</v>
      </c>
      <c r="V960">
        <f t="shared" si="241"/>
        <v>1649.9999999672</v>
      </c>
      <c r="W960">
        <f t="shared" si="228"/>
        <v>-73.286802028999773</v>
      </c>
      <c r="X960">
        <f t="shared" si="229"/>
        <v>3.2267131979054002</v>
      </c>
      <c r="Y960">
        <f t="shared" si="230"/>
        <v>-76.51351522690517</v>
      </c>
      <c r="Z960">
        <f t="shared" si="231"/>
        <v>30175.190375751215</v>
      </c>
      <c r="AB960">
        <f t="shared" si="232"/>
        <v>23731.707643000002</v>
      </c>
      <c r="AC960">
        <f t="shared" si="233"/>
        <v>3740.1171245368</v>
      </c>
      <c r="AD960">
        <f t="shared" si="234"/>
        <v>-166.1219535009995</v>
      </c>
      <c r="AE960">
        <f t="shared" si="235"/>
        <v>7.3141122955726008</v>
      </c>
      <c r="AF960">
        <f t="shared" si="236"/>
        <v>-173.43606579657211</v>
      </c>
      <c r="AG960">
        <f t="shared" si="242"/>
        <v>37227.735180190124</v>
      </c>
      <c r="AH960" t="b">
        <f t="shared" si="237"/>
        <v>1</v>
      </c>
    </row>
    <row r="961" spans="4:34" hidden="1" x14ac:dyDescent="0.4">
      <c r="D961" t="s">
        <v>55</v>
      </c>
      <c r="E961" t="s">
        <v>37</v>
      </c>
      <c r="F961" s="9">
        <v>45795.583333333336</v>
      </c>
      <c r="G961">
        <v>6.2490000000000006E-5</v>
      </c>
      <c r="H961" s="9">
        <v>45797.583333333336</v>
      </c>
      <c r="I961">
        <v>6.0909999999999998E-5</v>
      </c>
      <c r="J961" s="12">
        <v>95736928.670000002</v>
      </c>
      <c r="K961" s="12">
        <v>5982.6</v>
      </c>
      <c r="L961">
        <v>8.86</v>
      </c>
      <c r="M961">
        <v>-160.12</v>
      </c>
      <c r="N961" s="13">
        <v>-2.6800000000000001E-2</v>
      </c>
      <c r="O961" t="s">
        <v>38</v>
      </c>
      <c r="Q961">
        <f t="shared" si="238"/>
        <v>-151.26434729860082</v>
      </c>
      <c r="R961">
        <f t="shared" si="239"/>
        <v>-160.12434729860081</v>
      </c>
      <c r="S961">
        <f t="shared" si="240"/>
        <v>5831.3363252896997</v>
      </c>
      <c r="U961">
        <f t="shared" si="227"/>
        <v>26404224.675948001</v>
      </c>
      <c r="V961">
        <f t="shared" si="241"/>
        <v>1649.9999999999907</v>
      </c>
      <c r="W961">
        <f t="shared" si="228"/>
        <v>-41.718674987998071</v>
      </c>
      <c r="X961">
        <f t="shared" si="229"/>
        <v>3.2582813250119842</v>
      </c>
      <c r="Y961">
        <f t="shared" si="230"/>
        <v>-44.976956313010056</v>
      </c>
      <c r="Z961">
        <f t="shared" si="231"/>
        <v>30251.703890978122</v>
      </c>
      <c r="AB961">
        <f t="shared" si="232"/>
        <v>60015043.801565997</v>
      </c>
      <c r="AC961">
        <f t="shared" si="233"/>
        <v>3750.3400871598596</v>
      </c>
      <c r="AD961">
        <f t="shared" si="234"/>
        <v>-94.823769206474793</v>
      </c>
      <c r="AE961">
        <f t="shared" si="235"/>
        <v>7.4058564051132461</v>
      </c>
      <c r="AF961">
        <f t="shared" si="236"/>
        <v>-102.22962561158803</v>
      </c>
      <c r="AG961">
        <f t="shared" si="242"/>
        <v>37401.171245986698</v>
      </c>
      <c r="AH961" t="b">
        <f t="shared" si="237"/>
        <v>1</v>
      </c>
    </row>
    <row r="962" spans="4:34" hidden="1" x14ac:dyDescent="0.4">
      <c r="D962" t="s">
        <v>53</v>
      </c>
      <c r="E962" t="s">
        <v>37</v>
      </c>
      <c r="F962" s="9">
        <v>45795.583333333336</v>
      </c>
      <c r="G962">
        <v>646.47</v>
      </c>
      <c r="H962" s="9">
        <v>45797.583333333336</v>
      </c>
      <c r="I962">
        <v>642.80999999999995</v>
      </c>
      <c r="J962" s="12">
        <v>14.298999999999999</v>
      </c>
      <c r="K962" s="12">
        <v>9243.92</v>
      </c>
      <c r="L962">
        <v>13.83</v>
      </c>
      <c r="M962">
        <v>-66.16</v>
      </c>
      <c r="N962" s="13">
        <v>-7.1999999999999998E-3</v>
      </c>
      <c r="O962" t="s">
        <v>38</v>
      </c>
      <c r="Q962">
        <f t="shared" si="238"/>
        <v>-52.33434000000117</v>
      </c>
      <c r="R962">
        <f t="shared" si="239"/>
        <v>-66.164340000001175</v>
      </c>
      <c r="S962">
        <f t="shared" si="240"/>
        <v>9191.5401899999997</v>
      </c>
      <c r="U962">
        <f t="shared" si="227"/>
        <v>2.5523229999999999</v>
      </c>
      <c r="V962">
        <f t="shared" si="241"/>
        <v>1650.00024981</v>
      </c>
      <c r="W962">
        <f t="shared" si="228"/>
        <v>-9.3415021800002087</v>
      </c>
      <c r="X962">
        <f t="shared" si="229"/>
        <v>3.29065899744</v>
      </c>
      <c r="Y962">
        <f t="shared" si="230"/>
        <v>-12.632161177440208</v>
      </c>
      <c r="Z962">
        <f t="shared" si="231"/>
        <v>30296.680847291133</v>
      </c>
      <c r="AB962">
        <f t="shared" si="232"/>
        <v>5.8057040000000004</v>
      </c>
      <c r="AC962">
        <f t="shared" si="233"/>
        <v>3753.2134648800006</v>
      </c>
      <c r="AD962">
        <f t="shared" si="234"/>
        <v>-21.248876640000478</v>
      </c>
      <c r="AE962">
        <f t="shared" si="235"/>
        <v>7.4851780531200003</v>
      </c>
      <c r="AF962">
        <f t="shared" si="236"/>
        <v>-28.734054693120477</v>
      </c>
      <c r="AG962">
        <f t="shared" si="242"/>
        <v>37503.400871598285</v>
      </c>
      <c r="AH962" t="b">
        <f t="shared" si="237"/>
        <v>1</v>
      </c>
    </row>
    <row r="963" spans="4:34" hidden="1" x14ac:dyDescent="0.4">
      <c r="D963" t="s">
        <v>43</v>
      </c>
      <c r="E963" t="s">
        <v>37</v>
      </c>
      <c r="F963" s="9">
        <v>45795.25</v>
      </c>
      <c r="G963" s="12">
        <v>3.7784</v>
      </c>
      <c r="H963" s="9">
        <v>45797.25</v>
      </c>
      <c r="I963" s="12">
        <v>3.8935</v>
      </c>
      <c r="J963">
        <v>487.4</v>
      </c>
      <c r="K963" s="12">
        <v>1841.73</v>
      </c>
      <c r="L963">
        <v>2.8</v>
      </c>
      <c r="M963">
        <v>53.3</v>
      </c>
      <c r="N963" s="13">
        <v>2.8899999999999999E-2</v>
      </c>
      <c r="O963" t="s">
        <v>38</v>
      </c>
      <c r="Q963">
        <f t="shared" si="238"/>
        <v>56.09973999999999</v>
      </c>
      <c r="R963">
        <f t="shared" si="239"/>
        <v>53.299739999999993</v>
      </c>
      <c r="S963">
        <f t="shared" si="240"/>
        <v>1897.6918999999998</v>
      </c>
      <c r="U963">
        <f t="shared" si="227"/>
        <v>436.69278000000003</v>
      </c>
      <c r="V963">
        <f t="shared" si="241"/>
        <v>1649.9999999520001</v>
      </c>
      <c r="W963">
        <f t="shared" si="228"/>
        <v>50.263338977999993</v>
      </c>
      <c r="X963">
        <f t="shared" si="229"/>
        <v>3.3502633388820002</v>
      </c>
      <c r="Y963">
        <f t="shared" si="230"/>
        <v>46.913075639117991</v>
      </c>
      <c r="Z963">
        <f t="shared" si="231"/>
        <v>30309.313008468573</v>
      </c>
      <c r="AB963">
        <f t="shared" si="232"/>
        <v>990.51782400000002</v>
      </c>
      <c r="AC963">
        <f t="shared" si="233"/>
        <v>3742.5725462015998</v>
      </c>
      <c r="AD963">
        <f t="shared" si="234"/>
        <v>114.00860154239999</v>
      </c>
      <c r="AE963">
        <f t="shared" si="235"/>
        <v>7.5991536939455999</v>
      </c>
      <c r="AF963">
        <f t="shared" si="236"/>
        <v>106.40944784845439</v>
      </c>
      <c r="AG963">
        <f t="shared" si="242"/>
        <v>37532.134926291408</v>
      </c>
      <c r="AH963" t="b">
        <f t="shared" si="237"/>
        <v>1</v>
      </c>
    </row>
    <row r="964" spans="4:34" hidden="1" x14ac:dyDescent="0.4">
      <c r="D964" t="s">
        <v>54</v>
      </c>
      <c r="E964" t="s">
        <v>37</v>
      </c>
      <c r="F964" s="9">
        <v>45795.083333333336</v>
      </c>
      <c r="G964">
        <v>167.33</v>
      </c>
      <c r="H964" s="9">
        <v>45797.083333333336</v>
      </c>
      <c r="I964">
        <v>167.16</v>
      </c>
      <c r="J964" s="12">
        <v>28.448</v>
      </c>
      <c r="K964" s="12">
        <v>4760.25</v>
      </c>
      <c r="L964">
        <v>7.14</v>
      </c>
      <c r="M964">
        <v>-11.97</v>
      </c>
      <c r="N964" s="13">
        <v>-2.5000000000000001E-3</v>
      </c>
      <c r="O964" t="s">
        <v>38</v>
      </c>
      <c r="Q964">
        <f t="shared" si="238"/>
        <v>-4.8361600000004525</v>
      </c>
      <c r="R964">
        <f t="shared" si="239"/>
        <v>-11.976160000000451</v>
      </c>
      <c r="S964">
        <f t="shared" si="240"/>
        <v>4755.3676800000003</v>
      </c>
      <c r="U964">
        <f t="shared" si="227"/>
        <v>9.860754</v>
      </c>
      <c r="V964">
        <f t="shared" si="241"/>
        <v>1649.9999668200001</v>
      </c>
      <c r="W964">
        <f t="shared" si="228"/>
        <v>-1.676328180000157</v>
      </c>
      <c r="X964">
        <f t="shared" si="229"/>
        <v>3.2983236054600003</v>
      </c>
      <c r="Y964">
        <f t="shared" si="230"/>
        <v>-4.9746517854601571</v>
      </c>
      <c r="Z964">
        <f t="shared" si="231"/>
        <v>30262.399932829456</v>
      </c>
      <c r="AB964">
        <f t="shared" si="232"/>
        <v>22.373162000000001</v>
      </c>
      <c r="AC964">
        <f t="shared" si="233"/>
        <v>3743.7011974600005</v>
      </c>
      <c r="AD964">
        <f t="shared" si="234"/>
        <v>-3.8034375400003562</v>
      </c>
      <c r="AE964">
        <f t="shared" si="235"/>
        <v>7.4835989573800008</v>
      </c>
      <c r="AF964">
        <f t="shared" si="236"/>
        <v>-11.287036497380356</v>
      </c>
      <c r="AG964">
        <f t="shared" si="242"/>
        <v>37425.725478442953</v>
      </c>
      <c r="AH964" t="b">
        <f t="shared" si="237"/>
        <v>1</v>
      </c>
    </row>
    <row r="965" spans="4:34" hidden="1" x14ac:dyDescent="0.4">
      <c r="D965" t="s">
        <v>59</v>
      </c>
      <c r="E965" t="s">
        <v>37</v>
      </c>
      <c r="F965" s="9">
        <v>45792.708333333336</v>
      </c>
      <c r="G965" s="12">
        <v>103280.95</v>
      </c>
      <c r="H965" s="9">
        <v>45795.208333333336</v>
      </c>
      <c r="I965" s="12">
        <v>103320</v>
      </c>
      <c r="J965">
        <v>0.10013</v>
      </c>
      <c r="K965" s="12">
        <v>10342.120000000001</v>
      </c>
      <c r="L965">
        <v>15.52</v>
      </c>
      <c r="M965">
        <v>-11.61</v>
      </c>
      <c r="N965" s="13">
        <v>-1.1000000000000001E-3</v>
      </c>
      <c r="O965" t="s">
        <v>57</v>
      </c>
      <c r="Q965">
        <f t="shared" si="238"/>
        <v>3.9100765000002915</v>
      </c>
      <c r="R965">
        <f t="shared" si="239"/>
        <v>-11.609923499999708</v>
      </c>
      <c r="S965">
        <f t="shared" si="240"/>
        <v>10345.4316</v>
      </c>
      <c r="U965">
        <f t="shared" si="227"/>
        <v>1.5976000000000001E-2</v>
      </c>
      <c r="V965">
        <f t="shared" si="241"/>
        <v>1650.0164572000001</v>
      </c>
      <c r="W965">
        <f t="shared" si="228"/>
        <v>0.62386280000004657</v>
      </c>
      <c r="X965">
        <f t="shared" si="229"/>
        <v>3.3006567772000004</v>
      </c>
      <c r="Y965">
        <f t="shared" si="230"/>
        <v>-2.6767939771999538</v>
      </c>
      <c r="Z965">
        <f t="shared" si="231"/>
        <v>30267.374584614918</v>
      </c>
      <c r="AB965">
        <f t="shared" si="232"/>
        <v>3.6254000000000002E-2</v>
      </c>
      <c r="AC965">
        <f t="shared" si="233"/>
        <v>3744.3475613000001</v>
      </c>
      <c r="AD965">
        <f t="shared" si="234"/>
        <v>1.4157187000001055</v>
      </c>
      <c r="AE965">
        <f t="shared" si="235"/>
        <v>7.4901108413000008</v>
      </c>
      <c r="AF965">
        <f t="shared" si="236"/>
        <v>-6.0743921412998958</v>
      </c>
      <c r="AG965">
        <f t="shared" si="242"/>
        <v>37437.012514940332</v>
      </c>
      <c r="AH965" t="b">
        <f t="shared" si="237"/>
        <v>1</v>
      </c>
    </row>
    <row r="966" spans="4:34" hidden="1" x14ac:dyDescent="0.4">
      <c r="D966" t="s">
        <v>43</v>
      </c>
      <c r="E966" t="s">
        <v>37</v>
      </c>
      <c r="F966" s="9">
        <v>45793.083333333336</v>
      </c>
      <c r="G966">
        <v>3.8668999999999998</v>
      </c>
      <c r="H966" s="9">
        <v>45795.083333333336</v>
      </c>
      <c r="I966">
        <v>3.7797000000000001</v>
      </c>
      <c r="J966">
        <v>477.4</v>
      </c>
      <c r="K966" s="12">
        <v>1846.16</v>
      </c>
      <c r="L966">
        <v>2.74</v>
      </c>
      <c r="M966">
        <v>-44.37</v>
      </c>
      <c r="N966" s="13">
        <v>-2.4E-2</v>
      </c>
      <c r="O966" t="s">
        <v>38</v>
      </c>
      <c r="Q966">
        <f t="shared" si="238"/>
        <v>-41.629279999999866</v>
      </c>
      <c r="R966">
        <f t="shared" si="239"/>
        <v>-44.369279999999868</v>
      </c>
      <c r="S966">
        <f t="shared" si="240"/>
        <v>1804.42878</v>
      </c>
      <c r="U966">
        <f t="shared" si="227"/>
        <v>426.69838900000002</v>
      </c>
      <c r="V966">
        <f t="shared" si="241"/>
        <v>1650.0000004240999</v>
      </c>
      <c r="W966">
        <f t="shared" si="228"/>
        <v>-37.208099520799884</v>
      </c>
      <c r="X966">
        <f t="shared" si="229"/>
        <v>3.2627919013274003</v>
      </c>
      <c r="Y966">
        <f t="shared" si="230"/>
        <v>-40.470891422127281</v>
      </c>
      <c r="Z966">
        <f t="shared" si="231"/>
        <v>30270.051378592118</v>
      </c>
      <c r="AB966">
        <f t="shared" si="232"/>
        <v>970.67812500000002</v>
      </c>
      <c r="AC966">
        <f t="shared" si="233"/>
        <v>3753.5152415624998</v>
      </c>
      <c r="AD966">
        <f t="shared" si="234"/>
        <v>-84.643132499999737</v>
      </c>
      <c r="AE966">
        <f t="shared" si="235"/>
        <v>7.4223873506249998</v>
      </c>
      <c r="AF966">
        <f t="shared" si="236"/>
        <v>-92.065519850624739</v>
      </c>
      <c r="AG966">
        <f t="shared" si="242"/>
        <v>37443.086907081633</v>
      </c>
      <c r="AH966" t="b">
        <f t="shared" si="237"/>
        <v>1</v>
      </c>
    </row>
    <row r="967" spans="4:34" hidden="1" x14ac:dyDescent="0.4">
      <c r="D967" t="s">
        <v>56</v>
      </c>
      <c r="E967" t="s">
        <v>37</v>
      </c>
      <c r="F967" s="9">
        <v>45793.458333333336</v>
      </c>
      <c r="G967" s="12">
        <v>2612.38</v>
      </c>
      <c r="H967" s="9">
        <v>45794</v>
      </c>
      <c r="I967" s="12">
        <v>2542.5100000000002</v>
      </c>
      <c r="J967">
        <v>2.0448</v>
      </c>
      <c r="K967" s="12">
        <v>5341.96</v>
      </c>
      <c r="L967">
        <v>7.91</v>
      </c>
      <c r="M967">
        <v>-150.77000000000001</v>
      </c>
      <c r="N967" s="13">
        <v>-2.8199999999999999E-2</v>
      </c>
      <c r="O967" t="s">
        <v>49</v>
      </c>
      <c r="Q967">
        <f t="shared" si="238"/>
        <v>-142.87017599999979</v>
      </c>
      <c r="R967">
        <f t="shared" si="239"/>
        <v>-150.78017599999978</v>
      </c>
      <c r="S967">
        <f t="shared" si="240"/>
        <v>5198.9244480000007</v>
      </c>
      <c r="U967">
        <f t="shared" si="227"/>
        <v>0.63160799999999995</v>
      </c>
      <c r="V967">
        <f t="shared" si="241"/>
        <v>1650.0001070399999</v>
      </c>
      <c r="W967">
        <f t="shared" si="228"/>
        <v>-44.130450959999926</v>
      </c>
      <c r="X967">
        <f t="shared" si="229"/>
        <v>3.2558697631200002</v>
      </c>
      <c r="Y967">
        <f t="shared" si="230"/>
        <v>-47.38632072311993</v>
      </c>
      <c r="Z967">
        <f t="shared" si="231"/>
        <v>30310.522270014244</v>
      </c>
      <c r="AB967">
        <f t="shared" si="232"/>
        <v>1.440957</v>
      </c>
      <c r="AC967">
        <f t="shared" si="233"/>
        <v>3764.3272476600005</v>
      </c>
      <c r="AD967">
        <f t="shared" si="234"/>
        <v>-100.67966558999984</v>
      </c>
      <c r="AE967">
        <f t="shared" si="235"/>
        <v>7.4279748297300019</v>
      </c>
      <c r="AF967">
        <f t="shared" si="236"/>
        <v>-108.10764041972985</v>
      </c>
      <c r="AG967">
        <f t="shared" si="242"/>
        <v>37535.152426932262</v>
      </c>
      <c r="AH967" t="b">
        <f t="shared" si="237"/>
        <v>1</v>
      </c>
    </row>
    <row r="968" spans="4:34" hidden="1" x14ac:dyDescent="0.4">
      <c r="D968" t="s">
        <v>54</v>
      </c>
      <c r="E968" t="s">
        <v>37</v>
      </c>
      <c r="F968" s="9">
        <v>45791.541666666664</v>
      </c>
      <c r="G968">
        <v>181.04</v>
      </c>
      <c r="H968" s="9">
        <v>45793.541666666664</v>
      </c>
      <c r="I968">
        <v>172.9</v>
      </c>
      <c r="J968">
        <v>26.416</v>
      </c>
      <c r="K968" s="12">
        <v>4782.45</v>
      </c>
      <c r="L968">
        <v>7.01</v>
      </c>
      <c r="M968">
        <v>-222.04</v>
      </c>
      <c r="N968" s="13">
        <v>-4.6399999999999997E-2</v>
      </c>
      <c r="O968" t="s">
        <v>38</v>
      </c>
      <c r="Q968">
        <f t="shared" si="238"/>
        <v>-215.02623999999963</v>
      </c>
      <c r="R968">
        <f t="shared" si="239"/>
        <v>-222.03623999999962</v>
      </c>
      <c r="S968">
        <f t="shared" si="240"/>
        <v>4567.3263999999999</v>
      </c>
      <c r="U968">
        <f t="shared" si="227"/>
        <v>9.1140080000000001</v>
      </c>
      <c r="V968">
        <f t="shared" si="241"/>
        <v>1650.00000832</v>
      </c>
      <c r="W968">
        <f t="shared" si="228"/>
        <v>-74.188025119999878</v>
      </c>
      <c r="X968">
        <f t="shared" si="229"/>
        <v>3.2258119915200005</v>
      </c>
      <c r="Y968">
        <f t="shared" si="230"/>
        <v>-77.413837111519882</v>
      </c>
      <c r="Z968">
        <f t="shared" si="231"/>
        <v>30357.908590737363</v>
      </c>
      <c r="AB968">
        <f t="shared" si="232"/>
        <v>20.890801</v>
      </c>
      <c r="AC968">
        <f t="shared" si="233"/>
        <v>3782.0706130399999</v>
      </c>
      <c r="AD968">
        <f t="shared" si="234"/>
        <v>-170.05112013999971</v>
      </c>
      <c r="AE968">
        <f t="shared" si="235"/>
        <v>7.3940901059400002</v>
      </c>
      <c r="AF968">
        <f t="shared" si="236"/>
        <v>-177.44521024593971</v>
      </c>
      <c r="AG968">
        <f t="shared" si="242"/>
        <v>37643.260067351992</v>
      </c>
      <c r="AH968" t="b">
        <f t="shared" si="237"/>
        <v>1</v>
      </c>
    </row>
    <row r="969" spans="4:34" hidden="1" x14ac:dyDescent="0.4">
      <c r="D969" t="s">
        <v>58</v>
      </c>
      <c r="E969" t="s">
        <v>37</v>
      </c>
      <c r="F969" s="9">
        <v>45791.25</v>
      </c>
      <c r="G969">
        <v>17.350000000000001</v>
      </c>
      <c r="H969" s="9">
        <v>45793.25</v>
      </c>
      <c r="I969">
        <v>16.239999999999998</v>
      </c>
      <c r="J969">
        <v>414.66</v>
      </c>
      <c r="K969" s="12">
        <v>7194.41</v>
      </c>
      <c r="L969">
        <v>10.45</v>
      </c>
      <c r="M969">
        <v>-470.72</v>
      </c>
      <c r="N969" s="13">
        <v>-6.54E-2</v>
      </c>
      <c r="O969" t="s">
        <v>38</v>
      </c>
      <c r="Q969">
        <f t="shared" si="238"/>
        <v>-460.27260000000126</v>
      </c>
      <c r="R969">
        <f t="shared" si="239"/>
        <v>-470.72260000000125</v>
      </c>
      <c r="S969">
        <f t="shared" si="240"/>
        <v>6734.0783999999994</v>
      </c>
      <c r="U969">
        <f t="shared" si="227"/>
        <v>95.100864999999999</v>
      </c>
      <c r="V969">
        <f t="shared" si="241"/>
        <v>1650.0000077500001</v>
      </c>
      <c r="W969">
        <f t="shared" si="228"/>
        <v>-105.56196015000029</v>
      </c>
      <c r="X969">
        <f t="shared" si="229"/>
        <v>3.19443805535</v>
      </c>
      <c r="Y969">
        <f t="shared" si="230"/>
        <v>-108.75639820535029</v>
      </c>
      <c r="Z969">
        <f t="shared" si="231"/>
        <v>30435.322427848881</v>
      </c>
      <c r="AB969">
        <f t="shared" si="232"/>
        <v>219.43312299999999</v>
      </c>
      <c r="AC969">
        <f t="shared" si="233"/>
        <v>3807.1646840500002</v>
      </c>
      <c r="AD969">
        <f t="shared" si="234"/>
        <v>-243.57076653000064</v>
      </c>
      <c r="AE969">
        <f t="shared" si="235"/>
        <v>7.3707586015700004</v>
      </c>
      <c r="AF969">
        <f t="shared" si="236"/>
        <v>-250.94152513157064</v>
      </c>
      <c r="AG969">
        <f t="shared" si="242"/>
        <v>37820.705277597932</v>
      </c>
      <c r="AH969" t="b">
        <f t="shared" si="237"/>
        <v>1</v>
      </c>
    </row>
    <row r="970" spans="4:34" hidden="1" x14ac:dyDescent="0.4">
      <c r="D970" t="s">
        <v>43</v>
      </c>
      <c r="E970" t="s">
        <v>37</v>
      </c>
      <c r="F970" s="9">
        <v>45790.708333333336</v>
      </c>
      <c r="G970">
        <v>4.0048000000000004</v>
      </c>
      <c r="H970" s="9">
        <v>45792.708333333336</v>
      </c>
      <c r="I970">
        <v>3.7907999999999999</v>
      </c>
      <c r="J970">
        <v>463.5</v>
      </c>
      <c r="K970" s="12">
        <v>1856.35</v>
      </c>
      <c r="L970">
        <v>2.71</v>
      </c>
      <c r="M970">
        <v>-101.9</v>
      </c>
      <c r="N970" s="13">
        <v>-5.4899999999999997E-2</v>
      </c>
      <c r="O970" t="s">
        <v>38</v>
      </c>
      <c r="Q970">
        <f t="shared" si="238"/>
        <v>-99.189000000000192</v>
      </c>
      <c r="R970">
        <f t="shared" si="239"/>
        <v>-101.89900000000019</v>
      </c>
      <c r="S970">
        <f t="shared" si="240"/>
        <v>1757.0357999999999</v>
      </c>
      <c r="U970">
        <f t="shared" si="227"/>
        <v>412.00559299999998</v>
      </c>
      <c r="V970">
        <f t="shared" si="241"/>
        <v>1649.9999988464001</v>
      </c>
      <c r="W970">
        <f t="shared" si="228"/>
        <v>-88.169196902000166</v>
      </c>
      <c r="X970">
        <f t="shared" si="229"/>
        <v>3.2118308007907999</v>
      </c>
      <c r="Y970">
        <f t="shared" si="230"/>
        <v>-91.381027702790959</v>
      </c>
      <c r="Z970">
        <f t="shared" si="231"/>
        <v>30544.078826054232</v>
      </c>
      <c r="AB970">
        <f t="shared" si="232"/>
        <v>955.94464400000004</v>
      </c>
      <c r="AC970">
        <f t="shared" si="233"/>
        <v>3828.3671102912003</v>
      </c>
      <c r="AD970">
        <f t="shared" si="234"/>
        <v>-204.57215381600039</v>
      </c>
      <c r="AE970">
        <f t="shared" si="235"/>
        <v>7.4521620667664008</v>
      </c>
      <c r="AF970">
        <f t="shared" si="236"/>
        <v>-212.02431588276679</v>
      </c>
      <c r="AG970">
        <f t="shared" si="242"/>
        <v>38071.646802729505</v>
      </c>
      <c r="AH970" t="b">
        <f t="shared" si="237"/>
        <v>1</v>
      </c>
    </row>
    <row r="971" spans="4:34" hidden="1" x14ac:dyDescent="0.4">
      <c r="D971" t="s">
        <v>52</v>
      </c>
      <c r="E971" t="s">
        <v>37</v>
      </c>
      <c r="F971" s="9">
        <v>45790.708333333336</v>
      </c>
      <c r="G971">
        <v>5.681</v>
      </c>
      <c r="H971" s="9">
        <v>45792.708333333336</v>
      </c>
      <c r="I971">
        <v>5.5129999999999999</v>
      </c>
      <c r="J971">
        <v>413.93</v>
      </c>
      <c r="K971" s="12">
        <v>2351.54</v>
      </c>
      <c r="L971">
        <v>3.48</v>
      </c>
      <c r="M971">
        <v>-73.02</v>
      </c>
      <c r="N971" s="13">
        <v>-3.1E-2</v>
      </c>
      <c r="O971" t="s">
        <v>38</v>
      </c>
      <c r="Q971">
        <f t="shared" si="238"/>
        <v>-69.540240000000068</v>
      </c>
      <c r="R971">
        <f t="shared" si="239"/>
        <v>-73.020240000000072</v>
      </c>
      <c r="S971">
        <f t="shared" si="240"/>
        <v>2281.9960900000001</v>
      </c>
      <c r="U971">
        <f t="shared" si="227"/>
        <v>290.441824</v>
      </c>
      <c r="V971">
        <f t="shared" si="241"/>
        <v>1650.0000021440001</v>
      </c>
      <c r="W971">
        <f t="shared" si="228"/>
        <v>-48.794226432000045</v>
      </c>
      <c r="X971">
        <f t="shared" si="229"/>
        <v>3.2512057778559997</v>
      </c>
      <c r="Y971">
        <f t="shared" si="230"/>
        <v>-52.045432209856045</v>
      </c>
      <c r="Z971">
        <f t="shared" si="231"/>
        <v>30635.459853757024</v>
      </c>
      <c r="AB971">
        <f t="shared" si="232"/>
        <v>676.02200700000003</v>
      </c>
      <c r="AC971">
        <f t="shared" si="233"/>
        <v>3840.4810217670001</v>
      </c>
      <c r="AD971">
        <f t="shared" si="234"/>
        <v>-113.5716971760001</v>
      </c>
      <c r="AE971">
        <f t="shared" si="235"/>
        <v>7.5673903463579997</v>
      </c>
      <c r="AF971">
        <f t="shared" si="236"/>
        <v>-121.1390875223581</v>
      </c>
      <c r="AG971">
        <f t="shared" si="242"/>
        <v>38283.67111861227</v>
      </c>
      <c r="AH971" t="b">
        <f t="shared" si="237"/>
        <v>1</v>
      </c>
    </row>
    <row r="972" spans="4:34" hidden="1" x14ac:dyDescent="0.4">
      <c r="D972" t="s">
        <v>55</v>
      </c>
      <c r="E972" t="s">
        <v>37</v>
      </c>
      <c r="F972" s="9">
        <v>45790.708333333336</v>
      </c>
      <c r="G972" s="12">
        <v>6.7559999999999997E-5</v>
      </c>
      <c r="H972" s="9">
        <v>45792.708333333336</v>
      </c>
      <c r="I972" s="12">
        <v>6.5270000000000004E-5</v>
      </c>
      <c r="J972" s="12">
        <v>88866732.790000007</v>
      </c>
      <c r="K972" s="12">
        <v>6003.84</v>
      </c>
      <c r="L972">
        <v>8.85</v>
      </c>
      <c r="M972">
        <v>-212.36</v>
      </c>
      <c r="N972" s="13">
        <v>-3.5400000000000001E-2</v>
      </c>
      <c r="O972" t="s">
        <v>38</v>
      </c>
      <c r="Q972">
        <f t="shared" si="238"/>
        <v>-203.50481808909942</v>
      </c>
      <c r="R972">
        <f t="shared" si="239"/>
        <v>-212.35481808909941</v>
      </c>
      <c r="S972">
        <f t="shared" si="240"/>
        <v>5800.3316492033009</v>
      </c>
      <c r="U972">
        <f t="shared" si="227"/>
        <v>24422735.346359</v>
      </c>
      <c r="V972">
        <f t="shared" si="241"/>
        <v>1650.0000000000139</v>
      </c>
      <c r="W972">
        <f t="shared" si="228"/>
        <v>-55.928063943161945</v>
      </c>
      <c r="X972">
        <f t="shared" si="229"/>
        <v>3.2440719360568662</v>
      </c>
      <c r="Y972">
        <f t="shared" si="230"/>
        <v>-59.172135879218814</v>
      </c>
      <c r="Z972">
        <f t="shared" si="231"/>
        <v>30687.505285966879</v>
      </c>
      <c r="AB972">
        <f t="shared" si="232"/>
        <v>57050078.222549997</v>
      </c>
      <c r="AC972">
        <f t="shared" si="233"/>
        <v>3854.3032847154777</v>
      </c>
      <c r="AD972">
        <f t="shared" si="234"/>
        <v>-130.64467912963912</v>
      </c>
      <c r="AE972">
        <f t="shared" si="235"/>
        <v>7.5779618903013164</v>
      </c>
      <c r="AF972">
        <f t="shared" si="236"/>
        <v>-138.22264101994043</v>
      </c>
      <c r="AG972">
        <f t="shared" si="242"/>
        <v>38404.810206134629</v>
      </c>
      <c r="AH972" t="b">
        <f t="shared" si="237"/>
        <v>1</v>
      </c>
    </row>
    <row r="973" spans="4:34" hidden="1" x14ac:dyDescent="0.4">
      <c r="D973" t="s">
        <v>53</v>
      </c>
      <c r="E973" t="s">
        <v>37</v>
      </c>
      <c r="F973" s="9">
        <v>45790.708333333336</v>
      </c>
      <c r="G973" s="12">
        <v>655.64</v>
      </c>
      <c r="H973" s="9">
        <v>45792.708333333336</v>
      </c>
      <c r="I973" s="12">
        <v>655.61</v>
      </c>
      <c r="J973">
        <v>14.101000000000001</v>
      </c>
      <c r="K973" s="12">
        <v>9245.35</v>
      </c>
      <c r="L973">
        <v>13.87</v>
      </c>
      <c r="M973">
        <v>-14.29</v>
      </c>
      <c r="N973" s="13">
        <v>-1.5E-3</v>
      </c>
      <c r="O973" t="s">
        <v>38</v>
      </c>
      <c r="Q973">
        <f t="shared" si="238"/>
        <v>-0.42302999999961527</v>
      </c>
      <c r="R973">
        <f t="shared" si="239"/>
        <v>-14.293029999999614</v>
      </c>
      <c r="S973">
        <f t="shared" si="240"/>
        <v>9244.7566100000004</v>
      </c>
      <c r="U973">
        <f t="shared" ref="U973:U1036" si="243">ROUND(($Q$2)/G973,6)</f>
        <v>2.5166249999999999</v>
      </c>
      <c r="V973">
        <f t="shared" si="241"/>
        <v>1650.0000149999998</v>
      </c>
      <c r="W973">
        <f t="shared" ref="W973:W1036" si="244">U973*(I973-G973)</f>
        <v>-7.5498749999931336E-2</v>
      </c>
      <c r="X973">
        <f t="shared" ref="X973:X1036" si="245">(G973+I973)*$R$2*U973</f>
        <v>3.2999245312499998</v>
      </c>
      <c r="Y973">
        <f t="shared" ref="Y973:Y1036" si="246">W973-X973</f>
        <v>-3.3754232812499314</v>
      </c>
      <c r="Z973">
        <f t="shared" ref="Z973:Z1036" si="247">Z974+Y973</f>
        <v>30746.6774218461</v>
      </c>
      <c r="AB973">
        <f t="shared" ref="AB973:AB1036" si="248">ROUND(((AH973*AG974 +(1-AH973)*AI973)/$P$2)/G973,6)</f>
        <v>5.8798909999999998</v>
      </c>
      <c r="AC973">
        <f t="shared" ref="AC973:AC1036" si="249">AB973*G973</f>
        <v>3855.0917352399997</v>
      </c>
      <c r="AD973">
        <f t="shared" ref="AD973:AD1036" si="250">AB973*(I973-G973)</f>
        <v>-0.17639672999983957</v>
      </c>
      <c r="AE973">
        <f t="shared" ref="AE973:AE1036" si="251">(G973+I973)*$R$2*AB973</f>
        <v>7.7100070737499999</v>
      </c>
      <c r="AF973">
        <f t="shared" ref="AF973:AF1036" si="252">AD973-AE973</f>
        <v>-7.8864038037498396</v>
      </c>
      <c r="AG973">
        <f t="shared" si="242"/>
        <v>38543.032847154573</v>
      </c>
      <c r="AH973" t="b">
        <f t="shared" ref="AH973:AH1036" si="253">ISBLANK(AI973)</f>
        <v>1</v>
      </c>
    </row>
    <row r="974" spans="4:34" hidden="1" x14ac:dyDescent="0.4">
      <c r="D974" t="s">
        <v>56</v>
      </c>
      <c r="E974" t="s">
        <v>37</v>
      </c>
      <c r="F974" s="9">
        <v>45791.541666666664</v>
      </c>
      <c r="G974" s="12">
        <v>2625.12</v>
      </c>
      <c r="H974" s="9">
        <v>45791.791666666664</v>
      </c>
      <c r="I974" s="12">
        <v>2550.81</v>
      </c>
      <c r="J974" s="12">
        <v>2.0409999999999999</v>
      </c>
      <c r="K974" s="12">
        <v>5357.91</v>
      </c>
      <c r="L974">
        <v>7.92</v>
      </c>
      <c r="M974">
        <v>-159.58000000000001</v>
      </c>
      <c r="N974" s="13">
        <v>-2.98E-2</v>
      </c>
      <c r="O974" t="s">
        <v>49</v>
      </c>
      <c r="Q974">
        <f t="shared" ref="Q974:Q1037" si="254">(I974-G974)*J974</f>
        <v>-151.66670999999988</v>
      </c>
      <c r="R974">
        <f t="shared" ref="R974:R1037" si="255">Q974-L974</f>
        <v>-159.58670999999987</v>
      </c>
      <c r="S974">
        <f t="shared" ref="S974:S1037" si="256">I974*J974</f>
        <v>5206.2032099999997</v>
      </c>
      <c r="U974">
        <f t="shared" si="243"/>
        <v>0.62854299999999996</v>
      </c>
      <c r="V974">
        <f t="shared" ref="V974:V1037" si="257">U974*G974</f>
        <v>1650.0008001599999</v>
      </c>
      <c r="W974">
        <f t="shared" si="244"/>
        <v>-46.707030329999959</v>
      </c>
      <c r="X974">
        <f t="shared" si="245"/>
        <v>3.25329456999</v>
      </c>
      <c r="Y974">
        <f t="shared" si="246"/>
        <v>-49.960324899989956</v>
      </c>
      <c r="Z974">
        <f t="shared" si="247"/>
        <v>30750.052845127349</v>
      </c>
      <c r="AB974">
        <f t="shared" si="248"/>
        <v>1.4729989999999999</v>
      </c>
      <c r="AC974">
        <f t="shared" si="249"/>
        <v>3866.7991348799997</v>
      </c>
      <c r="AD974">
        <f t="shared" si="250"/>
        <v>-109.45855568999991</v>
      </c>
      <c r="AE974">
        <f t="shared" si="251"/>
        <v>7.62413971407</v>
      </c>
      <c r="AF974">
        <f t="shared" si="252"/>
        <v>-117.08269540406991</v>
      </c>
      <c r="AG974">
        <f t="shared" si="242"/>
        <v>38550.919250958323</v>
      </c>
      <c r="AH974" t="b">
        <f t="shared" si="253"/>
        <v>1</v>
      </c>
    </row>
    <row r="975" spans="4:34" hidden="1" x14ac:dyDescent="0.4">
      <c r="D975" t="s">
        <v>61</v>
      </c>
      <c r="E975" t="s">
        <v>37</v>
      </c>
      <c r="F975" s="9">
        <v>45789.75</v>
      </c>
      <c r="G975">
        <v>0.82920000000000005</v>
      </c>
      <c r="H975" s="9">
        <v>45791.75</v>
      </c>
      <c r="I975">
        <v>0.80300000000000005</v>
      </c>
      <c r="J975" s="12">
        <v>9809.2000000000007</v>
      </c>
      <c r="K975" s="12">
        <v>8133.87</v>
      </c>
      <c r="L975">
        <v>12.01</v>
      </c>
      <c r="M975">
        <v>-269.01</v>
      </c>
      <c r="N975" s="13">
        <v>-3.3099999999999997E-2</v>
      </c>
      <c r="O975" t="s">
        <v>38</v>
      </c>
      <c r="Q975">
        <f t="shared" si="254"/>
        <v>-257.00104000000005</v>
      </c>
      <c r="R975">
        <f t="shared" si="255"/>
        <v>-269.01104000000004</v>
      </c>
      <c r="S975">
        <f t="shared" si="256"/>
        <v>7876.7876000000015</v>
      </c>
      <c r="U975">
        <f t="shared" si="243"/>
        <v>1989.8697540000001</v>
      </c>
      <c r="V975">
        <f t="shared" si="257"/>
        <v>1650.0000000168002</v>
      </c>
      <c r="W975">
        <f t="shared" si="244"/>
        <v>-52.134587554800007</v>
      </c>
      <c r="X975">
        <f t="shared" si="245"/>
        <v>3.2478654124788005</v>
      </c>
      <c r="Y975">
        <f t="shared" si="246"/>
        <v>-55.382452967278809</v>
      </c>
      <c r="Z975">
        <f t="shared" si="247"/>
        <v>30800.013170027338</v>
      </c>
      <c r="AB975">
        <f t="shared" si="248"/>
        <v>4678.9952579999999</v>
      </c>
      <c r="AC975">
        <f t="shared" si="249"/>
        <v>3879.8228679336003</v>
      </c>
      <c r="AD975">
        <f t="shared" si="250"/>
        <v>-122.5896757596</v>
      </c>
      <c r="AE975">
        <f t="shared" si="251"/>
        <v>7.6370560601076001</v>
      </c>
      <c r="AF975">
        <f t="shared" si="252"/>
        <v>-130.2267318197076</v>
      </c>
      <c r="AG975">
        <f t="shared" si="242"/>
        <v>38668.00194636239</v>
      </c>
      <c r="AH975" t="b">
        <f t="shared" si="253"/>
        <v>1</v>
      </c>
    </row>
    <row r="976" spans="4:34" hidden="1" x14ac:dyDescent="0.4">
      <c r="D976" t="s">
        <v>60</v>
      </c>
      <c r="E976" t="s">
        <v>37</v>
      </c>
      <c r="F976" s="9">
        <v>45789.083333333336</v>
      </c>
      <c r="G976" s="12">
        <v>2.3963000000000001</v>
      </c>
      <c r="H976" s="9">
        <v>45791.583333333336</v>
      </c>
      <c r="I976" s="12">
        <v>2.593</v>
      </c>
      <c r="J976">
        <v>914.5</v>
      </c>
      <c r="K976" s="12">
        <v>2191.63</v>
      </c>
      <c r="L976">
        <v>3.42</v>
      </c>
      <c r="M976">
        <v>176.46</v>
      </c>
      <c r="N976" s="13">
        <v>8.0500000000000002E-2</v>
      </c>
      <c r="O976" t="s">
        <v>57</v>
      </c>
      <c r="Q976">
        <f t="shared" si="254"/>
        <v>179.88214999999988</v>
      </c>
      <c r="R976">
        <f t="shared" si="255"/>
        <v>176.46214999999989</v>
      </c>
      <c r="S976">
        <f t="shared" si="256"/>
        <v>2371.2984999999999</v>
      </c>
      <c r="U976">
        <f t="shared" si="243"/>
        <v>688.56153200000006</v>
      </c>
      <c r="V976">
        <f t="shared" si="257"/>
        <v>1649.9999991316001</v>
      </c>
      <c r="W976">
        <f t="shared" si="244"/>
        <v>135.44005334439993</v>
      </c>
      <c r="X976">
        <f t="shared" si="245"/>
        <v>3.4354400516076007</v>
      </c>
      <c r="Y976">
        <f t="shared" si="246"/>
        <v>132.00461329279233</v>
      </c>
      <c r="Z976">
        <f t="shared" si="247"/>
        <v>30855.395622994616</v>
      </c>
      <c r="AB976">
        <f t="shared" si="248"/>
        <v>1606.238599</v>
      </c>
      <c r="AC976">
        <f t="shared" si="249"/>
        <v>3849.0295547837004</v>
      </c>
      <c r="AD976">
        <f t="shared" si="250"/>
        <v>315.94713242329982</v>
      </c>
      <c r="AE976">
        <f t="shared" si="251"/>
        <v>8.0140062419907014</v>
      </c>
      <c r="AF976">
        <f t="shared" si="252"/>
        <v>307.93312618130909</v>
      </c>
      <c r="AG976">
        <f t="shared" si="242"/>
        <v>38798.228678182095</v>
      </c>
      <c r="AH976" t="b">
        <f t="shared" si="253"/>
        <v>1</v>
      </c>
    </row>
    <row r="977" spans="4:34" hidden="1" x14ac:dyDescent="0.4">
      <c r="D977" t="s">
        <v>56</v>
      </c>
      <c r="E977" t="s">
        <v>37</v>
      </c>
      <c r="F977" s="9">
        <v>45791.083333333336</v>
      </c>
      <c r="G977" s="12">
        <v>2696.11</v>
      </c>
      <c r="H977" s="9">
        <v>45791.416666666664</v>
      </c>
      <c r="I977" s="12">
        <v>2620.38</v>
      </c>
      <c r="J977">
        <v>1.9931000000000001</v>
      </c>
      <c r="K977" s="12">
        <v>5373.8</v>
      </c>
      <c r="L977">
        <v>7.95</v>
      </c>
      <c r="M977">
        <v>-158.88999999999999</v>
      </c>
      <c r="N977" s="13">
        <v>-2.9600000000000001E-2</v>
      </c>
      <c r="O977" t="s">
        <v>49</v>
      </c>
      <c r="Q977">
        <f t="shared" si="254"/>
        <v>-150.93746300000004</v>
      </c>
      <c r="R977">
        <f t="shared" si="255"/>
        <v>-158.88746300000003</v>
      </c>
      <c r="S977">
        <f t="shared" si="256"/>
        <v>5222.6793780000007</v>
      </c>
      <c r="U977">
        <f t="shared" si="243"/>
        <v>0.61199300000000001</v>
      </c>
      <c r="V977">
        <f t="shared" si="257"/>
        <v>1650.0004472300002</v>
      </c>
      <c r="W977">
        <f t="shared" si="244"/>
        <v>-46.346229890000011</v>
      </c>
      <c r="X977">
        <f t="shared" si="245"/>
        <v>3.25365466457</v>
      </c>
      <c r="Y977">
        <f t="shared" si="246"/>
        <v>-49.599884554570011</v>
      </c>
      <c r="Z977">
        <f t="shared" si="247"/>
        <v>30723.391009701823</v>
      </c>
      <c r="AB977">
        <f t="shared" si="248"/>
        <v>1.4319280000000001</v>
      </c>
      <c r="AC977">
        <f t="shared" si="249"/>
        <v>3860.6354000800006</v>
      </c>
      <c r="AD977">
        <f t="shared" si="250"/>
        <v>-108.43990744000003</v>
      </c>
      <c r="AE977">
        <f t="shared" si="251"/>
        <v>7.6128308927200008</v>
      </c>
      <c r="AF977">
        <f t="shared" si="252"/>
        <v>-116.05273833272003</v>
      </c>
      <c r="AG977">
        <f t="shared" si="242"/>
        <v>38490.295552000789</v>
      </c>
      <c r="AH977" t="b">
        <f t="shared" si="253"/>
        <v>1</v>
      </c>
    </row>
    <row r="978" spans="4:34" hidden="1" x14ac:dyDescent="0.4">
      <c r="D978" t="s">
        <v>54</v>
      </c>
      <c r="E978" t="s">
        <v>37</v>
      </c>
      <c r="F978" s="9">
        <v>45789.333333333336</v>
      </c>
      <c r="G978">
        <v>175.74</v>
      </c>
      <c r="H978" s="9">
        <v>45791.333333333336</v>
      </c>
      <c r="I978">
        <v>183.7</v>
      </c>
      <c r="J978" s="12">
        <v>27.094000000000001</v>
      </c>
      <c r="K978" s="12">
        <v>4761.62</v>
      </c>
      <c r="L978">
        <v>7.3</v>
      </c>
      <c r="M978">
        <v>208.36</v>
      </c>
      <c r="N978" s="13">
        <v>4.3799999999999999E-2</v>
      </c>
      <c r="O978" t="s">
        <v>38</v>
      </c>
      <c r="Q978">
        <f t="shared" si="254"/>
        <v>215.66823999999946</v>
      </c>
      <c r="R978">
        <f t="shared" si="255"/>
        <v>208.36823999999945</v>
      </c>
      <c r="S978">
        <f t="shared" si="256"/>
        <v>4977.1678000000002</v>
      </c>
      <c r="U978">
        <f t="shared" si="243"/>
        <v>9.3888700000000007</v>
      </c>
      <c r="V978">
        <f t="shared" si="257"/>
        <v>1650.0000138000003</v>
      </c>
      <c r="W978">
        <f t="shared" si="244"/>
        <v>74.735405199999818</v>
      </c>
      <c r="X978">
        <f t="shared" si="245"/>
        <v>3.3747354328000001</v>
      </c>
      <c r="Y978">
        <f t="shared" si="246"/>
        <v>71.360669767199823</v>
      </c>
      <c r="Z978">
        <f t="shared" si="247"/>
        <v>30772.990894256392</v>
      </c>
      <c r="AB978">
        <f t="shared" si="248"/>
        <v>21.873277999999999</v>
      </c>
      <c r="AC978">
        <f t="shared" si="249"/>
        <v>3844.0098757199999</v>
      </c>
      <c r="AD978">
        <f t="shared" si="250"/>
        <v>174.11129287999955</v>
      </c>
      <c r="AE978">
        <f t="shared" si="251"/>
        <v>7.862131044319999</v>
      </c>
      <c r="AF978">
        <f t="shared" si="252"/>
        <v>166.24916183567956</v>
      </c>
      <c r="AG978">
        <f t="shared" si="242"/>
        <v>38606.34829033351</v>
      </c>
      <c r="AH978" t="b">
        <f t="shared" si="253"/>
        <v>1</v>
      </c>
    </row>
    <row r="979" spans="4:34" hidden="1" x14ac:dyDescent="0.4">
      <c r="D979" t="s">
        <v>59</v>
      </c>
      <c r="E979" t="s">
        <v>37</v>
      </c>
      <c r="F979" s="9">
        <v>45788.833333333336</v>
      </c>
      <c r="G979" s="12">
        <v>104560.02</v>
      </c>
      <c r="H979" s="9">
        <v>45791.333333333336</v>
      </c>
      <c r="I979" s="12">
        <v>103762.01</v>
      </c>
      <c r="J979">
        <v>9.9000000000000005E-2</v>
      </c>
      <c r="K979" s="12">
        <v>10351.57</v>
      </c>
      <c r="L979">
        <v>15.47</v>
      </c>
      <c r="M979">
        <v>-94.47</v>
      </c>
      <c r="N979" s="13">
        <v>-9.1000000000000004E-3</v>
      </c>
      <c r="O979" t="s">
        <v>57</v>
      </c>
      <c r="Q979">
        <f t="shared" si="254"/>
        <v>-79.002990000000921</v>
      </c>
      <c r="R979">
        <f t="shared" si="255"/>
        <v>-94.47299000000092</v>
      </c>
      <c r="S979">
        <f t="shared" si="256"/>
        <v>10272.438990000001</v>
      </c>
      <c r="U979">
        <f t="shared" si="243"/>
        <v>1.5779999999999999E-2</v>
      </c>
      <c r="V979">
        <f t="shared" si="257"/>
        <v>1649.9571156</v>
      </c>
      <c r="W979">
        <f t="shared" si="244"/>
        <v>-12.592597800000146</v>
      </c>
      <c r="X979">
        <f t="shared" si="245"/>
        <v>3.2873216333999999</v>
      </c>
      <c r="Y979">
        <f t="shared" si="246"/>
        <v>-15.879919433400145</v>
      </c>
      <c r="Z979">
        <f t="shared" si="247"/>
        <v>30701.630224489192</v>
      </c>
      <c r="AB979">
        <f t="shared" si="248"/>
        <v>3.6798999999999998E-2</v>
      </c>
      <c r="AC979">
        <f t="shared" si="249"/>
        <v>3847.7041759799999</v>
      </c>
      <c r="AD979">
        <f t="shared" si="250"/>
        <v>-29.365969990000341</v>
      </c>
      <c r="AE979">
        <f t="shared" si="251"/>
        <v>7.6660423819700005</v>
      </c>
      <c r="AF979">
        <f t="shared" si="252"/>
        <v>-37.032012371970339</v>
      </c>
      <c r="AG979">
        <f t="shared" si="242"/>
        <v>38440.09912849783</v>
      </c>
      <c r="AH979" t="b">
        <f t="shared" si="253"/>
        <v>1</v>
      </c>
    </row>
    <row r="980" spans="4:34" hidden="1" x14ac:dyDescent="0.4">
      <c r="D980" t="s">
        <v>50</v>
      </c>
      <c r="E980" t="s">
        <v>37</v>
      </c>
      <c r="F980" s="9">
        <v>45789.041666666664</v>
      </c>
      <c r="G980">
        <v>459</v>
      </c>
      <c r="H980" s="9">
        <v>45791.041666666664</v>
      </c>
      <c r="I980">
        <v>462.1</v>
      </c>
      <c r="J980">
        <v>27.5428</v>
      </c>
      <c r="K980" s="12">
        <v>12642.16</v>
      </c>
      <c r="L980">
        <v>19.03</v>
      </c>
      <c r="M980">
        <v>66.36</v>
      </c>
      <c r="N980" s="13">
        <v>5.1999999999999998E-3</v>
      </c>
      <c r="O980" t="s">
        <v>38</v>
      </c>
      <c r="Q980">
        <f t="shared" si="254"/>
        <v>85.382680000000619</v>
      </c>
      <c r="R980">
        <f t="shared" si="255"/>
        <v>66.352680000000618</v>
      </c>
      <c r="S980">
        <f t="shared" si="256"/>
        <v>12727.52788</v>
      </c>
      <c r="U980">
        <f t="shared" si="243"/>
        <v>3.5947710000000002</v>
      </c>
      <c r="V980">
        <f t="shared" si="257"/>
        <v>1649.9998890000002</v>
      </c>
      <c r="W980">
        <f t="shared" si="244"/>
        <v>11.143790100000082</v>
      </c>
      <c r="X980">
        <f t="shared" si="245"/>
        <v>3.3111435681000003</v>
      </c>
      <c r="Y980">
        <f t="shared" si="246"/>
        <v>7.8326465319000818</v>
      </c>
      <c r="Z980">
        <f t="shared" si="247"/>
        <v>30717.510143922591</v>
      </c>
      <c r="AB980">
        <f t="shared" si="248"/>
        <v>8.3788400000000003</v>
      </c>
      <c r="AC980">
        <f t="shared" si="249"/>
        <v>3845.8875600000001</v>
      </c>
      <c r="AD980">
        <f t="shared" si="250"/>
        <v>25.974404000000192</v>
      </c>
      <c r="AE980">
        <f t="shared" si="251"/>
        <v>7.7177495240000002</v>
      </c>
      <c r="AF980">
        <f t="shared" si="252"/>
        <v>18.256654476000193</v>
      </c>
      <c r="AG980">
        <f t="shared" si="242"/>
        <v>38477.131140869802</v>
      </c>
      <c r="AH980" t="b">
        <f t="shared" si="253"/>
        <v>1</v>
      </c>
    </row>
    <row r="981" spans="4:34" hidden="1" x14ac:dyDescent="0.4">
      <c r="D981" t="s">
        <v>43</v>
      </c>
      <c r="E981" t="s">
        <v>37</v>
      </c>
      <c r="F981" s="9">
        <v>45788.666666666664</v>
      </c>
      <c r="G981">
        <v>3.9603999999999999</v>
      </c>
      <c r="H981" s="9">
        <v>45790.666666666664</v>
      </c>
      <c r="I981">
        <v>3.9558</v>
      </c>
      <c r="J981">
        <v>468.8</v>
      </c>
      <c r="K981" s="12">
        <v>1856.85</v>
      </c>
      <c r="L981">
        <v>2.78</v>
      </c>
      <c r="M981">
        <v>-4.9400000000000004</v>
      </c>
      <c r="N981" s="13">
        <v>-2.7000000000000001E-3</v>
      </c>
      <c r="O981" t="s">
        <v>38</v>
      </c>
      <c r="Q981">
        <f t="shared" si="254"/>
        <v>-2.1564799999999709</v>
      </c>
      <c r="R981">
        <f t="shared" si="255"/>
        <v>-4.9364799999999711</v>
      </c>
      <c r="S981">
        <f t="shared" si="256"/>
        <v>1854.4790399999999</v>
      </c>
      <c r="U981">
        <f t="shared" si="243"/>
        <v>416.62458299999997</v>
      </c>
      <c r="V981">
        <f t="shared" si="257"/>
        <v>1649.9999985131999</v>
      </c>
      <c r="W981">
        <f t="shared" si="244"/>
        <v>-1.9164730817999738</v>
      </c>
      <c r="X981">
        <f t="shared" si="245"/>
        <v>3.2980835239445998</v>
      </c>
      <c r="Y981">
        <f t="shared" si="246"/>
        <v>-5.2145566057445736</v>
      </c>
      <c r="Z981">
        <f t="shared" si="247"/>
        <v>30709.67749739069</v>
      </c>
      <c r="AB981">
        <f t="shared" si="248"/>
        <v>971.39260300000001</v>
      </c>
      <c r="AC981">
        <f t="shared" si="249"/>
        <v>3847.1032649211998</v>
      </c>
      <c r="AD981">
        <f t="shared" si="250"/>
        <v>-4.4684059737999391</v>
      </c>
      <c r="AE981">
        <f t="shared" si="251"/>
        <v>7.6897381238686</v>
      </c>
      <c r="AF981">
        <f t="shared" si="252"/>
        <v>-12.15814409766854</v>
      </c>
      <c r="AG981">
        <f t="shared" si="242"/>
        <v>38458.874486393805</v>
      </c>
      <c r="AH981" t="b">
        <f t="shared" si="253"/>
        <v>1</v>
      </c>
    </row>
    <row r="982" spans="4:34" hidden="1" x14ac:dyDescent="0.4">
      <c r="D982" t="s">
        <v>58</v>
      </c>
      <c r="E982" t="s">
        <v>37</v>
      </c>
      <c r="F982" s="9">
        <v>45788.583333333336</v>
      </c>
      <c r="G982">
        <v>16.72</v>
      </c>
      <c r="H982" s="9">
        <v>45790.583333333336</v>
      </c>
      <c r="I982">
        <v>16.73</v>
      </c>
      <c r="J982">
        <v>430.32</v>
      </c>
      <c r="K982" s="12">
        <v>7195.06</v>
      </c>
      <c r="L982">
        <v>10.8</v>
      </c>
      <c r="M982">
        <v>-6.49</v>
      </c>
      <c r="N982" s="13">
        <v>-8.9999999999999998E-4</v>
      </c>
      <c r="O982" t="s">
        <v>38</v>
      </c>
      <c r="Q982">
        <f t="shared" si="254"/>
        <v>4.3032000000006727</v>
      </c>
      <c r="R982">
        <f t="shared" si="255"/>
        <v>-6.496799999999328</v>
      </c>
      <c r="S982">
        <f t="shared" si="256"/>
        <v>7199.2536</v>
      </c>
      <c r="U982">
        <f t="shared" si="243"/>
        <v>98.684211000000005</v>
      </c>
      <c r="V982">
        <f t="shared" si="257"/>
        <v>1650.0000079199999</v>
      </c>
      <c r="W982">
        <f t="shared" si="244"/>
        <v>0.98684211000015432</v>
      </c>
      <c r="X982">
        <f t="shared" si="245"/>
        <v>3.3009868579500004</v>
      </c>
      <c r="Y982">
        <f t="shared" si="246"/>
        <v>-2.3141447479498458</v>
      </c>
      <c r="Z982">
        <f t="shared" si="247"/>
        <v>30714.892053996435</v>
      </c>
      <c r="AB982">
        <f t="shared" si="248"/>
        <v>230.12218300000001</v>
      </c>
      <c r="AC982">
        <f t="shared" si="249"/>
        <v>3847.6428997599996</v>
      </c>
      <c r="AD982">
        <f t="shared" si="250"/>
        <v>2.30122183000036</v>
      </c>
      <c r="AE982">
        <f t="shared" si="251"/>
        <v>7.6975870213500004</v>
      </c>
      <c r="AF982">
        <f t="shared" si="252"/>
        <v>-5.3963651913496404</v>
      </c>
      <c r="AG982">
        <f t="shared" si="242"/>
        <v>38471.032630491471</v>
      </c>
      <c r="AH982" t="b">
        <f t="shared" si="253"/>
        <v>1</v>
      </c>
    </row>
    <row r="983" spans="4:34" hidden="1" x14ac:dyDescent="0.4">
      <c r="D983" t="s">
        <v>48</v>
      </c>
      <c r="E983" t="s">
        <v>37</v>
      </c>
      <c r="F983" s="9">
        <v>45788.5</v>
      </c>
      <c r="G983" s="12">
        <v>0.17749999999999999</v>
      </c>
      <c r="H983" s="9">
        <v>45790.5</v>
      </c>
      <c r="I983" s="12">
        <v>0.19070000000000001</v>
      </c>
      <c r="J983" s="12">
        <v>16645.8</v>
      </c>
      <c r="K983" s="12">
        <v>2954.65</v>
      </c>
      <c r="L983">
        <v>4.5999999999999996</v>
      </c>
      <c r="M983">
        <v>215.13</v>
      </c>
      <c r="N983" s="13">
        <v>7.2800000000000004E-2</v>
      </c>
      <c r="O983" t="s">
        <v>38</v>
      </c>
      <c r="Q983">
        <f t="shared" si="254"/>
        <v>219.72456000000028</v>
      </c>
      <c r="R983">
        <f t="shared" si="255"/>
        <v>215.12456000000029</v>
      </c>
      <c r="S983">
        <f t="shared" si="256"/>
        <v>3174.3540600000001</v>
      </c>
      <c r="U983">
        <f t="shared" si="243"/>
        <v>9295.7746480000005</v>
      </c>
      <c r="V983">
        <f t="shared" si="257"/>
        <v>1650.00000002</v>
      </c>
      <c r="W983">
        <f t="shared" si="244"/>
        <v>122.70422535360017</v>
      </c>
      <c r="X983">
        <f t="shared" si="245"/>
        <v>3.4227042253936002</v>
      </c>
      <c r="Y983">
        <f t="shared" si="246"/>
        <v>119.28152112820656</v>
      </c>
      <c r="Z983">
        <f t="shared" si="247"/>
        <v>30717.206198744385</v>
      </c>
      <c r="AB983">
        <f t="shared" si="248"/>
        <v>21521.280131</v>
      </c>
      <c r="AC983">
        <f t="shared" si="249"/>
        <v>3820.0272232524999</v>
      </c>
      <c r="AD983">
        <f t="shared" si="250"/>
        <v>284.08089772920039</v>
      </c>
      <c r="AE983">
        <f t="shared" si="251"/>
        <v>7.9241353442342</v>
      </c>
      <c r="AF983">
        <f t="shared" si="252"/>
        <v>276.15676238496621</v>
      </c>
      <c r="AG983">
        <f t="shared" si="242"/>
        <v>38476.428995682822</v>
      </c>
      <c r="AH983" t="b">
        <f t="shared" si="253"/>
        <v>1</v>
      </c>
    </row>
    <row r="984" spans="4:34" hidden="1" x14ac:dyDescent="0.4">
      <c r="D984" t="s">
        <v>55</v>
      </c>
      <c r="E984" t="s">
        <v>37</v>
      </c>
      <c r="F984" s="9">
        <v>45788.458333333336</v>
      </c>
      <c r="G984">
        <v>6.8559999999999994E-5</v>
      </c>
      <c r="H984" s="9">
        <v>45790.458333333336</v>
      </c>
      <c r="I984">
        <v>6.7470000000000003E-5</v>
      </c>
      <c r="J984" s="12">
        <v>87723063.790000007</v>
      </c>
      <c r="K984" s="12">
        <v>6014.29</v>
      </c>
      <c r="L984">
        <v>8.9499999999999993</v>
      </c>
      <c r="M984">
        <v>-104.57</v>
      </c>
      <c r="N984" s="13">
        <v>-1.7399999999999999E-2</v>
      </c>
      <c r="O984" t="s">
        <v>38</v>
      </c>
      <c r="Q984">
        <f t="shared" si="254"/>
        <v>-95.618139531099246</v>
      </c>
      <c r="R984">
        <f t="shared" si="255"/>
        <v>-104.56813953109925</v>
      </c>
      <c r="S984">
        <f t="shared" si="256"/>
        <v>5918.6751139113003</v>
      </c>
      <c r="U984">
        <f t="shared" si="243"/>
        <v>24066511.085181002</v>
      </c>
      <c r="V984">
        <f t="shared" si="257"/>
        <v>1650.0000000000093</v>
      </c>
      <c r="W984">
        <f t="shared" si="244"/>
        <v>-26.232497082847082</v>
      </c>
      <c r="X984">
        <f t="shared" si="245"/>
        <v>3.2737675029171713</v>
      </c>
      <c r="Y984">
        <f t="shared" si="246"/>
        <v>-29.506264585764253</v>
      </c>
      <c r="Z984">
        <f t="shared" si="247"/>
        <v>30597.924677616178</v>
      </c>
      <c r="AB984">
        <f t="shared" si="248"/>
        <v>55817833.389100999</v>
      </c>
      <c r="AC984">
        <f t="shared" si="249"/>
        <v>3826.8706571567641</v>
      </c>
      <c r="AD984">
        <f t="shared" si="250"/>
        <v>-60.841438394119599</v>
      </c>
      <c r="AE984">
        <f t="shared" si="251"/>
        <v>7.5928998759194082</v>
      </c>
      <c r="AF984">
        <f t="shared" si="252"/>
        <v>-68.434338270039007</v>
      </c>
      <c r="AG984">
        <f t="shared" si="242"/>
        <v>38200.272233297852</v>
      </c>
      <c r="AH984" t="b">
        <f t="shared" si="253"/>
        <v>1</v>
      </c>
    </row>
    <row r="985" spans="4:34" hidden="1" x14ac:dyDescent="0.4">
      <c r="D985" t="s">
        <v>56</v>
      </c>
      <c r="E985" t="s">
        <v>37</v>
      </c>
      <c r="F985" s="9">
        <v>45789.041666666664</v>
      </c>
      <c r="G985" s="12">
        <v>2515.08</v>
      </c>
      <c r="H985" s="9">
        <v>45789.833333333336</v>
      </c>
      <c r="I985" s="12">
        <v>2441.3000000000002</v>
      </c>
      <c r="J985">
        <v>2.1432000000000002</v>
      </c>
      <c r="K985" s="12">
        <v>5390.41</v>
      </c>
      <c r="L985">
        <v>7.97</v>
      </c>
      <c r="M985">
        <v>-166.09</v>
      </c>
      <c r="N985" s="13">
        <v>-3.0800000000000001E-2</v>
      </c>
      <c r="O985" t="s">
        <v>49</v>
      </c>
      <c r="Q985">
        <f t="shared" si="254"/>
        <v>-158.12529599999948</v>
      </c>
      <c r="R985">
        <f t="shared" si="255"/>
        <v>-166.09529599999948</v>
      </c>
      <c r="S985">
        <f t="shared" si="256"/>
        <v>5232.1941600000009</v>
      </c>
      <c r="U985">
        <f t="shared" si="243"/>
        <v>0.65604300000000004</v>
      </c>
      <c r="V985">
        <f t="shared" si="257"/>
        <v>1650.0006284400001</v>
      </c>
      <c r="W985">
        <f t="shared" si="244"/>
        <v>-48.402852539999834</v>
      </c>
      <c r="X985">
        <f t="shared" si="245"/>
        <v>3.2515984043400006</v>
      </c>
      <c r="Y985">
        <f t="shared" si="246"/>
        <v>-51.654450944339835</v>
      </c>
      <c r="Z985">
        <f t="shared" si="247"/>
        <v>30627.430942201943</v>
      </c>
      <c r="AB985">
        <f t="shared" si="248"/>
        <v>1.526348</v>
      </c>
      <c r="AC985">
        <f t="shared" si="249"/>
        <v>3838.8873278400001</v>
      </c>
      <c r="AD985">
        <f t="shared" si="250"/>
        <v>-112.61395543999961</v>
      </c>
      <c r="AE985">
        <f t="shared" si="251"/>
        <v>7.5651607002400008</v>
      </c>
      <c r="AF985">
        <f t="shared" si="252"/>
        <v>-120.17911614023961</v>
      </c>
      <c r="AG985">
        <f t="shared" si="242"/>
        <v>38268.706571567891</v>
      </c>
      <c r="AH985" t="b">
        <f t="shared" si="253"/>
        <v>1</v>
      </c>
    </row>
    <row r="986" spans="4:34" hidden="1" x14ac:dyDescent="0.4">
      <c r="D986" t="s">
        <v>52</v>
      </c>
      <c r="E986" t="s">
        <v>37</v>
      </c>
      <c r="F986" s="9">
        <v>45787.75</v>
      </c>
      <c r="G986" s="12">
        <v>5.5069999999999997</v>
      </c>
      <c r="H986" s="9">
        <v>45789.75</v>
      </c>
      <c r="I986" s="12">
        <v>5.86</v>
      </c>
      <c r="J986">
        <v>424.35</v>
      </c>
      <c r="K986" s="12">
        <v>2336.9299999999998</v>
      </c>
      <c r="L986">
        <v>3.62</v>
      </c>
      <c r="M986">
        <v>146.18</v>
      </c>
      <c r="N986" s="13">
        <v>6.2600000000000003E-2</v>
      </c>
      <c r="O986" t="s">
        <v>38</v>
      </c>
      <c r="Q986">
        <f t="shared" si="254"/>
        <v>149.79555000000028</v>
      </c>
      <c r="R986">
        <f t="shared" si="255"/>
        <v>146.17555000000027</v>
      </c>
      <c r="S986">
        <f t="shared" si="256"/>
        <v>2486.6910000000003</v>
      </c>
      <c r="U986">
        <f t="shared" si="243"/>
        <v>299.61866700000002</v>
      </c>
      <c r="V986">
        <f t="shared" si="257"/>
        <v>1649.9999991689999</v>
      </c>
      <c r="W986">
        <f t="shared" si="244"/>
        <v>105.7653894510002</v>
      </c>
      <c r="X986">
        <f t="shared" si="245"/>
        <v>3.4057653877890002</v>
      </c>
      <c r="Y986">
        <f t="shared" si="246"/>
        <v>102.3596240632112</v>
      </c>
      <c r="Z986">
        <f t="shared" si="247"/>
        <v>30679.085393146284</v>
      </c>
      <c r="AB986">
        <f t="shared" si="248"/>
        <v>692.79470000000003</v>
      </c>
      <c r="AC986">
        <f t="shared" si="249"/>
        <v>3815.2204129000002</v>
      </c>
      <c r="AD986">
        <f t="shared" si="250"/>
        <v>244.55652910000046</v>
      </c>
      <c r="AE986">
        <f t="shared" si="251"/>
        <v>7.8749973549000005</v>
      </c>
      <c r="AF986">
        <f t="shared" si="252"/>
        <v>236.68153174510047</v>
      </c>
      <c r="AG986">
        <f t="shared" si="242"/>
        <v>38388.885687708127</v>
      </c>
      <c r="AH986" t="b">
        <f t="shared" si="253"/>
        <v>1</v>
      </c>
    </row>
    <row r="987" spans="4:34" hidden="1" x14ac:dyDescent="0.4">
      <c r="D987" t="s">
        <v>61</v>
      </c>
      <c r="E987" t="s">
        <v>37</v>
      </c>
      <c r="F987" s="9">
        <v>45787.75</v>
      </c>
      <c r="G987">
        <v>0.81410000000000005</v>
      </c>
      <c r="H987" s="9">
        <v>45789.75</v>
      </c>
      <c r="I987">
        <v>0.82920000000000005</v>
      </c>
      <c r="J987" s="12">
        <v>9974.2000000000007</v>
      </c>
      <c r="K987" s="12">
        <v>8120.04</v>
      </c>
      <c r="L987">
        <v>12.29</v>
      </c>
      <c r="M987">
        <v>138.32</v>
      </c>
      <c r="N987" s="13">
        <v>1.7000000000000001E-2</v>
      </c>
      <c r="O987" t="s">
        <v>38</v>
      </c>
      <c r="Q987">
        <f t="shared" si="254"/>
        <v>150.61042000000003</v>
      </c>
      <c r="R987">
        <f t="shared" si="255"/>
        <v>138.32042000000004</v>
      </c>
      <c r="S987">
        <f t="shared" si="256"/>
        <v>8270.6066400000018</v>
      </c>
      <c r="U987">
        <f t="shared" si="243"/>
        <v>2026.778037</v>
      </c>
      <c r="V987">
        <f t="shared" si="257"/>
        <v>1649.9999999217002</v>
      </c>
      <c r="W987">
        <f t="shared" si="244"/>
        <v>30.604348358700005</v>
      </c>
      <c r="X987">
        <f t="shared" si="245"/>
        <v>3.3306043482021002</v>
      </c>
      <c r="Y987">
        <f t="shared" si="246"/>
        <v>27.273744010497904</v>
      </c>
      <c r="Z987">
        <f t="shared" si="247"/>
        <v>30576.725769083074</v>
      </c>
      <c r="AB987">
        <f t="shared" si="248"/>
        <v>4678.6935729999996</v>
      </c>
      <c r="AC987">
        <f t="shared" si="249"/>
        <v>3808.9244377792998</v>
      </c>
      <c r="AD987">
        <f t="shared" si="250"/>
        <v>70.648272952300005</v>
      </c>
      <c r="AE987">
        <f t="shared" si="251"/>
        <v>7.6884971485108995</v>
      </c>
      <c r="AF987">
        <f t="shared" si="252"/>
        <v>62.959775803789107</v>
      </c>
      <c r="AG987">
        <f t="shared" si="242"/>
        <v>38152.204155963023</v>
      </c>
      <c r="AH987" t="b">
        <f t="shared" si="253"/>
        <v>1</v>
      </c>
    </row>
    <row r="988" spans="4:34" hidden="1" x14ac:dyDescent="0.4">
      <c r="D988" t="s">
        <v>53</v>
      </c>
      <c r="E988" t="s">
        <v>37</v>
      </c>
      <c r="F988" s="9">
        <v>45787.625</v>
      </c>
      <c r="G988">
        <v>654.02</v>
      </c>
      <c r="H988" s="9">
        <v>45789.625</v>
      </c>
      <c r="I988">
        <v>680.81</v>
      </c>
      <c r="J988" s="12">
        <v>14.08</v>
      </c>
      <c r="K988" s="12">
        <v>9209.0400000000009</v>
      </c>
      <c r="L988">
        <v>14.1</v>
      </c>
      <c r="M988">
        <v>363.11</v>
      </c>
      <c r="N988" s="13">
        <v>3.9399999999999998E-2</v>
      </c>
      <c r="O988" t="s">
        <v>38</v>
      </c>
      <c r="Q988">
        <f t="shared" si="254"/>
        <v>377.20319999999947</v>
      </c>
      <c r="R988">
        <f t="shared" si="255"/>
        <v>363.10319999999945</v>
      </c>
      <c r="S988">
        <f t="shared" si="256"/>
        <v>9585.8047999999999</v>
      </c>
      <c r="U988">
        <f t="shared" si="243"/>
        <v>2.522859</v>
      </c>
      <c r="V988">
        <f t="shared" si="257"/>
        <v>1650.0002431799999</v>
      </c>
      <c r="W988">
        <f t="shared" si="244"/>
        <v>67.58739260999991</v>
      </c>
      <c r="X988">
        <f t="shared" si="245"/>
        <v>3.3675878789699998</v>
      </c>
      <c r="Y988">
        <f t="shared" si="246"/>
        <v>64.21980473102991</v>
      </c>
      <c r="Z988">
        <f t="shared" si="247"/>
        <v>30549.452025072576</v>
      </c>
      <c r="AB988">
        <f t="shared" si="248"/>
        <v>5.8012860000000002</v>
      </c>
      <c r="AC988">
        <f t="shared" si="249"/>
        <v>3794.15706972</v>
      </c>
      <c r="AD988">
        <f t="shared" si="250"/>
        <v>155.4164519399998</v>
      </c>
      <c r="AE988">
        <f t="shared" si="251"/>
        <v>7.7437305913800003</v>
      </c>
      <c r="AF988">
        <f t="shared" si="252"/>
        <v>147.6727213486198</v>
      </c>
      <c r="AG988">
        <f t="shared" si="242"/>
        <v>38089.244380159231</v>
      </c>
      <c r="AH988" t="b">
        <f t="shared" si="253"/>
        <v>1</v>
      </c>
    </row>
    <row r="989" spans="4:34" hidden="1" x14ac:dyDescent="0.4">
      <c r="D989" t="s">
        <v>54</v>
      </c>
      <c r="E989" t="s">
        <v>37</v>
      </c>
      <c r="F989" s="9">
        <v>45787.333333333336</v>
      </c>
      <c r="G989">
        <v>172.13</v>
      </c>
      <c r="H989" s="9">
        <v>45789.333333333336</v>
      </c>
      <c r="I989">
        <v>175.74</v>
      </c>
      <c r="J989" s="12">
        <v>27.609000000000002</v>
      </c>
      <c r="K989" s="12">
        <v>4752.37</v>
      </c>
      <c r="L989">
        <v>7.2</v>
      </c>
      <c r="M989">
        <v>92.47</v>
      </c>
      <c r="N989" s="13">
        <v>1.95E-2</v>
      </c>
      <c r="O989" t="s">
        <v>38</v>
      </c>
      <c r="Q989">
        <f t="shared" si="254"/>
        <v>99.668490000000389</v>
      </c>
      <c r="R989">
        <f t="shared" si="255"/>
        <v>92.468490000000386</v>
      </c>
      <c r="S989">
        <f t="shared" si="256"/>
        <v>4852.0056600000007</v>
      </c>
      <c r="U989">
        <f t="shared" si="243"/>
        <v>9.5857779999999995</v>
      </c>
      <c r="V989">
        <f t="shared" si="257"/>
        <v>1649.9999671399999</v>
      </c>
      <c r="W989">
        <f t="shared" si="244"/>
        <v>34.604658580000127</v>
      </c>
      <c r="X989">
        <f t="shared" si="245"/>
        <v>3.3346045928599999</v>
      </c>
      <c r="Y989">
        <f t="shared" si="246"/>
        <v>31.270053987140127</v>
      </c>
      <c r="Z989">
        <f t="shared" si="247"/>
        <v>30485.232220341546</v>
      </c>
      <c r="AB989">
        <f t="shared" si="248"/>
        <v>22.000699000000001</v>
      </c>
      <c r="AC989">
        <f t="shared" si="249"/>
        <v>3786.9803188700002</v>
      </c>
      <c r="AD989">
        <f t="shared" si="250"/>
        <v>79.422523390000308</v>
      </c>
      <c r="AE989">
        <f t="shared" si="251"/>
        <v>7.6533831611300007</v>
      </c>
      <c r="AF989">
        <f t="shared" si="252"/>
        <v>71.769140228870313</v>
      </c>
      <c r="AG989">
        <f t="shared" si="242"/>
        <v>37941.571658810608</v>
      </c>
      <c r="AH989" t="b">
        <f t="shared" si="253"/>
        <v>1</v>
      </c>
    </row>
    <row r="990" spans="4:34" hidden="1" x14ac:dyDescent="0.4">
      <c r="D990" t="s">
        <v>50</v>
      </c>
      <c r="E990" t="s">
        <v>37</v>
      </c>
      <c r="F990" s="9">
        <v>45786.916666666664</v>
      </c>
      <c r="G990">
        <v>426.8</v>
      </c>
      <c r="H990" s="9">
        <v>45788.916666666664</v>
      </c>
      <c r="I990">
        <v>453.9</v>
      </c>
      <c r="J990">
        <v>29.438400000000001</v>
      </c>
      <c r="K990" s="12">
        <v>12564.32</v>
      </c>
      <c r="L990">
        <v>19.440000000000001</v>
      </c>
      <c r="M990">
        <v>778.34</v>
      </c>
      <c r="N990" s="13">
        <v>6.1899999999999997E-2</v>
      </c>
      <c r="O990" t="s">
        <v>38</v>
      </c>
      <c r="Q990">
        <f t="shared" si="254"/>
        <v>797.78063999999904</v>
      </c>
      <c r="R990">
        <f t="shared" si="255"/>
        <v>778.34063999999898</v>
      </c>
      <c r="S990">
        <f t="shared" si="256"/>
        <v>13362.089760000001</v>
      </c>
      <c r="U990">
        <f t="shared" si="243"/>
        <v>3.8659789999999998</v>
      </c>
      <c r="V990">
        <f t="shared" si="257"/>
        <v>1649.9998372</v>
      </c>
      <c r="W990">
        <f t="shared" si="244"/>
        <v>104.76803089999986</v>
      </c>
      <c r="X990">
        <f t="shared" si="245"/>
        <v>3.4047677052999998</v>
      </c>
      <c r="Y990">
        <f t="shared" si="246"/>
        <v>101.36326319469985</v>
      </c>
      <c r="Z990">
        <f t="shared" si="247"/>
        <v>30453.962166354406</v>
      </c>
      <c r="AB990">
        <f t="shared" si="248"/>
        <v>8.8187859999999993</v>
      </c>
      <c r="AC990">
        <f t="shared" si="249"/>
        <v>3763.8578647999998</v>
      </c>
      <c r="AD990">
        <f t="shared" si="250"/>
        <v>238.98910059999969</v>
      </c>
      <c r="AE990">
        <f t="shared" si="251"/>
        <v>7.7667048302000001</v>
      </c>
      <c r="AF990">
        <f t="shared" si="252"/>
        <v>231.22239576979968</v>
      </c>
      <c r="AG990">
        <f t="shared" si="242"/>
        <v>37869.802518581739</v>
      </c>
      <c r="AH990" t="b">
        <f t="shared" si="253"/>
        <v>1</v>
      </c>
    </row>
    <row r="991" spans="4:34" hidden="1" x14ac:dyDescent="0.4">
      <c r="D991" t="s">
        <v>60</v>
      </c>
      <c r="E991" t="s">
        <v>37</v>
      </c>
      <c r="F991" s="9">
        <v>45786.333333333336</v>
      </c>
      <c r="G991">
        <v>2.3111000000000002</v>
      </c>
      <c r="H991" s="9">
        <v>45788.833333333336</v>
      </c>
      <c r="I991">
        <v>2.3746999999999998</v>
      </c>
      <c r="J991" s="12">
        <v>945.8</v>
      </c>
      <c r="K991" s="12">
        <v>2185.9499999999998</v>
      </c>
      <c r="L991">
        <v>3.32</v>
      </c>
      <c r="M991">
        <v>56.83</v>
      </c>
      <c r="N991" s="13">
        <v>2.5999999999999999E-2</v>
      </c>
      <c r="O991" t="s">
        <v>57</v>
      </c>
      <c r="Q991">
        <f t="shared" si="254"/>
        <v>60.152879999999669</v>
      </c>
      <c r="R991">
        <f t="shared" si="255"/>
        <v>56.832879999999669</v>
      </c>
      <c r="S991">
        <f t="shared" si="256"/>
        <v>2245.9912599999998</v>
      </c>
      <c r="U991">
        <f t="shared" si="243"/>
        <v>713.94574</v>
      </c>
      <c r="V991">
        <f t="shared" si="257"/>
        <v>1649.9999997140001</v>
      </c>
      <c r="W991">
        <f t="shared" si="244"/>
        <v>45.406949063999754</v>
      </c>
      <c r="X991">
        <f t="shared" si="245"/>
        <v>3.3454069484920002</v>
      </c>
      <c r="Y991">
        <f t="shared" si="246"/>
        <v>42.061542115507756</v>
      </c>
      <c r="Z991">
        <f t="shared" si="247"/>
        <v>30352.598903159706</v>
      </c>
      <c r="AB991">
        <f t="shared" si="248"/>
        <v>1624.4591929999999</v>
      </c>
      <c r="AC991">
        <f t="shared" si="249"/>
        <v>3754.2876409423002</v>
      </c>
      <c r="AD991">
        <f t="shared" si="250"/>
        <v>103.31560467479943</v>
      </c>
      <c r="AE991">
        <f t="shared" si="251"/>
        <v>7.6118908865593999</v>
      </c>
      <c r="AF991">
        <f t="shared" si="252"/>
        <v>95.703713788240037</v>
      </c>
      <c r="AG991">
        <f t="shared" si="242"/>
        <v>37638.580122811938</v>
      </c>
      <c r="AH991" t="b">
        <f t="shared" si="253"/>
        <v>1</v>
      </c>
    </row>
    <row r="992" spans="4:34" hidden="1" x14ac:dyDescent="0.4">
      <c r="D992" t="s">
        <v>56</v>
      </c>
      <c r="E992" t="s">
        <v>37</v>
      </c>
      <c r="F992" s="9">
        <v>45786.333333333336</v>
      </c>
      <c r="G992" s="12">
        <v>2256.59</v>
      </c>
      <c r="H992" s="9">
        <v>45788.833333333336</v>
      </c>
      <c r="I992" s="12">
        <v>2505.39</v>
      </c>
      <c r="J992">
        <v>2.363</v>
      </c>
      <c r="K992" s="12">
        <v>5332.46</v>
      </c>
      <c r="L992">
        <v>8.44</v>
      </c>
      <c r="M992">
        <v>579.47</v>
      </c>
      <c r="N992" s="13">
        <v>0.1087</v>
      </c>
      <c r="O992" t="s">
        <v>57</v>
      </c>
      <c r="Q992">
        <f t="shared" si="254"/>
        <v>587.91439999999932</v>
      </c>
      <c r="R992">
        <f t="shared" si="255"/>
        <v>579.47439999999926</v>
      </c>
      <c r="S992">
        <f t="shared" si="256"/>
        <v>5920.23657</v>
      </c>
      <c r="U992">
        <f t="shared" si="243"/>
        <v>0.73119199999999995</v>
      </c>
      <c r="V992">
        <f t="shared" si="257"/>
        <v>1650.0005552800001</v>
      </c>
      <c r="W992">
        <f t="shared" si="244"/>
        <v>181.92056959999979</v>
      </c>
      <c r="X992">
        <f t="shared" si="245"/>
        <v>3.4819216801599993</v>
      </c>
      <c r="Y992">
        <f t="shared" si="246"/>
        <v>178.43864791983981</v>
      </c>
      <c r="Z992">
        <f t="shared" si="247"/>
        <v>30310.537361044197</v>
      </c>
      <c r="AB992">
        <f t="shared" si="248"/>
        <v>1.6458999999999999</v>
      </c>
      <c r="AC992">
        <f t="shared" si="249"/>
        <v>3714.1214810000001</v>
      </c>
      <c r="AD992">
        <f t="shared" si="250"/>
        <v>409.49991999999952</v>
      </c>
      <c r="AE992">
        <f t="shared" si="251"/>
        <v>7.8377428819999988</v>
      </c>
      <c r="AF992">
        <f t="shared" si="252"/>
        <v>401.66217711799953</v>
      </c>
      <c r="AG992">
        <f t="shared" si="242"/>
        <v>37542.876409023695</v>
      </c>
      <c r="AH992" t="b">
        <f t="shared" si="253"/>
        <v>1</v>
      </c>
    </row>
    <row r="993" spans="4:34" hidden="1" x14ac:dyDescent="0.4">
      <c r="D993" t="s">
        <v>59</v>
      </c>
      <c r="E993" t="s">
        <v>37</v>
      </c>
      <c r="F993" s="9">
        <v>45786.25</v>
      </c>
      <c r="G993" s="12">
        <v>102806.01</v>
      </c>
      <c r="H993" s="9">
        <v>45788.75</v>
      </c>
      <c r="I993" s="12">
        <v>104005.99</v>
      </c>
      <c r="J993">
        <v>0.10058</v>
      </c>
      <c r="K993" s="12">
        <v>10341.06</v>
      </c>
      <c r="L993">
        <v>15.6</v>
      </c>
      <c r="M993">
        <v>105.09</v>
      </c>
      <c r="N993" s="13">
        <v>1.0200000000000001E-2</v>
      </c>
      <c r="O993" t="s">
        <v>57</v>
      </c>
      <c r="Q993">
        <f t="shared" si="254"/>
        <v>120.69398840000106</v>
      </c>
      <c r="R993">
        <f t="shared" si="255"/>
        <v>105.09398840000107</v>
      </c>
      <c r="S993">
        <f t="shared" si="256"/>
        <v>10460.922474200001</v>
      </c>
      <c r="U993">
        <f t="shared" si="243"/>
        <v>1.6049999999999998E-2</v>
      </c>
      <c r="V993">
        <f t="shared" si="257"/>
        <v>1650.0364604999997</v>
      </c>
      <c r="W993">
        <f t="shared" si="244"/>
        <v>19.259679000000165</v>
      </c>
      <c r="X993">
        <f t="shared" si="245"/>
        <v>3.3193325999999996</v>
      </c>
      <c r="Y993">
        <f t="shared" si="246"/>
        <v>15.940346400000166</v>
      </c>
      <c r="Z993">
        <f t="shared" si="247"/>
        <v>30132.098713124356</v>
      </c>
      <c r="AB993">
        <f t="shared" si="248"/>
        <v>3.6093E-2</v>
      </c>
      <c r="AC993">
        <f t="shared" si="249"/>
        <v>3710.5773189299998</v>
      </c>
      <c r="AD993">
        <f t="shared" si="250"/>
        <v>43.310878140000376</v>
      </c>
      <c r="AE993">
        <f t="shared" si="251"/>
        <v>7.4644655160000006</v>
      </c>
      <c r="AF993">
        <f t="shared" si="252"/>
        <v>35.846412624000379</v>
      </c>
      <c r="AG993">
        <f t="shared" si="242"/>
        <v>37141.214231905695</v>
      </c>
      <c r="AH993" t="b">
        <f t="shared" si="253"/>
        <v>1</v>
      </c>
    </row>
    <row r="994" spans="4:34" hidden="1" x14ac:dyDescent="0.4">
      <c r="D994" t="s">
        <v>43</v>
      </c>
      <c r="E994" t="s">
        <v>37</v>
      </c>
      <c r="F994" s="9">
        <v>45786.5</v>
      </c>
      <c r="G994" s="12">
        <v>3.9969000000000001</v>
      </c>
      <c r="H994" s="9">
        <v>45788.5</v>
      </c>
      <c r="I994" s="12">
        <v>3.9780000000000002</v>
      </c>
      <c r="J994">
        <v>464.8</v>
      </c>
      <c r="K994" s="12">
        <v>1858</v>
      </c>
      <c r="L994">
        <v>2.78</v>
      </c>
      <c r="M994">
        <v>-11.56</v>
      </c>
      <c r="N994" s="13">
        <v>-6.1999999999999998E-3</v>
      </c>
      <c r="O994" t="s">
        <v>38</v>
      </c>
      <c r="Q994">
        <f t="shared" si="254"/>
        <v>-8.784719999999961</v>
      </c>
      <c r="R994">
        <f t="shared" si="255"/>
        <v>-11.56471999999996</v>
      </c>
      <c r="S994">
        <f t="shared" si="256"/>
        <v>1848.9744000000001</v>
      </c>
      <c r="U994">
        <f t="shared" si="243"/>
        <v>412.81993499999999</v>
      </c>
      <c r="V994">
        <f t="shared" si="257"/>
        <v>1649.9999982014999</v>
      </c>
      <c r="W994">
        <f t="shared" si="244"/>
        <v>-7.8022967714999654</v>
      </c>
      <c r="X994">
        <f t="shared" si="245"/>
        <v>3.2921976996315001</v>
      </c>
      <c r="Y994">
        <f t="shared" si="246"/>
        <v>-11.094494471131465</v>
      </c>
      <c r="Z994">
        <f t="shared" si="247"/>
        <v>30116.158366724358</v>
      </c>
      <c r="AB994">
        <f t="shared" si="248"/>
        <v>928.97830899999997</v>
      </c>
      <c r="AC994">
        <f t="shared" si="249"/>
        <v>3713.0334032421001</v>
      </c>
      <c r="AD994">
        <f t="shared" si="250"/>
        <v>-17.557690040099921</v>
      </c>
      <c r="AE994">
        <f t="shared" si="251"/>
        <v>7.4085091164441002</v>
      </c>
      <c r="AF994">
        <f t="shared" si="252"/>
        <v>-24.966199156544022</v>
      </c>
      <c r="AG994">
        <f t="shared" si="242"/>
        <v>37105.367819281695</v>
      </c>
      <c r="AH994" t="b">
        <f t="shared" si="253"/>
        <v>1</v>
      </c>
    </row>
    <row r="995" spans="4:34" hidden="1" x14ac:dyDescent="0.4">
      <c r="D995" t="s">
        <v>48</v>
      </c>
      <c r="E995" t="s">
        <v>37</v>
      </c>
      <c r="F995" s="9">
        <v>45786.5</v>
      </c>
      <c r="G995">
        <v>0.16520000000000001</v>
      </c>
      <c r="H995" s="9">
        <v>45788.5</v>
      </c>
      <c r="I995">
        <v>0.17749999999999999</v>
      </c>
      <c r="J995" s="12">
        <v>17755.8</v>
      </c>
      <c r="K995" s="12">
        <v>2933.26</v>
      </c>
      <c r="L995">
        <v>4.5599999999999996</v>
      </c>
      <c r="M995">
        <v>213.83</v>
      </c>
      <c r="N995" s="13">
        <v>7.2900000000000006E-2</v>
      </c>
      <c r="O995" t="s">
        <v>38</v>
      </c>
      <c r="Q995">
        <f t="shared" si="254"/>
        <v>218.39633999999958</v>
      </c>
      <c r="R995">
        <f t="shared" si="255"/>
        <v>213.83633999999958</v>
      </c>
      <c r="S995">
        <f t="shared" si="256"/>
        <v>3151.6544999999996</v>
      </c>
      <c r="U995">
        <f t="shared" si="243"/>
        <v>9987.893462</v>
      </c>
      <c r="V995">
        <f t="shared" si="257"/>
        <v>1649.9999999224001</v>
      </c>
      <c r="W995">
        <f t="shared" si="244"/>
        <v>122.85108958259978</v>
      </c>
      <c r="X995">
        <f t="shared" si="245"/>
        <v>3.4228510894274002</v>
      </c>
      <c r="Y995">
        <f t="shared" si="246"/>
        <v>119.42823849317239</v>
      </c>
      <c r="Z995">
        <f t="shared" si="247"/>
        <v>30127.252861195488</v>
      </c>
      <c r="AB995">
        <f t="shared" si="248"/>
        <v>22314.475267999998</v>
      </c>
      <c r="AC995">
        <f t="shared" si="249"/>
        <v>3686.3513142736001</v>
      </c>
      <c r="AD995">
        <f t="shared" si="250"/>
        <v>274.46804579639951</v>
      </c>
      <c r="AE995">
        <f t="shared" si="251"/>
        <v>7.6471706743436005</v>
      </c>
      <c r="AF995">
        <f t="shared" si="252"/>
        <v>266.8208751220559</v>
      </c>
      <c r="AG995">
        <f t="shared" si="242"/>
        <v>37130.33401843824</v>
      </c>
      <c r="AH995" t="b">
        <f t="shared" si="253"/>
        <v>1</v>
      </c>
    </row>
    <row r="996" spans="4:34" hidden="1" x14ac:dyDescent="0.4">
      <c r="D996" t="s">
        <v>58</v>
      </c>
      <c r="E996" t="s">
        <v>37</v>
      </c>
      <c r="F996" s="9">
        <v>45786.333333333336</v>
      </c>
      <c r="G996" s="12">
        <v>15.77</v>
      </c>
      <c r="H996" s="9">
        <v>45788.333333333336</v>
      </c>
      <c r="I996" s="12">
        <v>16.670000000000002</v>
      </c>
      <c r="J996">
        <v>453.73</v>
      </c>
      <c r="K996" s="12">
        <v>7155.32</v>
      </c>
      <c r="L996">
        <v>11.04</v>
      </c>
      <c r="M996">
        <v>397.32</v>
      </c>
      <c r="N996" s="13">
        <v>5.5500000000000001E-2</v>
      </c>
      <c r="O996" t="s">
        <v>38</v>
      </c>
      <c r="Q996">
        <f t="shared" si="254"/>
        <v>408.35700000000099</v>
      </c>
      <c r="R996">
        <f t="shared" si="255"/>
        <v>397.31700000000097</v>
      </c>
      <c r="S996">
        <f t="shared" si="256"/>
        <v>7563.6791000000012</v>
      </c>
      <c r="U996">
        <f t="shared" si="243"/>
        <v>104.629042</v>
      </c>
      <c r="V996">
        <f t="shared" si="257"/>
        <v>1649.9999923399998</v>
      </c>
      <c r="W996">
        <f t="shared" si="244"/>
        <v>94.166137800000214</v>
      </c>
      <c r="X996">
        <f t="shared" si="245"/>
        <v>3.3941661224799997</v>
      </c>
      <c r="Y996">
        <f t="shared" si="246"/>
        <v>90.771971677520213</v>
      </c>
      <c r="Z996">
        <f t="shared" si="247"/>
        <v>30007.824622702316</v>
      </c>
      <c r="AB996">
        <f t="shared" si="248"/>
        <v>232.47827699999999</v>
      </c>
      <c r="AC996">
        <f t="shared" si="249"/>
        <v>3666.1824282899997</v>
      </c>
      <c r="AD996">
        <f t="shared" si="250"/>
        <v>209.23044930000049</v>
      </c>
      <c r="AE996">
        <f t="shared" si="251"/>
        <v>7.5415953058799987</v>
      </c>
      <c r="AF996">
        <f t="shared" si="252"/>
        <v>201.68885399412048</v>
      </c>
      <c r="AG996">
        <f t="shared" si="242"/>
        <v>36863.513143316181</v>
      </c>
      <c r="AH996" t="b">
        <f t="shared" si="253"/>
        <v>1</v>
      </c>
    </row>
    <row r="997" spans="4:34" hidden="1" x14ac:dyDescent="0.4">
      <c r="D997" t="s">
        <v>55</v>
      </c>
      <c r="E997" t="s">
        <v>37</v>
      </c>
      <c r="F997" s="9">
        <v>45786.25</v>
      </c>
      <c r="G997" s="12">
        <v>6.4610000000000007E-5</v>
      </c>
      <c r="H997" s="9">
        <v>45788.25</v>
      </c>
      <c r="I997" s="12">
        <v>7.0110000000000005E-5</v>
      </c>
      <c r="J997" s="12">
        <v>92314702.290000007</v>
      </c>
      <c r="K997" s="12">
        <v>5964.45</v>
      </c>
      <c r="L997">
        <v>9.33</v>
      </c>
      <c r="M997">
        <v>498.4</v>
      </c>
      <c r="N997" s="13">
        <v>8.3599999999999994E-2</v>
      </c>
      <c r="O997" t="s">
        <v>38</v>
      </c>
      <c r="Q997">
        <f t="shared" si="254"/>
        <v>507.73086259499985</v>
      </c>
      <c r="R997">
        <f t="shared" si="255"/>
        <v>498.40086259499986</v>
      </c>
      <c r="S997">
        <f t="shared" si="256"/>
        <v>6472.1837775519007</v>
      </c>
      <c r="U997">
        <f t="shared" si="243"/>
        <v>25537842.439250998</v>
      </c>
      <c r="V997">
        <f t="shared" si="257"/>
        <v>1650.000000000007</v>
      </c>
      <c r="W997">
        <f t="shared" si="244"/>
        <v>140.45813341588044</v>
      </c>
      <c r="X997">
        <f t="shared" si="245"/>
        <v>3.4404581334158948</v>
      </c>
      <c r="Y997">
        <f t="shared" si="246"/>
        <v>137.01767528246455</v>
      </c>
      <c r="Z997">
        <f t="shared" si="247"/>
        <v>29917.052651024795</v>
      </c>
      <c r="AB997">
        <f t="shared" si="248"/>
        <v>56275945.034740999</v>
      </c>
      <c r="AC997">
        <f t="shared" si="249"/>
        <v>3635.9888086946162</v>
      </c>
      <c r="AD997">
        <f t="shared" si="250"/>
        <v>309.5176976910754</v>
      </c>
      <c r="AE997">
        <f t="shared" si="251"/>
        <v>7.5814953150803079</v>
      </c>
      <c r="AF997">
        <f t="shared" si="252"/>
        <v>301.93620237599509</v>
      </c>
      <c r="AG997">
        <f t="shared" si="242"/>
        <v>36661.824289322059</v>
      </c>
      <c r="AH997" t="b">
        <f t="shared" si="253"/>
        <v>1</v>
      </c>
    </row>
    <row r="998" spans="4:34" hidden="1" x14ac:dyDescent="0.4">
      <c r="D998" t="s">
        <v>52</v>
      </c>
      <c r="E998" t="s">
        <v>37</v>
      </c>
      <c r="F998" s="9">
        <v>45785.666666666664</v>
      </c>
      <c r="G998">
        <v>4.8819999999999997</v>
      </c>
      <c r="H998" s="9">
        <v>45787.666666666664</v>
      </c>
      <c r="I998">
        <v>5.4989999999999997</v>
      </c>
      <c r="J998">
        <v>472.78</v>
      </c>
      <c r="K998" s="12">
        <v>2308.12</v>
      </c>
      <c r="L998">
        <v>3.68</v>
      </c>
      <c r="M998">
        <v>288.02</v>
      </c>
      <c r="N998" s="13">
        <v>0.12479999999999999</v>
      </c>
      <c r="O998" t="s">
        <v>38</v>
      </c>
      <c r="Q998">
        <f t="shared" si="254"/>
        <v>291.70525999999995</v>
      </c>
      <c r="R998">
        <f t="shared" si="255"/>
        <v>288.02525999999995</v>
      </c>
      <c r="S998">
        <f t="shared" si="256"/>
        <v>2599.8172199999999</v>
      </c>
      <c r="U998">
        <f t="shared" si="243"/>
        <v>337.97623900000002</v>
      </c>
      <c r="V998">
        <f t="shared" si="257"/>
        <v>1649.999998798</v>
      </c>
      <c r="W998">
        <f t="shared" si="244"/>
        <v>208.53133946300002</v>
      </c>
      <c r="X998">
        <f t="shared" si="245"/>
        <v>3.5085313370589999</v>
      </c>
      <c r="Y998">
        <f t="shared" si="246"/>
        <v>205.02280812594103</v>
      </c>
      <c r="Z998">
        <f t="shared" si="247"/>
        <v>29780.034975742328</v>
      </c>
      <c r="AB998">
        <f t="shared" si="248"/>
        <v>735.63373000000001</v>
      </c>
      <c r="AC998">
        <f t="shared" si="249"/>
        <v>3591.3638698599998</v>
      </c>
      <c r="AD998">
        <f t="shared" si="250"/>
        <v>453.88601140999998</v>
      </c>
      <c r="AE998">
        <f t="shared" si="251"/>
        <v>7.6366137511299996</v>
      </c>
      <c r="AF998">
        <f t="shared" si="252"/>
        <v>446.24939765886995</v>
      </c>
      <c r="AG998">
        <f t="shared" si="242"/>
        <v>36359.888086946063</v>
      </c>
      <c r="AH998" t="b">
        <f t="shared" si="253"/>
        <v>1</v>
      </c>
    </row>
    <row r="999" spans="4:34" hidden="1" x14ac:dyDescent="0.4">
      <c r="D999" t="s">
        <v>61</v>
      </c>
      <c r="E999" t="s">
        <v>37</v>
      </c>
      <c r="F999" s="9">
        <v>45785.666666666664</v>
      </c>
      <c r="G999" s="12">
        <v>0.72250000000000003</v>
      </c>
      <c r="H999" s="9">
        <v>45787.666666666664</v>
      </c>
      <c r="I999" s="12">
        <v>0.80859999999999999</v>
      </c>
      <c r="J999" s="12">
        <v>11108.1</v>
      </c>
      <c r="K999" s="12">
        <v>8025.67</v>
      </c>
      <c r="L999">
        <v>12.76</v>
      </c>
      <c r="M999">
        <v>943.65</v>
      </c>
      <c r="N999" s="13">
        <v>0.1176</v>
      </c>
      <c r="O999" t="s">
        <v>38</v>
      </c>
      <c r="Q999">
        <f t="shared" si="254"/>
        <v>956.40740999999957</v>
      </c>
      <c r="R999">
        <f t="shared" si="255"/>
        <v>943.64740999999958</v>
      </c>
      <c r="S999">
        <f t="shared" si="256"/>
        <v>8982.0096599999997</v>
      </c>
      <c r="U999">
        <f t="shared" si="243"/>
        <v>2283.737024</v>
      </c>
      <c r="V999">
        <f t="shared" si="257"/>
        <v>1649.9999998400001</v>
      </c>
      <c r="W999">
        <f t="shared" si="244"/>
        <v>196.6297577663999</v>
      </c>
      <c r="X999">
        <f t="shared" si="245"/>
        <v>3.4966297574463998</v>
      </c>
      <c r="Y999">
        <f t="shared" si="246"/>
        <v>193.13312800895349</v>
      </c>
      <c r="Z999">
        <f t="shared" si="247"/>
        <v>29575.012167616387</v>
      </c>
      <c r="AB999">
        <f t="shared" si="248"/>
        <v>4913.2362220000005</v>
      </c>
      <c r="AC999">
        <f t="shared" si="249"/>
        <v>3549.8131703950003</v>
      </c>
      <c r="AD999">
        <f t="shared" si="250"/>
        <v>423.02963871419979</v>
      </c>
      <c r="AE999">
        <f t="shared" si="251"/>
        <v>7.5226559795041998</v>
      </c>
      <c r="AF999">
        <f t="shared" si="252"/>
        <v>415.50698273469561</v>
      </c>
      <c r="AG999">
        <f t="shared" si="242"/>
        <v>35913.638689287196</v>
      </c>
      <c r="AH999" t="b">
        <f t="shared" si="253"/>
        <v>1</v>
      </c>
    </row>
    <row r="1000" spans="4:34" hidden="1" x14ac:dyDescent="0.4">
      <c r="D1000" t="s">
        <v>53</v>
      </c>
      <c r="E1000" t="s">
        <v>37</v>
      </c>
      <c r="F1000" s="9">
        <v>45785.166666666664</v>
      </c>
      <c r="G1000">
        <v>606.95000000000005</v>
      </c>
      <c r="H1000" s="9">
        <v>45787.166666666664</v>
      </c>
      <c r="I1000">
        <v>670.96</v>
      </c>
      <c r="J1000">
        <v>15.016</v>
      </c>
      <c r="K1000" s="12">
        <v>9114.36</v>
      </c>
      <c r="L1000">
        <v>14.39</v>
      </c>
      <c r="M1000">
        <v>946.78</v>
      </c>
      <c r="N1000" s="13">
        <v>0.10390000000000001</v>
      </c>
      <c r="O1000" t="s">
        <v>38</v>
      </c>
      <c r="Q1000">
        <f t="shared" si="254"/>
        <v>961.17415999999992</v>
      </c>
      <c r="R1000">
        <f t="shared" si="255"/>
        <v>946.78415999999993</v>
      </c>
      <c r="S1000">
        <f t="shared" si="256"/>
        <v>10075.13536</v>
      </c>
      <c r="U1000">
        <f t="shared" si="243"/>
        <v>2.7185109999999999</v>
      </c>
      <c r="V1000">
        <f t="shared" si="257"/>
        <v>1650.00025145</v>
      </c>
      <c r="W1000">
        <f t="shared" si="244"/>
        <v>174.01188910999997</v>
      </c>
      <c r="X1000">
        <f t="shared" si="245"/>
        <v>3.4740123920100001</v>
      </c>
      <c r="Y1000">
        <f t="shared" si="246"/>
        <v>170.53787671798997</v>
      </c>
      <c r="Z1000">
        <f t="shared" si="247"/>
        <v>29381.879039607433</v>
      </c>
      <c r="AB1000">
        <f t="shared" si="248"/>
        <v>5.7887779999999998</v>
      </c>
      <c r="AC1000">
        <f t="shared" si="249"/>
        <v>3513.4988071000002</v>
      </c>
      <c r="AD1000">
        <f t="shared" si="250"/>
        <v>370.53967977999991</v>
      </c>
      <c r="AE1000">
        <f t="shared" si="251"/>
        <v>7.3975372939800002</v>
      </c>
      <c r="AF1000">
        <f t="shared" si="252"/>
        <v>363.14214248601991</v>
      </c>
      <c r="AG1000">
        <f t="shared" si="242"/>
        <v>35498.1317065525</v>
      </c>
      <c r="AH1000" t="b">
        <f t="shared" si="253"/>
        <v>1</v>
      </c>
    </row>
    <row r="1001" spans="4:34" hidden="1" x14ac:dyDescent="0.4">
      <c r="D1001" t="s">
        <v>54</v>
      </c>
      <c r="E1001" t="s">
        <v>37</v>
      </c>
      <c r="F1001" s="9">
        <v>45784.833333333336</v>
      </c>
      <c r="G1001">
        <v>146.63</v>
      </c>
      <c r="H1001" s="9">
        <v>45786.833333333336</v>
      </c>
      <c r="I1001">
        <v>171.76</v>
      </c>
      <c r="J1001">
        <v>31.869</v>
      </c>
      <c r="K1001" s="12">
        <v>4673.04</v>
      </c>
      <c r="L1001">
        <v>7.61</v>
      </c>
      <c r="M1001">
        <v>793.26</v>
      </c>
      <c r="N1001" s="13">
        <v>0.16980000000000001</v>
      </c>
      <c r="O1001" t="s">
        <v>38</v>
      </c>
      <c r="Q1001">
        <f t="shared" si="254"/>
        <v>800.8679699999999</v>
      </c>
      <c r="R1001">
        <f t="shared" si="255"/>
        <v>793.25796999999989</v>
      </c>
      <c r="S1001">
        <f t="shared" si="256"/>
        <v>5473.8194399999993</v>
      </c>
      <c r="U1001">
        <f t="shared" si="243"/>
        <v>11.252813</v>
      </c>
      <c r="V1001">
        <f t="shared" si="257"/>
        <v>1649.9999701899999</v>
      </c>
      <c r="W1001">
        <f t="shared" si="244"/>
        <v>282.78319068999997</v>
      </c>
      <c r="X1001">
        <f t="shared" si="245"/>
        <v>3.5827831310699998</v>
      </c>
      <c r="Y1001">
        <f t="shared" si="246"/>
        <v>279.20040755892995</v>
      </c>
      <c r="Z1001">
        <f t="shared" si="247"/>
        <v>29211.341162889443</v>
      </c>
      <c r="AB1001">
        <f t="shared" si="248"/>
        <v>23.562951000000002</v>
      </c>
      <c r="AC1001">
        <f t="shared" si="249"/>
        <v>3455.0355051300003</v>
      </c>
      <c r="AD1001">
        <f t="shared" si="250"/>
        <v>592.13695862999998</v>
      </c>
      <c r="AE1001">
        <f t="shared" si="251"/>
        <v>7.5022079688900005</v>
      </c>
      <c r="AF1001">
        <f t="shared" si="252"/>
        <v>584.63475066110993</v>
      </c>
      <c r="AG1001">
        <f t="shared" si="242"/>
        <v>35134.989564066484</v>
      </c>
      <c r="AH1001" t="b">
        <f t="shared" si="253"/>
        <v>1</v>
      </c>
    </row>
    <row r="1002" spans="4:34" hidden="1" x14ac:dyDescent="0.4">
      <c r="D1002" t="s">
        <v>50</v>
      </c>
      <c r="E1002" t="s">
        <v>37</v>
      </c>
      <c r="F1002" s="9">
        <v>45784.833333333336</v>
      </c>
      <c r="G1002">
        <v>361.4</v>
      </c>
      <c r="H1002" s="9">
        <v>45786.833333333336</v>
      </c>
      <c r="I1002">
        <v>426.5</v>
      </c>
      <c r="J1002">
        <v>34.155999999999999</v>
      </c>
      <c r="K1002" s="12">
        <v>12343.99</v>
      </c>
      <c r="L1002">
        <v>20.18</v>
      </c>
      <c r="M1002" s="12">
        <v>2203.37</v>
      </c>
      <c r="N1002" s="13">
        <v>0.17849999999999999</v>
      </c>
      <c r="O1002" t="s">
        <v>38</v>
      </c>
      <c r="Q1002">
        <f t="shared" si="254"/>
        <v>2223.5556000000006</v>
      </c>
      <c r="R1002">
        <f t="shared" si="255"/>
        <v>2203.3756000000008</v>
      </c>
      <c r="S1002">
        <f t="shared" si="256"/>
        <v>14567.534</v>
      </c>
      <c r="U1002">
        <f t="shared" si="243"/>
        <v>4.5655780000000004</v>
      </c>
      <c r="V1002">
        <f t="shared" si="257"/>
        <v>1649.9998892000001</v>
      </c>
      <c r="W1002">
        <f t="shared" si="244"/>
        <v>297.21912780000014</v>
      </c>
      <c r="X1002">
        <f t="shared" si="245"/>
        <v>3.5972189062000006</v>
      </c>
      <c r="Y1002">
        <f t="shared" si="246"/>
        <v>293.62190889380014</v>
      </c>
      <c r="Z1002">
        <f t="shared" si="247"/>
        <v>28932.140755330514</v>
      </c>
      <c r="AB1002">
        <f t="shared" si="248"/>
        <v>9.3929919999999996</v>
      </c>
      <c r="AC1002">
        <f t="shared" si="249"/>
        <v>3394.6273087999998</v>
      </c>
      <c r="AD1002">
        <f t="shared" si="250"/>
        <v>611.48377920000019</v>
      </c>
      <c r="AE1002">
        <f t="shared" si="251"/>
        <v>7.4007383968000005</v>
      </c>
      <c r="AF1002">
        <f t="shared" si="252"/>
        <v>604.08304080320022</v>
      </c>
      <c r="AG1002">
        <f t="shared" ref="AG1002:AG1065" si="258">AG1003*AH1002 + (1-AH1002)*AI1002+AF1002</f>
        <v>34550.354813405371</v>
      </c>
      <c r="AH1002" t="b">
        <f t="shared" si="253"/>
        <v>1</v>
      </c>
    </row>
    <row r="1003" spans="4:34" hidden="1" x14ac:dyDescent="0.4">
      <c r="D1003" t="s">
        <v>43</v>
      </c>
      <c r="E1003" t="s">
        <v>37</v>
      </c>
      <c r="F1003" s="9">
        <v>45784.375</v>
      </c>
      <c r="G1003">
        <v>3.4055</v>
      </c>
      <c r="H1003" s="9">
        <v>45786.375</v>
      </c>
      <c r="I1003">
        <v>3.9805000000000001</v>
      </c>
      <c r="J1003" s="12">
        <v>536.6</v>
      </c>
      <c r="K1003" s="12">
        <v>1827.45</v>
      </c>
      <c r="L1003">
        <v>2.97</v>
      </c>
      <c r="M1003">
        <v>305.57</v>
      </c>
      <c r="N1003" s="13">
        <v>0.16719999999999999</v>
      </c>
      <c r="O1003" t="s">
        <v>38</v>
      </c>
      <c r="Q1003">
        <f t="shared" si="254"/>
        <v>308.54500000000013</v>
      </c>
      <c r="R1003">
        <f t="shared" si="255"/>
        <v>305.5750000000001</v>
      </c>
      <c r="S1003">
        <f t="shared" si="256"/>
        <v>2135.9363000000003</v>
      </c>
      <c r="U1003">
        <f t="shared" si="243"/>
        <v>484.51035100000001</v>
      </c>
      <c r="V1003">
        <f t="shared" si="257"/>
        <v>1650.0000003305001</v>
      </c>
      <c r="W1003">
        <f t="shared" si="244"/>
        <v>278.5934518250001</v>
      </c>
      <c r="X1003">
        <f t="shared" si="245"/>
        <v>3.5785934524860004</v>
      </c>
      <c r="Y1003">
        <f t="shared" si="246"/>
        <v>275.01485837251408</v>
      </c>
      <c r="Z1003">
        <f t="shared" si="247"/>
        <v>28638.518846436713</v>
      </c>
      <c r="AB1003">
        <f t="shared" si="248"/>
        <v>980.46530399999995</v>
      </c>
      <c r="AC1003">
        <f t="shared" si="249"/>
        <v>3338.9745927719996</v>
      </c>
      <c r="AD1003">
        <f t="shared" si="250"/>
        <v>563.7675498000001</v>
      </c>
      <c r="AE1003">
        <f t="shared" si="251"/>
        <v>7.2417167353440002</v>
      </c>
      <c r="AF1003">
        <f t="shared" si="252"/>
        <v>556.52583306465613</v>
      </c>
      <c r="AG1003">
        <f t="shared" si="258"/>
        <v>33946.271772602173</v>
      </c>
      <c r="AH1003" t="b">
        <f t="shared" si="253"/>
        <v>1</v>
      </c>
    </row>
    <row r="1004" spans="4:34" hidden="1" x14ac:dyDescent="0.4">
      <c r="D1004" t="s">
        <v>48</v>
      </c>
      <c r="E1004" t="s">
        <v>37</v>
      </c>
      <c r="F1004" s="9">
        <v>45784.333333333336</v>
      </c>
      <c r="G1004">
        <v>0.13150000000000001</v>
      </c>
      <c r="H1004" s="9">
        <v>45786.333333333336</v>
      </c>
      <c r="I1004">
        <v>0.1648</v>
      </c>
      <c r="J1004" s="12">
        <v>21758.799999999999</v>
      </c>
      <c r="K1004" s="12">
        <v>2861.29</v>
      </c>
      <c r="L1004">
        <v>4.84</v>
      </c>
      <c r="M1004">
        <v>719.73</v>
      </c>
      <c r="N1004" s="13">
        <v>0.2515</v>
      </c>
      <c r="O1004" t="s">
        <v>38</v>
      </c>
      <c r="Q1004">
        <f t="shared" si="254"/>
        <v>724.56803999999988</v>
      </c>
      <c r="R1004">
        <f t="shared" si="255"/>
        <v>719.72803999999985</v>
      </c>
      <c r="S1004">
        <f t="shared" si="256"/>
        <v>3585.8502399999998</v>
      </c>
      <c r="U1004">
        <f t="shared" si="243"/>
        <v>12547.528517000001</v>
      </c>
      <c r="V1004">
        <f t="shared" si="257"/>
        <v>1649.9999999855002</v>
      </c>
      <c r="W1004">
        <f t="shared" si="244"/>
        <v>417.8326996161</v>
      </c>
      <c r="X1004">
        <f t="shared" si="245"/>
        <v>3.7178326995871003</v>
      </c>
      <c r="Y1004">
        <f t="shared" si="246"/>
        <v>414.11486691651288</v>
      </c>
      <c r="Z1004">
        <f t="shared" si="247"/>
        <v>28363.5039880642</v>
      </c>
      <c r="AB1004">
        <f t="shared" si="248"/>
        <v>24769.773213</v>
      </c>
      <c r="AC1004">
        <f t="shared" si="249"/>
        <v>3257.2251775095001</v>
      </c>
      <c r="AD1004">
        <f t="shared" si="250"/>
        <v>824.83344799289989</v>
      </c>
      <c r="AE1004">
        <f t="shared" si="251"/>
        <v>7.3392838030118996</v>
      </c>
      <c r="AF1004">
        <f t="shared" si="252"/>
        <v>817.49416418988801</v>
      </c>
      <c r="AG1004">
        <f t="shared" si="258"/>
        <v>33389.745939537519</v>
      </c>
      <c r="AH1004" t="b">
        <f t="shared" si="253"/>
        <v>1</v>
      </c>
    </row>
    <row r="1005" spans="4:34" hidden="1" x14ac:dyDescent="0.4">
      <c r="D1005" t="s">
        <v>56</v>
      </c>
      <c r="E1005" t="s">
        <v>37</v>
      </c>
      <c r="F1005" s="9">
        <v>45783.791666666664</v>
      </c>
      <c r="G1005" s="12">
        <v>1767.89</v>
      </c>
      <c r="H1005" s="9">
        <v>45786.291666666664</v>
      </c>
      <c r="I1005" s="12">
        <v>2214.34</v>
      </c>
      <c r="J1005" s="12">
        <v>2.9424000000000001</v>
      </c>
      <c r="K1005" s="12">
        <v>5201.9799999999996</v>
      </c>
      <c r="L1005">
        <v>8.7899999999999991</v>
      </c>
      <c r="M1005" s="12">
        <v>1304.8499999999999</v>
      </c>
      <c r="N1005" s="13">
        <v>0.25080000000000002</v>
      </c>
      <c r="O1005" t="s">
        <v>57</v>
      </c>
      <c r="Q1005">
        <f t="shared" si="254"/>
        <v>1313.6344800000002</v>
      </c>
      <c r="R1005">
        <f t="shared" si="255"/>
        <v>1304.8444800000002</v>
      </c>
      <c r="S1005">
        <f t="shared" si="256"/>
        <v>6515.474016000001</v>
      </c>
      <c r="U1005">
        <f t="shared" si="243"/>
        <v>0.93331600000000003</v>
      </c>
      <c r="V1005">
        <f t="shared" si="257"/>
        <v>1650.0000232400002</v>
      </c>
      <c r="W1005">
        <f t="shared" si="244"/>
        <v>416.67892820000003</v>
      </c>
      <c r="X1005">
        <f t="shared" si="245"/>
        <v>3.7166789746800006</v>
      </c>
      <c r="Y1005">
        <f t="shared" si="246"/>
        <v>412.96224922532002</v>
      </c>
      <c r="Z1005">
        <f t="shared" si="247"/>
        <v>27949.389121147688</v>
      </c>
      <c r="AB1005">
        <f t="shared" si="248"/>
        <v>1.79745</v>
      </c>
      <c r="AC1005">
        <f t="shared" si="249"/>
        <v>3177.6938805</v>
      </c>
      <c r="AD1005">
        <f t="shared" si="250"/>
        <v>802.47155250000003</v>
      </c>
      <c r="AE1005">
        <f t="shared" si="251"/>
        <v>7.1578593135000004</v>
      </c>
      <c r="AF1005">
        <f t="shared" si="252"/>
        <v>795.31369318650002</v>
      </c>
      <c r="AG1005">
        <f t="shared" si="258"/>
        <v>32572.251775347631</v>
      </c>
      <c r="AH1005" t="b">
        <f t="shared" si="253"/>
        <v>1</v>
      </c>
    </row>
    <row r="1006" spans="4:34" hidden="1" x14ac:dyDescent="0.4">
      <c r="D1006" t="s">
        <v>55</v>
      </c>
      <c r="E1006" t="s">
        <v>37</v>
      </c>
      <c r="F1006" s="9">
        <v>45784.25</v>
      </c>
      <c r="G1006">
        <v>5.8629999999999999E-5</v>
      </c>
      <c r="H1006" s="9">
        <v>45786.25</v>
      </c>
      <c r="I1006">
        <v>6.4610000000000007E-5</v>
      </c>
      <c r="J1006" s="12">
        <v>100718981.91</v>
      </c>
      <c r="K1006" s="12">
        <v>5905.15</v>
      </c>
      <c r="L1006">
        <v>9.31</v>
      </c>
      <c r="M1006">
        <v>592.99</v>
      </c>
      <c r="N1006" s="13">
        <v>0.1004</v>
      </c>
      <c r="O1006" t="s">
        <v>38</v>
      </c>
      <c r="Q1006">
        <f t="shared" si="254"/>
        <v>602.29951182180071</v>
      </c>
      <c r="R1006">
        <f t="shared" si="255"/>
        <v>592.98951182180076</v>
      </c>
      <c r="S1006">
        <f t="shared" si="256"/>
        <v>6507.4534212051003</v>
      </c>
      <c r="U1006">
        <f t="shared" si="243"/>
        <v>28142589.118198998</v>
      </c>
      <c r="V1006">
        <f t="shared" si="257"/>
        <v>1650.0000000000073</v>
      </c>
      <c r="W1006">
        <f t="shared" si="244"/>
        <v>168.29268292683022</v>
      </c>
      <c r="X1006">
        <f t="shared" si="245"/>
        <v>3.4682926829268439</v>
      </c>
      <c r="Y1006">
        <f t="shared" si="246"/>
        <v>164.82439024390339</v>
      </c>
      <c r="Z1006">
        <f t="shared" si="247"/>
        <v>27536.426871922369</v>
      </c>
      <c r="AB1006">
        <f t="shared" si="248"/>
        <v>53663050.443199001</v>
      </c>
      <c r="AC1006">
        <f t="shared" si="249"/>
        <v>3146.2646474847575</v>
      </c>
      <c r="AD1006">
        <f t="shared" si="250"/>
        <v>320.90504165033042</v>
      </c>
      <c r="AE1006">
        <f t="shared" si="251"/>
        <v>6.6134343366198438</v>
      </c>
      <c r="AF1006">
        <f t="shared" si="252"/>
        <v>314.29160731371059</v>
      </c>
      <c r="AG1006">
        <f t="shared" si="258"/>
        <v>31776.93808216113</v>
      </c>
      <c r="AH1006" t="b">
        <f t="shared" si="253"/>
        <v>1</v>
      </c>
    </row>
    <row r="1007" spans="4:34" hidden="1" x14ac:dyDescent="0.4">
      <c r="D1007" t="s">
        <v>59</v>
      </c>
      <c r="E1007" t="s">
        <v>37</v>
      </c>
      <c r="F1007" s="9">
        <v>45783.666666666664</v>
      </c>
      <c r="G1007" s="12">
        <v>94142</v>
      </c>
      <c r="H1007" s="9">
        <v>45786.166666666664</v>
      </c>
      <c r="I1007" s="12">
        <v>102584</v>
      </c>
      <c r="J1007">
        <v>0.10888</v>
      </c>
      <c r="K1007" s="12">
        <v>10250.75</v>
      </c>
      <c r="L1007">
        <v>16.059999999999999</v>
      </c>
      <c r="M1007">
        <v>903.1</v>
      </c>
      <c r="N1007" s="13">
        <v>8.8099999999999998E-2</v>
      </c>
      <c r="O1007" t="s">
        <v>57</v>
      </c>
      <c r="Q1007">
        <f t="shared" si="254"/>
        <v>919.16496000000006</v>
      </c>
      <c r="R1007">
        <f t="shared" si="255"/>
        <v>903.10496000000012</v>
      </c>
      <c r="S1007">
        <f t="shared" si="256"/>
        <v>11169.34592</v>
      </c>
      <c r="U1007">
        <f t="shared" si="243"/>
        <v>1.7527000000000001E-2</v>
      </c>
      <c r="V1007">
        <f t="shared" si="257"/>
        <v>1650.026834</v>
      </c>
      <c r="W1007">
        <f t="shared" si="244"/>
        <v>147.96293400000002</v>
      </c>
      <c r="X1007">
        <f t="shared" si="245"/>
        <v>3.448016602</v>
      </c>
      <c r="Y1007">
        <f t="shared" si="246"/>
        <v>144.51491739800002</v>
      </c>
      <c r="Z1007">
        <f t="shared" si="247"/>
        <v>27371.602481678467</v>
      </c>
      <c r="AB1007">
        <f t="shared" si="248"/>
        <v>3.313E-2</v>
      </c>
      <c r="AC1007">
        <f t="shared" si="249"/>
        <v>3118.9244600000002</v>
      </c>
      <c r="AD1007">
        <f t="shared" si="250"/>
        <v>279.68346000000003</v>
      </c>
      <c r="AE1007">
        <f t="shared" si="251"/>
        <v>6.5175323799999996</v>
      </c>
      <c r="AF1007">
        <f t="shared" si="252"/>
        <v>273.16592762000005</v>
      </c>
      <c r="AG1007">
        <f t="shared" si="258"/>
        <v>31462.646474847421</v>
      </c>
      <c r="AH1007" t="b">
        <f t="shared" si="253"/>
        <v>1</v>
      </c>
    </row>
    <row r="1008" spans="4:34" hidden="1" x14ac:dyDescent="0.4">
      <c r="D1008" t="s">
        <v>60</v>
      </c>
      <c r="E1008" t="s">
        <v>37</v>
      </c>
      <c r="F1008" s="9">
        <v>45783.583333333336</v>
      </c>
      <c r="G1008">
        <v>2.1011000000000002</v>
      </c>
      <c r="H1008" s="9">
        <v>45786.083333333336</v>
      </c>
      <c r="I1008">
        <v>2.3170000000000002</v>
      </c>
      <c r="J1008" s="12">
        <v>1029.9000000000001</v>
      </c>
      <c r="K1008" s="12">
        <v>2164.0500000000002</v>
      </c>
      <c r="L1008">
        <v>3.41</v>
      </c>
      <c r="M1008">
        <v>218.94</v>
      </c>
      <c r="N1008" s="13">
        <v>0.1012</v>
      </c>
      <c r="O1008" t="s">
        <v>57</v>
      </c>
      <c r="Q1008">
        <f t="shared" si="254"/>
        <v>222.35541000000001</v>
      </c>
      <c r="R1008">
        <f t="shared" si="255"/>
        <v>218.94541000000001</v>
      </c>
      <c r="S1008">
        <f t="shared" si="256"/>
        <v>2386.2783000000004</v>
      </c>
      <c r="U1008">
        <f t="shared" si="243"/>
        <v>785.30293700000004</v>
      </c>
      <c r="V1008">
        <f t="shared" si="257"/>
        <v>1650.0000009307003</v>
      </c>
      <c r="W1008">
        <f t="shared" si="244"/>
        <v>169.54690409829999</v>
      </c>
      <c r="X1008">
        <f t="shared" si="245"/>
        <v>3.4695469059597013</v>
      </c>
      <c r="Y1008">
        <f t="shared" si="246"/>
        <v>166.07735719234029</v>
      </c>
      <c r="Z1008">
        <f t="shared" si="247"/>
        <v>27227.087564280468</v>
      </c>
      <c r="AB1008">
        <f t="shared" si="248"/>
        <v>1469.6434039999999</v>
      </c>
      <c r="AC1008">
        <f t="shared" si="249"/>
        <v>3087.8677561444001</v>
      </c>
      <c r="AD1008">
        <f t="shared" si="250"/>
        <v>317.29601092359997</v>
      </c>
      <c r="AE1008">
        <f t="shared" si="251"/>
        <v>6.4930315232124016</v>
      </c>
      <c r="AF1008">
        <f t="shared" si="252"/>
        <v>310.80297940038758</v>
      </c>
      <c r="AG1008">
        <f t="shared" si="258"/>
        <v>31189.48054722742</v>
      </c>
      <c r="AH1008" t="b">
        <f t="shared" si="253"/>
        <v>1</v>
      </c>
    </row>
    <row r="1009" spans="4:34" hidden="1" x14ac:dyDescent="0.4">
      <c r="D1009" t="s">
        <v>58</v>
      </c>
      <c r="E1009" t="s">
        <v>37</v>
      </c>
      <c r="F1009" s="9">
        <v>45783.791666666664</v>
      </c>
      <c r="G1009" s="12">
        <v>13.42</v>
      </c>
      <c r="H1009" s="9">
        <v>45785.791666666664</v>
      </c>
      <c r="I1009" s="12">
        <v>15.26</v>
      </c>
      <c r="J1009">
        <v>526.04999999999995</v>
      </c>
      <c r="K1009" s="12">
        <v>7059.66</v>
      </c>
      <c r="L1009">
        <v>11.32</v>
      </c>
      <c r="M1009">
        <v>956.62</v>
      </c>
      <c r="N1009" s="13">
        <v>0.13550000000000001</v>
      </c>
      <c r="O1009" t="s">
        <v>38</v>
      </c>
      <c r="Q1009">
        <f t="shared" si="254"/>
        <v>967.93199999999979</v>
      </c>
      <c r="R1009">
        <f t="shared" si="255"/>
        <v>956.61199999999974</v>
      </c>
      <c r="S1009">
        <f t="shared" si="256"/>
        <v>8027.5229999999992</v>
      </c>
      <c r="U1009">
        <f t="shared" si="243"/>
        <v>122.95081999999999</v>
      </c>
      <c r="V1009">
        <f t="shared" si="257"/>
        <v>1650.0000043999999</v>
      </c>
      <c r="W1009">
        <f t="shared" si="244"/>
        <v>226.22950879999996</v>
      </c>
      <c r="X1009">
        <f t="shared" si="245"/>
        <v>3.5262295176</v>
      </c>
      <c r="Y1009">
        <f t="shared" si="246"/>
        <v>222.70327928239996</v>
      </c>
      <c r="Z1009">
        <f t="shared" si="247"/>
        <v>27061.010207088126</v>
      </c>
      <c r="AB1009">
        <f t="shared" si="248"/>
        <v>227.030203</v>
      </c>
      <c r="AC1009">
        <f t="shared" si="249"/>
        <v>3046.74532426</v>
      </c>
      <c r="AD1009">
        <f t="shared" si="250"/>
        <v>417.73557351999995</v>
      </c>
      <c r="AE1009">
        <f t="shared" si="251"/>
        <v>6.5112262220400003</v>
      </c>
      <c r="AF1009">
        <f t="shared" si="252"/>
        <v>411.22434729795992</v>
      </c>
      <c r="AG1009">
        <f t="shared" si="258"/>
        <v>30878.677567827031</v>
      </c>
      <c r="AH1009" t="b">
        <f t="shared" si="253"/>
        <v>1</v>
      </c>
    </row>
    <row r="1010" spans="4:34" hidden="1" x14ac:dyDescent="0.4">
      <c r="D1010" t="s">
        <v>61</v>
      </c>
      <c r="E1010" t="s">
        <v>37</v>
      </c>
      <c r="F1010" s="9">
        <v>45783.666666666664</v>
      </c>
      <c r="G1010">
        <v>0.65090000000000003</v>
      </c>
      <c r="H1010" s="9">
        <v>45785.666666666664</v>
      </c>
      <c r="I1010">
        <v>0.72250000000000003</v>
      </c>
      <c r="J1010" s="12">
        <v>12197.8</v>
      </c>
      <c r="K1010" s="12">
        <v>7939.59</v>
      </c>
      <c r="L1010">
        <v>12.56</v>
      </c>
      <c r="M1010">
        <v>860.8</v>
      </c>
      <c r="N1010" s="13">
        <v>0.1084</v>
      </c>
      <c r="O1010" t="s">
        <v>38</v>
      </c>
      <c r="Q1010">
        <f t="shared" si="254"/>
        <v>873.36247999999989</v>
      </c>
      <c r="R1010">
        <f t="shared" si="255"/>
        <v>860.80247999999995</v>
      </c>
      <c r="S1010">
        <f t="shared" si="256"/>
        <v>8812.9105</v>
      </c>
      <c r="U1010">
        <f t="shared" si="243"/>
        <v>2534.9516050000002</v>
      </c>
      <c r="V1010">
        <f t="shared" si="257"/>
        <v>1649.9999996945003</v>
      </c>
      <c r="W1010">
        <f t="shared" si="244"/>
        <v>181.50253491800001</v>
      </c>
      <c r="X1010">
        <f t="shared" si="245"/>
        <v>3.4815025343070007</v>
      </c>
      <c r="Y1010">
        <f t="shared" si="246"/>
        <v>178.02103238369301</v>
      </c>
      <c r="Z1010">
        <f t="shared" si="247"/>
        <v>26838.306927805726</v>
      </c>
      <c r="AB1010">
        <f t="shared" si="248"/>
        <v>4630.8563409999997</v>
      </c>
      <c r="AC1010">
        <f t="shared" si="249"/>
        <v>3014.2243923568999</v>
      </c>
      <c r="AD1010">
        <f t="shared" si="250"/>
        <v>331.56931401559996</v>
      </c>
      <c r="AE1010">
        <f t="shared" si="251"/>
        <v>6.3600180987293999</v>
      </c>
      <c r="AF1010">
        <f t="shared" si="252"/>
        <v>325.20929591687053</v>
      </c>
      <c r="AG1010">
        <f t="shared" si="258"/>
        <v>30467.453220529071</v>
      </c>
      <c r="AH1010" t="b">
        <f t="shared" si="253"/>
        <v>1</v>
      </c>
    </row>
    <row r="1011" spans="4:34" hidden="1" x14ac:dyDescent="0.4">
      <c r="D1011" t="s">
        <v>52</v>
      </c>
      <c r="E1011" t="s">
        <v>37</v>
      </c>
      <c r="F1011" s="9">
        <v>45783.583333333336</v>
      </c>
      <c r="G1011">
        <v>4.4980000000000002</v>
      </c>
      <c r="H1011" s="9">
        <v>45785.583333333336</v>
      </c>
      <c r="I1011">
        <v>4.8719999999999999</v>
      </c>
      <c r="J1011">
        <v>508.99</v>
      </c>
      <c r="K1011" s="12">
        <v>2289.4499999999998</v>
      </c>
      <c r="L1011">
        <v>3.58</v>
      </c>
      <c r="M1011">
        <v>186.79</v>
      </c>
      <c r="N1011" s="13">
        <v>8.1600000000000006E-2</v>
      </c>
      <c r="O1011" t="s">
        <v>38</v>
      </c>
      <c r="Q1011">
        <f t="shared" si="254"/>
        <v>190.36225999999982</v>
      </c>
      <c r="R1011">
        <f t="shared" si="255"/>
        <v>186.78225999999981</v>
      </c>
      <c r="S1011">
        <f t="shared" si="256"/>
        <v>2479.7992800000002</v>
      </c>
      <c r="U1011">
        <f t="shared" si="243"/>
        <v>366.829702</v>
      </c>
      <c r="V1011">
        <f t="shared" si="257"/>
        <v>1649.9999995960002</v>
      </c>
      <c r="W1011">
        <f t="shared" si="244"/>
        <v>137.19430854799987</v>
      </c>
      <c r="X1011">
        <f t="shared" si="245"/>
        <v>3.4371943077400005</v>
      </c>
      <c r="Y1011">
        <f t="shared" si="246"/>
        <v>133.75711424025985</v>
      </c>
      <c r="Z1011">
        <f t="shared" si="247"/>
        <v>26660.285895422032</v>
      </c>
      <c r="AB1011">
        <f t="shared" si="248"/>
        <v>664.73679300000003</v>
      </c>
      <c r="AC1011">
        <f t="shared" si="249"/>
        <v>2989.9860949140002</v>
      </c>
      <c r="AD1011">
        <f t="shared" si="250"/>
        <v>248.61156058199978</v>
      </c>
      <c r="AE1011">
        <f t="shared" si="251"/>
        <v>6.2285837504100012</v>
      </c>
      <c r="AF1011">
        <f t="shared" si="252"/>
        <v>242.38297683158979</v>
      </c>
      <c r="AG1011">
        <f t="shared" si="258"/>
        <v>30142.243924612201</v>
      </c>
      <c r="AH1011" t="b">
        <f t="shared" si="253"/>
        <v>1</v>
      </c>
    </row>
    <row r="1012" spans="4:34" hidden="1" x14ac:dyDescent="0.4">
      <c r="D1012" t="s">
        <v>53</v>
      </c>
      <c r="E1012" t="s">
        <v>37</v>
      </c>
      <c r="F1012" s="9">
        <v>45783</v>
      </c>
      <c r="G1012">
        <v>599.65</v>
      </c>
      <c r="H1012" s="9">
        <v>45785</v>
      </c>
      <c r="I1012">
        <v>601.97</v>
      </c>
      <c r="J1012" s="12">
        <v>15.195</v>
      </c>
      <c r="K1012" s="12">
        <v>9112.2000000000007</v>
      </c>
      <c r="L1012">
        <v>13.69</v>
      </c>
      <c r="M1012">
        <v>21.56</v>
      </c>
      <c r="N1012" s="13">
        <v>2.3999999999999998E-3</v>
      </c>
      <c r="O1012" t="s">
        <v>38</v>
      </c>
      <c r="Q1012">
        <f t="shared" si="254"/>
        <v>35.252400000000762</v>
      </c>
      <c r="R1012">
        <f t="shared" si="255"/>
        <v>21.562400000000764</v>
      </c>
      <c r="S1012">
        <f t="shared" si="256"/>
        <v>9146.934150000001</v>
      </c>
      <c r="U1012">
        <f t="shared" si="243"/>
        <v>2.7516050000000001</v>
      </c>
      <c r="V1012">
        <f t="shared" si="257"/>
        <v>1649.99993825</v>
      </c>
      <c r="W1012">
        <f t="shared" si="244"/>
        <v>6.3837236000001374</v>
      </c>
      <c r="X1012">
        <f t="shared" si="245"/>
        <v>3.3063836000999998</v>
      </c>
      <c r="Y1012">
        <f t="shared" si="246"/>
        <v>3.0773399999001376</v>
      </c>
      <c r="Z1012">
        <f t="shared" si="247"/>
        <v>26526.528781181773</v>
      </c>
      <c r="AB1012">
        <f t="shared" si="248"/>
        <v>4.9852889999999999</v>
      </c>
      <c r="AC1012">
        <f t="shared" si="249"/>
        <v>2989.42854885</v>
      </c>
      <c r="AD1012">
        <f t="shared" si="250"/>
        <v>11.56587048000025</v>
      </c>
      <c r="AE1012">
        <f t="shared" si="251"/>
        <v>5.990422968179999</v>
      </c>
      <c r="AF1012">
        <f t="shared" si="252"/>
        <v>5.5754475118202507</v>
      </c>
      <c r="AG1012">
        <f t="shared" si="258"/>
        <v>29899.860947780613</v>
      </c>
      <c r="AH1012" t="b">
        <f t="shared" si="253"/>
        <v>1</v>
      </c>
    </row>
    <row r="1013" spans="4:34" hidden="1" x14ac:dyDescent="0.4">
      <c r="D1013" t="s">
        <v>54</v>
      </c>
      <c r="E1013" t="s">
        <v>37</v>
      </c>
      <c r="F1013" s="9">
        <v>45782.625</v>
      </c>
      <c r="G1013">
        <v>144.91</v>
      </c>
      <c r="H1013" s="9">
        <v>45784.625</v>
      </c>
      <c r="I1013">
        <v>146.86000000000001</v>
      </c>
      <c r="J1013" s="12">
        <v>32.209000000000003</v>
      </c>
      <c r="K1013" s="12">
        <v>4667.47</v>
      </c>
      <c r="L1013">
        <v>7.05</v>
      </c>
      <c r="M1013">
        <v>55.76</v>
      </c>
      <c r="N1013" s="13">
        <v>1.1900000000000001E-2</v>
      </c>
      <c r="O1013" t="s">
        <v>38</v>
      </c>
      <c r="Q1013">
        <f t="shared" si="254"/>
        <v>62.807550000000553</v>
      </c>
      <c r="R1013">
        <f t="shared" si="255"/>
        <v>55.757550000000556</v>
      </c>
      <c r="S1013">
        <f t="shared" si="256"/>
        <v>4730.2137400000011</v>
      </c>
      <c r="U1013">
        <f t="shared" si="243"/>
        <v>11.386378000000001</v>
      </c>
      <c r="V1013">
        <f t="shared" si="257"/>
        <v>1650.0000359800001</v>
      </c>
      <c r="W1013">
        <f t="shared" si="244"/>
        <v>22.203437100000194</v>
      </c>
      <c r="X1013">
        <f t="shared" si="245"/>
        <v>3.3222035090599999</v>
      </c>
      <c r="Y1013">
        <f t="shared" si="246"/>
        <v>18.881233590940194</v>
      </c>
      <c r="Z1013">
        <f t="shared" si="247"/>
        <v>26523.451441181871</v>
      </c>
      <c r="AB1013">
        <f t="shared" si="248"/>
        <v>20.605972999999999</v>
      </c>
      <c r="AC1013">
        <f t="shared" si="249"/>
        <v>2986.0115474299996</v>
      </c>
      <c r="AD1013">
        <f t="shared" si="250"/>
        <v>40.181647350000347</v>
      </c>
      <c r="AE1013">
        <f t="shared" si="251"/>
        <v>6.0122047422099989</v>
      </c>
      <c r="AF1013">
        <f t="shared" si="252"/>
        <v>34.169442607790344</v>
      </c>
      <c r="AG1013">
        <f t="shared" si="258"/>
        <v>29894.285500268794</v>
      </c>
      <c r="AH1013" t="b">
        <f t="shared" si="253"/>
        <v>1</v>
      </c>
    </row>
    <row r="1014" spans="4:34" hidden="1" x14ac:dyDescent="0.4">
      <c r="D1014" t="s">
        <v>43</v>
      </c>
      <c r="E1014" t="s">
        <v>37</v>
      </c>
      <c r="F1014" s="9">
        <v>45782.166666666664</v>
      </c>
      <c r="G1014">
        <v>3.3155999999999999</v>
      </c>
      <c r="H1014" s="9">
        <v>45784.166666666664</v>
      </c>
      <c r="I1014">
        <v>3.3828</v>
      </c>
      <c r="J1014">
        <v>550.1</v>
      </c>
      <c r="K1014" s="12">
        <v>1824.03</v>
      </c>
      <c r="L1014">
        <v>2.76</v>
      </c>
      <c r="M1014">
        <v>34.200000000000003</v>
      </c>
      <c r="N1014" s="13">
        <v>1.8800000000000001E-2</v>
      </c>
      <c r="O1014" t="s">
        <v>38</v>
      </c>
      <c r="Q1014">
        <f t="shared" si="254"/>
        <v>36.96672000000008</v>
      </c>
      <c r="R1014">
        <f t="shared" si="255"/>
        <v>34.206720000000082</v>
      </c>
      <c r="S1014">
        <f t="shared" si="256"/>
        <v>1860.8782800000001</v>
      </c>
      <c r="U1014">
        <f t="shared" si="243"/>
        <v>497.64748500000002</v>
      </c>
      <c r="V1014">
        <f t="shared" si="257"/>
        <v>1650.000001266</v>
      </c>
      <c r="W1014">
        <f t="shared" si="244"/>
        <v>33.441910992000075</v>
      </c>
      <c r="X1014">
        <f t="shared" si="245"/>
        <v>3.3334419135239997</v>
      </c>
      <c r="Y1014">
        <f t="shared" si="246"/>
        <v>30.108469078476077</v>
      </c>
      <c r="Z1014">
        <f t="shared" si="247"/>
        <v>26504.570207590932</v>
      </c>
      <c r="AB1014">
        <f t="shared" si="248"/>
        <v>898.95427299999994</v>
      </c>
      <c r="AC1014">
        <f t="shared" si="249"/>
        <v>2980.5727875587995</v>
      </c>
      <c r="AD1014">
        <f t="shared" si="250"/>
        <v>60.409727145600129</v>
      </c>
      <c r="AE1014">
        <f t="shared" si="251"/>
        <v>6.0215553022631987</v>
      </c>
      <c r="AF1014">
        <f t="shared" si="252"/>
        <v>54.388171843336934</v>
      </c>
      <c r="AG1014">
        <f t="shared" si="258"/>
        <v>29860.116057661002</v>
      </c>
      <c r="AH1014" t="b">
        <f t="shared" si="253"/>
        <v>1</v>
      </c>
    </row>
    <row r="1015" spans="4:34" hidden="1" x14ac:dyDescent="0.4">
      <c r="D1015" t="s">
        <v>50</v>
      </c>
      <c r="E1015" t="s">
        <v>37</v>
      </c>
      <c r="F1015" s="9">
        <v>45782.083333333336</v>
      </c>
      <c r="G1015" s="12">
        <v>346.1</v>
      </c>
      <c r="H1015" s="9">
        <v>45784.083333333336</v>
      </c>
      <c r="I1015" s="12">
        <v>384</v>
      </c>
      <c r="J1015">
        <v>35.2851</v>
      </c>
      <c r="K1015" s="12">
        <v>12212.19</v>
      </c>
      <c r="L1015">
        <v>19.32</v>
      </c>
      <c r="M1015" s="12">
        <v>1317.98</v>
      </c>
      <c r="N1015" s="13">
        <v>0.1079</v>
      </c>
      <c r="O1015" t="s">
        <v>38</v>
      </c>
      <c r="Q1015">
        <f t="shared" si="254"/>
        <v>1337.3052899999991</v>
      </c>
      <c r="R1015">
        <f t="shared" si="255"/>
        <v>1317.9852899999992</v>
      </c>
      <c r="S1015">
        <f t="shared" si="256"/>
        <v>13549.4784</v>
      </c>
      <c r="U1015">
        <f t="shared" si="243"/>
        <v>4.7674079999999996</v>
      </c>
      <c r="V1015">
        <f t="shared" si="257"/>
        <v>1649.9999088</v>
      </c>
      <c r="W1015">
        <f t="shared" si="244"/>
        <v>180.68476319999988</v>
      </c>
      <c r="X1015">
        <f t="shared" si="245"/>
        <v>3.4806845808000002</v>
      </c>
      <c r="Y1015">
        <f t="shared" si="246"/>
        <v>177.20407861919989</v>
      </c>
      <c r="Z1015">
        <f t="shared" si="247"/>
        <v>26474.461738512455</v>
      </c>
      <c r="AB1015">
        <f t="shared" si="248"/>
        <v>8.5203769999999999</v>
      </c>
      <c r="AC1015">
        <f t="shared" si="249"/>
        <v>2948.9024797000002</v>
      </c>
      <c r="AD1015">
        <f t="shared" si="250"/>
        <v>322.92228829999982</v>
      </c>
      <c r="AE1015">
        <f t="shared" si="251"/>
        <v>6.2207272477000002</v>
      </c>
      <c r="AF1015">
        <f t="shared" si="252"/>
        <v>316.70156105229984</v>
      </c>
      <c r="AG1015">
        <f t="shared" si="258"/>
        <v>29805.727885817665</v>
      </c>
      <c r="AH1015" t="b">
        <f t="shared" si="253"/>
        <v>1</v>
      </c>
    </row>
    <row r="1016" spans="4:34" hidden="1" x14ac:dyDescent="0.4">
      <c r="D1016" t="s">
        <v>53</v>
      </c>
      <c r="E1016" t="s">
        <v>37</v>
      </c>
      <c r="F1016" s="9">
        <v>45780.875</v>
      </c>
      <c r="G1016">
        <v>600.09</v>
      </c>
      <c r="H1016" s="9">
        <v>45782.875</v>
      </c>
      <c r="I1016">
        <v>599.38</v>
      </c>
      <c r="J1016" s="12">
        <v>15.188000000000001</v>
      </c>
      <c r="K1016" s="12">
        <v>9114.65</v>
      </c>
      <c r="L1016">
        <v>13.66</v>
      </c>
      <c r="M1016">
        <v>-24.45</v>
      </c>
      <c r="N1016" s="13">
        <v>-2.7000000000000001E-3</v>
      </c>
      <c r="O1016" t="s">
        <v>38</v>
      </c>
      <c r="Q1016">
        <f t="shared" si="254"/>
        <v>-10.783480000000553</v>
      </c>
      <c r="R1016">
        <f t="shared" si="255"/>
        <v>-24.443480000000555</v>
      </c>
      <c r="S1016">
        <f t="shared" si="256"/>
        <v>9103.3834399999996</v>
      </c>
      <c r="U1016">
        <f t="shared" si="243"/>
        <v>2.7495880000000001</v>
      </c>
      <c r="V1016">
        <f t="shared" si="257"/>
        <v>1650.0002629200001</v>
      </c>
      <c r="W1016">
        <f t="shared" si="244"/>
        <v>-1.9522074800001001</v>
      </c>
      <c r="X1016">
        <f t="shared" si="245"/>
        <v>3.2980483183600002</v>
      </c>
      <c r="Y1016">
        <f t="shared" si="246"/>
        <v>-5.2502557983601008</v>
      </c>
      <c r="Z1016">
        <f t="shared" si="247"/>
        <v>26297.257659893254</v>
      </c>
      <c r="AB1016">
        <f t="shared" si="248"/>
        <v>4.9156649999999997</v>
      </c>
      <c r="AC1016">
        <f t="shared" si="249"/>
        <v>2949.8414098500002</v>
      </c>
      <c r="AD1016">
        <f t="shared" si="250"/>
        <v>-3.4901221500001784</v>
      </c>
      <c r="AE1016">
        <f t="shared" si="251"/>
        <v>5.8961926975500001</v>
      </c>
      <c r="AF1016">
        <f t="shared" si="252"/>
        <v>-9.3863148475501781</v>
      </c>
      <c r="AG1016">
        <f t="shared" si="258"/>
        <v>29489.026324765364</v>
      </c>
      <c r="AH1016" t="b">
        <f t="shared" si="253"/>
        <v>1</v>
      </c>
    </row>
    <row r="1017" spans="4:34" hidden="1" x14ac:dyDescent="0.4">
      <c r="D1017" t="s">
        <v>52</v>
      </c>
      <c r="E1017" t="s">
        <v>37</v>
      </c>
      <c r="F1017" s="9">
        <v>45779.583333333336</v>
      </c>
      <c r="G1017">
        <v>4.9550000000000001</v>
      </c>
      <c r="H1017" s="9">
        <v>45781.583333333336</v>
      </c>
      <c r="I1017">
        <v>4.6680000000000001</v>
      </c>
      <c r="J1017">
        <v>464.8</v>
      </c>
      <c r="K1017" s="12">
        <v>2303.12</v>
      </c>
      <c r="L1017">
        <v>3.35</v>
      </c>
      <c r="M1017">
        <v>-136.75</v>
      </c>
      <c r="N1017" s="13">
        <v>-5.9400000000000001E-2</v>
      </c>
      <c r="O1017" t="s">
        <v>38</v>
      </c>
      <c r="Q1017">
        <f t="shared" si="254"/>
        <v>-133.39759999999995</v>
      </c>
      <c r="R1017">
        <f t="shared" si="255"/>
        <v>-136.74759999999995</v>
      </c>
      <c r="S1017">
        <f t="shared" si="256"/>
        <v>2169.6864</v>
      </c>
      <c r="U1017">
        <f t="shared" si="243"/>
        <v>332.99697300000003</v>
      </c>
      <c r="V1017">
        <f t="shared" si="257"/>
        <v>1650.0000012150001</v>
      </c>
      <c r="W1017">
        <f t="shared" si="244"/>
        <v>-95.570131250999978</v>
      </c>
      <c r="X1017">
        <f t="shared" si="245"/>
        <v>3.2044298711790007</v>
      </c>
      <c r="Y1017">
        <f t="shared" si="246"/>
        <v>-98.77456112217898</v>
      </c>
      <c r="Z1017">
        <f t="shared" si="247"/>
        <v>26302.507915691614</v>
      </c>
      <c r="AB1017">
        <f t="shared" si="248"/>
        <v>598.911474</v>
      </c>
      <c r="AC1017">
        <f t="shared" si="249"/>
        <v>2967.6063536699999</v>
      </c>
      <c r="AD1017">
        <f t="shared" si="250"/>
        <v>-171.88759303799995</v>
      </c>
      <c r="AE1017">
        <f t="shared" si="251"/>
        <v>5.7633251143020008</v>
      </c>
      <c r="AF1017">
        <f t="shared" si="252"/>
        <v>-177.65091815230195</v>
      </c>
      <c r="AG1017">
        <f t="shared" si="258"/>
        <v>29498.412639612914</v>
      </c>
      <c r="AH1017" t="b">
        <f t="shared" si="253"/>
        <v>1</v>
      </c>
    </row>
    <row r="1018" spans="4:34" hidden="1" x14ac:dyDescent="0.4">
      <c r="D1018" t="s">
        <v>56</v>
      </c>
      <c r="E1018" t="s">
        <v>37</v>
      </c>
      <c r="F1018" s="9">
        <v>45778.375</v>
      </c>
      <c r="G1018" s="12">
        <v>1810.91</v>
      </c>
      <c r="H1018" s="9">
        <v>45780.875</v>
      </c>
      <c r="I1018" s="12">
        <v>1838.82</v>
      </c>
      <c r="J1018">
        <v>2.8685</v>
      </c>
      <c r="K1018" s="12">
        <v>5194.76</v>
      </c>
      <c r="L1018">
        <v>7.85</v>
      </c>
      <c r="M1018">
        <v>72.209999999999994</v>
      </c>
      <c r="N1018" s="13">
        <v>1.3899999999999999E-2</v>
      </c>
      <c r="O1018" t="s">
        <v>57</v>
      </c>
      <c r="Q1018">
        <f t="shared" si="254"/>
        <v>80.05983499999958</v>
      </c>
      <c r="R1018">
        <f t="shared" si="255"/>
        <v>72.209834999999586</v>
      </c>
      <c r="S1018">
        <f t="shared" si="256"/>
        <v>5274.65517</v>
      </c>
      <c r="U1018">
        <f t="shared" si="243"/>
        <v>0.91114399999999995</v>
      </c>
      <c r="V1018">
        <f t="shared" si="257"/>
        <v>1649.99978104</v>
      </c>
      <c r="W1018">
        <f t="shared" si="244"/>
        <v>25.430029039999866</v>
      </c>
      <c r="X1018">
        <f t="shared" si="245"/>
        <v>3.3254295911199998</v>
      </c>
      <c r="Y1018">
        <f t="shared" si="246"/>
        <v>22.104599448879867</v>
      </c>
      <c r="Z1018">
        <f t="shared" si="247"/>
        <v>26401.282476813794</v>
      </c>
      <c r="AB1018">
        <f t="shared" si="248"/>
        <v>1.6365449999999999</v>
      </c>
      <c r="AC1018">
        <f t="shared" si="249"/>
        <v>2963.6357059500001</v>
      </c>
      <c r="AD1018">
        <f t="shared" si="250"/>
        <v>45.675970949999758</v>
      </c>
      <c r="AE1018">
        <f t="shared" si="251"/>
        <v>5.9729473828499993</v>
      </c>
      <c r="AF1018">
        <f t="shared" si="252"/>
        <v>39.703023567149756</v>
      </c>
      <c r="AG1018">
        <f t="shared" si="258"/>
        <v>29676.063557765217</v>
      </c>
      <c r="AH1018" t="b">
        <f t="shared" si="253"/>
        <v>1</v>
      </c>
    </row>
    <row r="1019" spans="4:34" hidden="1" x14ac:dyDescent="0.4">
      <c r="D1019" t="s">
        <v>55</v>
      </c>
      <c r="E1019" t="s">
        <v>37</v>
      </c>
      <c r="F1019" s="9">
        <v>45778.833333333336</v>
      </c>
      <c r="G1019">
        <v>6.2089999999999997E-5</v>
      </c>
      <c r="H1019" s="9">
        <v>45780.833333333336</v>
      </c>
      <c r="I1019">
        <v>5.9920000000000002E-5</v>
      </c>
      <c r="J1019" s="12">
        <v>95454033.030000001</v>
      </c>
      <c r="K1019" s="12">
        <v>5926.74</v>
      </c>
      <c r="L1019">
        <v>8.73</v>
      </c>
      <c r="M1019">
        <v>-215.87</v>
      </c>
      <c r="N1019" s="13">
        <v>-3.6400000000000002E-2</v>
      </c>
      <c r="O1019" t="s">
        <v>38</v>
      </c>
      <c r="Q1019">
        <f t="shared" si="254"/>
        <v>-207.13525167509948</v>
      </c>
      <c r="R1019">
        <f t="shared" si="255"/>
        <v>-215.86525167509947</v>
      </c>
      <c r="S1019">
        <f t="shared" si="256"/>
        <v>5719.6056591576007</v>
      </c>
      <c r="U1019">
        <f t="shared" si="243"/>
        <v>26574327.588984001</v>
      </c>
      <c r="V1019">
        <f t="shared" si="257"/>
        <v>1650.0000000000166</v>
      </c>
      <c r="W1019">
        <f t="shared" si="244"/>
        <v>-57.666290868095139</v>
      </c>
      <c r="X1019">
        <f t="shared" si="245"/>
        <v>3.2423337091319384</v>
      </c>
      <c r="Y1019">
        <f t="shared" si="246"/>
        <v>-60.90862457722708</v>
      </c>
      <c r="Z1019">
        <f t="shared" si="247"/>
        <v>26379.177877364913</v>
      </c>
      <c r="AB1019">
        <f t="shared" si="248"/>
        <v>47908143.789410003</v>
      </c>
      <c r="AC1019">
        <f t="shared" si="249"/>
        <v>2974.6166478844671</v>
      </c>
      <c r="AD1019">
        <f t="shared" si="250"/>
        <v>-103.96067202301944</v>
      </c>
      <c r="AE1019">
        <f t="shared" si="251"/>
        <v>5.8452726237459149</v>
      </c>
      <c r="AF1019">
        <f t="shared" si="252"/>
        <v>-109.80594464676535</v>
      </c>
      <c r="AG1019">
        <f t="shared" si="258"/>
        <v>29636.360534198069</v>
      </c>
      <c r="AH1019" t="b">
        <f t="shared" si="253"/>
        <v>1</v>
      </c>
    </row>
    <row r="1020" spans="4:34" hidden="1" x14ac:dyDescent="0.4">
      <c r="D1020" t="s">
        <v>59</v>
      </c>
      <c r="E1020" t="s">
        <v>37</v>
      </c>
      <c r="F1020" s="9">
        <v>45778.083333333336</v>
      </c>
      <c r="G1020" s="12">
        <v>94414</v>
      </c>
      <c r="H1020" s="9">
        <v>45780.583333333336</v>
      </c>
      <c r="I1020" s="12">
        <v>96149.75</v>
      </c>
      <c r="J1020">
        <v>0.10838</v>
      </c>
      <c r="K1020" s="12">
        <v>10233.48</v>
      </c>
      <c r="L1020">
        <v>15.49</v>
      </c>
      <c r="M1020">
        <v>172.63</v>
      </c>
      <c r="N1020" s="13">
        <v>1.6899999999999998E-2</v>
      </c>
      <c r="O1020" t="s">
        <v>57</v>
      </c>
      <c r="Q1020">
        <f t="shared" si="254"/>
        <v>188.12058500000001</v>
      </c>
      <c r="R1020">
        <f t="shared" si="255"/>
        <v>172.630585</v>
      </c>
      <c r="S1020">
        <f t="shared" si="256"/>
        <v>10420.709905</v>
      </c>
      <c r="U1020">
        <f t="shared" si="243"/>
        <v>1.7475999999999998E-2</v>
      </c>
      <c r="V1020">
        <f t="shared" si="257"/>
        <v>1649.9790639999999</v>
      </c>
      <c r="W1020">
        <f t="shared" si="244"/>
        <v>30.333966999999998</v>
      </c>
      <c r="X1020">
        <f t="shared" si="245"/>
        <v>3.3302920949999999</v>
      </c>
      <c r="Y1020">
        <f t="shared" si="246"/>
        <v>27.003674904999997</v>
      </c>
      <c r="Z1020">
        <f t="shared" si="247"/>
        <v>26440.08650194214</v>
      </c>
      <c r="AB1020">
        <f t="shared" si="248"/>
        <v>3.1454999999999997E-2</v>
      </c>
      <c r="AC1020">
        <f t="shared" si="249"/>
        <v>2969.7923699999997</v>
      </c>
      <c r="AD1020">
        <f t="shared" si="250"/>
        <v>54.598016249999993</v>
      </c>
      <c r="AE1020">
        <f t="shared" si="251"/>
        <v>5.994182756249999</v>
      </c>
      <c r="AF1020">
        <f t="shared" si="252"/>
        <v>48.603833493749995</v>
      </c>
      <c r="AG1020">
        <f t="shared" si="258"/>
        <v>29746.166478844836</v>
      </c>
      <c r="AH1020" t="b">
        <f t="shared" si="253"/>
        <v>1</v>
      </c>
    </row>
    <row r="1021" spans="4:34" hidden="1" x14ac:dyDescent="0.4">
      <c r="D1021" t="s">
        <v>50</v>
      </c>
      <c r="E1021" t="s">
        <v>37</v>
      </c>
      <c r="F1021" s="9">
        <v>45778.375</v>
      </c>
      <c r="G1021">
        <v>361.1</v>
      </c>
      <c r="H1021" s="9">
        <v>45780.375</v>
      </c>
      <c r="I1021">
        <v>367.9</v>
      </c>
      <c r="J1021">
        <v>33.760899999999999</v>
      </c>
      <c r="K1021" s="12">
        <v>12191.08</v>
      </c>
      <c r="L1021">
        <v>18.46</v>
      </c>
      <c r="M1021">
        <v>211.12</v>
      </c>
      <c r="N1021" s="13">
        <v>1.7299999999999999E-2</v>
      </c>
      <c r="O1021" t="s">
        <v>38</v>
      </c>
      <c r="Q1021">
        <f t="shared" si="254"/>
        <v>229.57411999999846</v>
      </c>
      <c r="R1021">
        <f t="shared" si="255"/>
        <v>211.11411999999845</v>
      </c>
      <c r="S1021">
        <f t="shared" si="256"/>
        <v>12420.635109999999</v>
      </c>
      <c r="U1021">
        <f t="shared" si="243"/>
        <v>4.5693710000000003</v>
      </c>
      <c r="V1021">
        <f t="shared" si="257"/>
        <v>1649.9998681000002</v>
      </c>
      <c r="W1021">
        <f t="shared" si="244"/>
        <v>31.071722799999794</v>
      </c>
      <c r="X1021">
        <f t="shared" si="245"/>
        <v>3.3310714590000003</v>
      </c>
      <c r="Y1021">
        <f t="shared" si="246"/>
        <v>27.740651340999793</v>
      </c>
      <c r="Z1021">
        <f t="shared" si="247"/>
        <v>26413.082827037138</v>
      </c>
      <c r="AB1021">
        <f t="shared" si="248"/>
        <v>8.2103900000000003</v>
      </c>
      <c r="AC1021">
        <f t="shared" si="249"/>
        <v>2964.7718290000003</v>
      </c>
      <c r="AD1021">
        <f t="shared" si="250"/>
        <v>55.830651999999631</v>
      </c>
      <c r="AE1021">
        <f t="shared" si="251"/>
        <v>5.9853743100000001</v>
      </c>
      <c r="AF1021">
        <f t="shared" si="252"/>
        <v>49.845277689999634</v>
      </c>
      <c r="AG1021">
        <f t="shared" si="258"/>
        <v>29697.562645351085</v>
      </c>
      <c r="AH1021" t="b">
        <f t="shared" si="253"/>
        <v>1</v>
      </c>
    </row>
    <row r="1022" spans="4:34" hidden="1" x14ac:dyDescent="0.4">
      <c r="D1022" t="s">
        <v>43</v>
      </c>
      <c r="E1022" t="s">
        <v>37</v>
      </c>
      <c r="F1022" s="9">
        <v>45778.291666666664</v>
      </c>
      <c r="G1022">
        <v>3.5266000000000002</v>
      </c>
      <c r="H1022" s="9">
        <v>45780.291666666664</v>
      </c>
      <c r="I1022">
        <v>3.4352999999999998</v>
      </c>
      <c r="J1022" s="12">
        <v>518.6</v>
      </c>
      <c r="K1022" s="12">
        <v>1829.03</v>
      </c>
      <c r="L1022">
        <v>2.71</v>
      </c>
      <c r="M1022">
        <v>-50.06</v>
      </c>
      <c r="N1022" s="13">
        <v>-2.7400000000000001E-2</v>
      </c>
      <c r="O1022" t="s">
        <v>38</v>
      </c>
      <c r="Q1022">
        <f t="shared" si="254"/>
        <v>-47.348180000000198</v>
      </c>
      <c r="R1022">
        <f t="shared" si="255"/>
        <v>-50.058180000000199</v>
      </c>
      <c r="S1022">
        <f t="shared" si="256"/>
        <v>1781.5465799999999</v>
      </c>
      <c r="U1022">
        <f t="shared" si="243"/>
        <v>467.87273900000002</v>
      </c>
      <c r="V1022">
        <f t="shared" si="257"/>
        <v>1650.0000013574002</v>
      </c>
      <c r="W1022">
        <f t="shared" si="244"/>
        <v>-42.716781070700179</v>
      </c>
      <c r="X1022">
        <f t="shared" si="245"/>
        <v>3.2572832216441001</v>
      </c>
      <c r="Y1022">
        <f t="shared" si="246"/>
        <v>-45.974064292344281</v>
      </c>
      <c r="Z1022">
        <f t="shared" si="247"/>
        <v>26385.34217569614</v>
      </c>
      <c r="AB1022">
        <f t="shared" si="248"/>
        <v>843.03736800000001</v>
      </c>
      <c r="AC1022">
        <f t="shared" si="249"/>
        <v>2973.0555819888</v>
      </c>
      <c r="AD1022">
        <f t="shared" si="250"/>
        <v>-76.969311698400318</v>
      </c>
      <c r="AE1022">
        <f t="shared" si="251"/>
        <v>5.8691418522792</v>
      </c>
      <c r="AF1022">
        <f t="shared" si="252"/>
        <v>-82.838453550679517</v>
      </c>
      <c r="AG1022">
        <f t="shared" si="258"/>
        <v>29647.717367661084</v>
      </c>
      <c r="AH1022" t="b">
        <f t="shared" si="253"/>
        <v>1</v>
      </c>
    </row>
    <row r="1023" spans="4:34" hidden="1" x14ac:dyDescent="0.4">
      <c r="D1023" t="s">
        <v>54</v>
      </c>
      <c r="E1023" t="s">
        <v>37</v>
      </c>
      <c r="F1023" s="9">
        <v>45778.291666666664</v>
      </c>
      <c r="G1023">
        <v>149.15</v>
      </c>
      <c r="H1023" s="9">
        <v>45780.291666666664</v>
      </c>
      <c r="I1023">
        <v>147.81</v>
      </c>
      <c r="J1023">
        <v>31.326000000000001</v>
      </c>
      <c r="K1023" s="12">
        <v>4672.3599999999997</v>
      </c>
      <c r="L1023">
        <v>6.98</v>
      </c>
      <c r="M1023">
        <v>-48.95</v>
      </c>
      <c r="N1023" s="13">
        <v>-1.0500000000000001E-2</v>
      </c>
      <c r="O1023" t="s">
        <v>38</v>
      </c>
      <c r="Q1023">
        <f t="shared" si="254"/>
        <v>-41.976840000000109</v>
      </c>
      <c r="R1023">
        <f t="shared" si="255"/>
        <v>-48.956840000000113</v>
      </c>
      <c r="S1023">
        <f t="shared" si="256"/>
        <v>4630.2960600000006</v>
      </c>
      <c r="U1023">
        <f t="shared" si="243"/>
        <v>11.062689000000001</v>
      </c>
      <c r="V1023">
        <f t="shared" si="257"/>
        <v>1650.0000643500002</v>
      </c>
      <c r="W1023">
        <f t="shared" si="244"/>
        <v>-14.824003260000039</v>
      </c>
      <c r="X1023">
        <f t="shared" si="245"/>
        <v>3.2851761254400009</v>
      </c>
      <c r="Y1023">
        <f t="shared" si="246"/>
        <v>-18.10917938544004</v>
      </c>
      <c r="Z1023">
        <f t="shared" si="247"/>
        <v>26431.316239988482</v>
      </c>
      <c r="AB1023">
        <f t="shared" si="248"/>
        <v>19.955227000000001</v>
      </c>
      <c r="AC1023">
        <f t="shared" si="249"/>
        <v>2976.3221070500003</v>
      </c>
      <c r="AD1023">
        <f t="shared" si="250"/>
        <v>-26.740004180000071</v>
      </c>
      <c r="AE1023">
        <f t="shared" si="251"/>
        <v>5.9259042099200014</v>
      </c>
      <c r="AF1023">
        <f t="shared" si="252"/>
        <v>-32.66590838992007</v>
      </c>
      <c r="AG1023">
        <f t="shared" si="258"/>
        <v>29730.555821211765</v>
      </c>
      <c r="AH1023" t="b">
        <f t="shared" si="253"/>
        <v>1</v>
      </c>
    </row>
    <row r="1024" spans="4:34" hidden="1" x14ac:dyDescent="0.4">
      <c r="D1024" t="s">
        <v>53</v>
      </c>
      <c r="E1024" t="s">
        <v>37</v>
      </c>
      <c r="F1024" s="9">
        <v>45778.25</v>
      </c>
      <c r="G1024" s="12">
        <v>600.76</v>
      </c>
      <c r="H1024" s="9">
        <v>45780.25</v>
      </c>
      <c r="I1024" s="12">
        <v>600.16999999999996</v>
      </c>
      <c r="J1024">
        <v>15.175000000000001</v>
      </c>
      <c r="K1024" s="12">
        <v>9116.91</v>
      </c>
      <c r="L1024">
        <v>13.67</v>
      </c>
      <c r="M1024">
        <v>-22.62</v>
      </c>
      <c r="N1024" s="13">
        <v>-2.5000000000000001E-3</v>
      </c>
      <c r="O1024" t="s">
        <v>38</v>
      </c>
      <c r="Q1024">
        <f t="shared" si="254"/>
        <v>-8.9532500000004838</v>
      </c>
      <c r="R1024">
        <f t="shared" si="255"/>
        <v>-22.623250000000482</v>
      </c>
      <c r="S1024">
        <f t="shared" si="256"/>
        <v>9107.579749999999</v>
      </c>
      <c r="U1024">
        <f t="shared" si="243"/>
        <v>2.746521</v>
      </c>
      <c r="V1024">
        <f t="shared" si="257"/>
        <v>1649.9999559600001</v>
      </c>
      <c r="W1024">
        <f t="shared" si="244"/>
        <v>-1.6204473900000875</v>
      </c>
      <c r="X1024">
        <f t="shared" si="245"/>
        <v>3.2983794645299995</v>
      </c>
      <c r="Y1024">
        <f t="shared" si="246"/>
        <v>-4.9188268545300868</v>
      </c>
      <c r="Z1024">
        <f t="shared" si="247"/>
        <v>26449.425419373922</v>
      </c>
      <c r="AB1024">
        <f t="shared" si="248"/>
        <v>4.9557390000000003</v>
      </c>
      <c r="AC1024">
        <f t="shared" si="249"/>
        <v>2977.2097616400001</v>
      </c>
      <c r="AD1024">
        <f t="shared" si="250"/>
        <v>-2.923886010000158</v>
      </c>
      <c r="AE1024">
        <f t="shared" si="251"/>
        <v>5.9514956372699999</v>
      </c>
      <c r="AF1024">
        <f t="shared" si="252"/>
        <v>-8.8753816472701583</v>
      </c>
      <c r="AG1024">
        <f t="shared" si="258"/>
        <v>29763.221729601686</v>
      </c>
      <c r="AH1024" t="b">
        <f t="shared" si="253"/>
        <v>1</v>
      </c>
    </row>
    <row r="1025" spans="4:34" hidden="1" x14ac:dyDescent="0.4">
      <c r="D1025" t="s">
        <v>61</v>
      </c>
      <c r="E1025" t="s">
        <v>37</v>
      </c>
      <c r="F1025" s="9">
        <v>45778.083333333336</v>
      </c>
      <c r="G1025">
        <v>0.68569999999999998</v>
      </c>
      <c r="H1025" s="9">
        <v>45780.083333333336</v>
      </c>
      <c r="I1025">
        <v>0.69530000000000003</v>
      </c>
      <c r="J1025" s="12">
        <v>11564.3</v>
      </c>
      <c r="K1025" s="12">
        <v>7929.69</v>
      </c>
      <c r="L1025">
        <v>11.98</v>
      </c>
      <c r="M1025">
        <v>99.04</v>
      </c>
      <c r="N1025" s="13">
        <v>1.2500000000000001E-2</v>
      </c>
      <c r="O1025" t="s">
        <v>38</v>
      </c>
      <c r="Q1025">
        <f t="shared" si="254"/>
        <v>111.01728000000061</v>
      </c>
      <c r="R1025">
        <f t="shared" si="255"/>
        <v>99.037280000000607</v>
      </c>
      <c r="S1025">
        <f t="shared" si="256"/>
        <v>8040.6577900000002</v>
      </c>
      <c r="U1025">
        <f t="shared" si="243"/>
        <v>2406.300131</v>
      </c>
      <c r="V1025">
        <f t="shared" si="257"/>
        <v>1649.9999998266999</v>
      </c>
      <c r="W1025">
        <f t="shared" si="244"/>
        <v>23.100481257600126</v>
      </c>
      <c r="X1025">
        <f t="shared" si="245"/>
        <v>3.3231004809110001</v>
      </c>
      <c r="Y1025">
        <f t="shared" si="246"/>
        <v>19.777380776689128</v>
      </c>
      <c r="Z1025">
        <f t="shared" si="247"/>
        <v>26454.344246228451</v>
      </c>
      <c r="AB1025">
        <f t="shared" si="248"/>
        <v>4336.6565739999996</v>
      </c>
      <c r="AC1025">
        <f t="shared" si="249"/>
        <v>2973.6454127917996</v>
      </c>
      <c r="AD1025">
        <f t="shared" si="250"/>
        <v>41.631903110400224</v>
      </c>
      <c r="AE1025">
        <f t="shared" si="251"/>
        <v>5.9889227286939999</v>
      </c>
      <c r="AF1025">
        <f t="shared" si="252"/>
        <v>35.642980381706224</v>
      </c>
      <c r="AG1025">
        <f t="shared" si="258"/>
        <v>29772.097111248957</v>
      </c>
      <c r="AH1025" t="b">
        <f t="shared" si="253"/>
        <v>1</v>
      </c>
    </row>
    <row r="1026" spans="4:34" hidden="1" x14ac:dyDescent="0.4">
      <c r="D1026" t="s">
        <v>48</v>
      </c>
      <c r="E1026" t="s">
        <v>37</v>
      </c>
      <c r="F1026" s="9">
        <v>45777.125</v>
      </c>
      <c r="G1026">
        <v>0.15049999999999999</v>
      </c>
      <c r="H1026" s="9">
        <v>45779.125</v>
      </c>
      <c r="I1026">
        <v>0.154</v>
      </c>
      <c r="J1026" s="12">
        <v>18970.599999999999</v>
      </c>
      <c r="K1026" s="12">
        <v>2855.08</v>
      </c>
      <c r="L1026">
        <v>4.33</v>
      </c>
      <c r="M1026">
        <v>62.06</v>
      </c>
      <c r="N1026" s="13">
        <v>2.1700000000000001E-2</v>
      </c>
      <c r="O1026" t="s">
        <v>38</v>
      </c>
      <c r="Q1026">
        <f t="shared" si="254"/>
        <v>66.397100000000052</v>
      </c>
      <c r="R1026">
        <f t="shared" si="255"/>
        <v>62.067100000000053</v>
      </c>
      <c r="S1026">
        <f t="shared" si="256"/>
        <v>2921.4723999999997</v>
      </c>
      <c r="U1026">
        <f t="shared" si="243"/>
        <v>10963.45515</v>
      </c>
      <c r="V1026">
        <f t="shared" si="257"/>
        <v>1650.0000000749999</v>
      </c>
      <c r="W1026">
        <f t="shared" si="244"/>
        <v>38.372093025000034</v>
      </c>
      <c r="X1026">
        <f t="shared" si="245"/>
        <v>3.3383720931749998</v>
      </c>
      <c r="Y1026">
        <f t="shared" si="246"/>
        <v>35.03372093182503</v>
      </c>
      <c r="Z1026">
        <f t="shared" si="247"/>
        <v>26434.566865451761</v>
      </c>
      <c r="AB1026">
        <f t="shared" si="248"/>
        <v>19716.577944000001</v>
      </c>
      <c r="AC1026">
        <f t="shared" si="249"/>
        <v>2967.3449805720002</v>
      </c>
      <c r="AD1026">
        <f t="shared" si="250"/>
        <v>69.008022804000063</v>
      </c>
      <c r="AE1026">
        <f t="shared" si="251"/>
        <v>6.0036979839479994</v>
      </c>
      <c r="AF1026">
        <f t="shared" si="252"/>
        <v>63.004324820052062</v>
      </c>
      <c r="AG1026">
        <f t="shared" si="258"/>
        <v>29736.454130867252</v>
      </c>
      <c r="AH1026" t="b">
        <f t="shared" si="253"/>
        <v>1</v>
      </c>
    </row>
    <row r="1027" spans="4:34" hidden="1" x14ac:dyDescent="0.4">
      <c r="D1027" t="s">
        <v>60</v>
      </c>
      <c r="E1027" t="s">
        <v>37</v>
      </c>
      <c r="F1027" s="9">
        <v>45775.208333333336</v>
      </c>
      <c r="G1027">
        <v>2.2595999999999998</v>
      </c>
      <c r="H1027" s="9">
        <v>45777.708333333336</v>
      </c>
      <c r="I1027">
        <v>2.1581000000000001</v>
      </c>
      <c r="J1027">
        <v>962.1</v>
      </c>
      <c r="K1027" s="12">
        <v>2174.14</v>
      </c>
      <c r="L1027">
        <v>3.19</v>
      </c>
      <c r="M1027">
        <v>-100.84</v>
      </c>
      <c r="N1027" s="13">
        <v>-4.6399999999999997E-2</v>
      </c>
      <c r="O1027" t="s">
        <v>57</v>
      </c>
      <c r="Q1027">
        <f t="shared" si="254"/>
        <v>-97.653149999999712</v>
      </c>
      <c r="R1027">
        <f t="shared" si="255"/>
        <v>-100.84314999999971</v>
      </c>
      <c r="S1027">
        <f t="shared" si="256"/>
        <v>2076.3080100000002</v>
      </c>
      <c r="U1027">
        <f t="shared" si="243"/>
        <v>730.21773800000005</v>
      </c>
      <c r="V1027">
        <f t="shared" si="257"/>
        <v>1650.0000007848</v>
      </c>
      <c r="W1027">
        <f t="shared" si="244"/>
        <v>-74.117100406999782</v>
      </c>
      <c r="X1027">
        <f t="shared" si="245"/>
        <v>3.2258829011626005</v>
      </c>
      <c r="Y1027">
        <f t="shared" si="246"/>
        <v>-77.342983308162388</v>
      </c>
      <c r="Z1027">
        <f t="shared" si="247"/>
        <v>26399.533144519937</v>
      </c>
      <c r="AB1027">
        <f t="shared" si="248"/>
        <v>1319.401566</v>
      </c>
      <c r="AC1027">
        <f t="shared" si="249"/>
        <v>2981.3197785335997</v>
      </c>
      <c r="AD1027">
        <f t="shared" si="250"/>
        <v>-133.91925894899961</v>
      </c>
      <c r="AE1027">
        <f t="shared" si="251"/>
        <v>5.8287202981182</v>
      </c>
      <c r="AF1027">
        <f t="shared" si="252"/>
        <v>-139.74797924711783</v>
      </c>
      <c r="AG1027">
        <f t="shared" si="258"/>
        <v>29673.4498060472</v>
      </c>
      <c r="AH1027" t="b">
        <f t="shared" si="253"/>
        <v>1</v>
      </c>
    </row>
    <row r="1028" spans="4:34" hidden="1" x14ac:dyDescent="0.4">
      <c r="D1028" t="s">
        <v>59</v>
      </c>
      <c r="E1028" t="s">
        <v>37</v>
      </c>
      <c r="F1028" s="9">
        <v>45775.166666666664</v>
      </c>
      <c r="G1028" s="12">
        <v>93650</v>
      </c>
      <c r="H1028" s="9">
        <v>45777.666666666664</v>
      </c>
      <c r="I1028" s="12">
        <v>93728.42</v>
      </c>
      <c r="J1028" s="12">
        <v>0.10928</v>
      </c>
      <c r="K1028" s="12">
        <v>10234.16</v>
      </c>
      <c r="L1028">
        <v>15.36</v>
      </c>
      <c r="M1028">
        <v>-6.79</v>
      </c>
      <c r="N1028" s="13">
        <v>-6.9999999999999999E-4</v>
      </c>
      <c r="O1028" t="s">
        <v>57</v>
      </c>
      <c r="Q1028">
        <f t="shared" si="254"/>
        <v>8.5697375999998098</v>
      </c>
      <c r="R1028">
        <f t="shared" si="255"/>
        <v>-6.7902624000001897</v>
      </c>
      <c r="S1028">
        <f t="shared" si="256"/>
        <v>10242.641737600001</v>
      </c>
      <c r="U1028">
        <f t="shared" si="243"/>
        <v>1.7618999999999999E-2</v>
      </c>
      <c r="V1028">
        <f t="shared" si="257"/>
        <v>1650.01935</v>
      </c>
      <c r="W1028">
        <f t="shared" si="244"/>
        <v>1.3816819799999691</v>
      </c>
      <c r="X1028">
        <f t="shared" si="245"/>
        <v>3.3014203819799994</v>
      </c>
      <c r="Y1028">
        <f t="shared" si="246"/>
        <v>-1.9197384019800303</v>
      </c>
      <c r="Z1028">
        <f t="shared" si="247"/>
        <v>26476.876127828098</v>
      </c>
      <c r="AB1028">
        <f t="shared" si="248"/>
        <v>3.1837999999999998E-2</v>
      </c>
      <c r="AC1028">
        <f t="shared" si="249"/>
        <v>2981.6286999999998</v>
      </c>
      <c r="AD1028">
        <f t="shared" si="250"/>
        <v>2.4967359599999441</v>
      </c>
      <c r="AE1028">
        <f t="shared" si="251"/>
        <v>5.9657541359599993</v>
      </c>
      <c r="AF1028">
        <f t="shared" si="252"/>
        <v>-3.4690181759600551</v>
      </c>
      <c r="AG1028">
        <f t="shared" si="258"/>
        <v>29813.197785294316</v>
      </c>
      <c r="AH1028" t="b">
        <f t="shared" si="253"/>
        <v>1</v>
      </c>
    </row>
    <row r="1029" spans="4:34" hidden="1" x14ac:dyDescent="0.4">
      <c r="D1029" t="s">
        <v>56</v>
      </c>
      <c r="E1029" t="s">
        <v>37</v>
      </c>
      <c r="F1029" s="9">
        <v>45776.208333333336</v>
      </c>
      <c r="G1029" s="12">
        <v>1802.34</v>
      </c>
      <c r="H1029" s="9">
        <v>45777.583333333336</v>
      </c>
      <c r="I1029" s="12">
        <v>1768.39</v>
      </c>
      <c r="J1029">
        <v>2.8879999999999999</v>
      </c>
      <c r="K1029" s="12">
        <v>5205.34</v>
      </c>
      <c r="L1029">
        <v>7.73</v>
      </c>
      <c r="M1029">
        <v>-105.77</v>
      </c>
      <c r="N1029" s="13">
        <v>-2.0299999999999999E-2</v>
      </c>
      <c r="O1029" t="s">
        <v>49</v>
      </c>
      <c r="Q1029">
        <f t="shared" si="254"/>
        <v>-98.047599999999477</v>
      </c>
      <c r="R1029">
        <f t="shared" si="255"/>
        <v>-105.77759999999948</v>
      </c>
      <c r="S1029">
        <f t="shared" si="256"/>
        <v>5107.1103199999998</v>
      </c>
      <c r="U1029">
        <f t="shared" si="243"/>
        <v>0.91547699999999999</v>
      </c>
      <c r="V1029">
        <f t="shared" si="257"/>
        <v>1650.0008161799999</v>
      </c>
      <c r="W1029">
        <f t="shared" si="244"/>
        <v>-31.080444149999835</v>
      </c>
      <c r="X1029">
        <f t="shared" si="245"/>
        <v>3.2689211882100002</v>
      </c>
      <c r="Y1029">
        <f t="shared" si="246"/>
        <v>-34.349365338209836</v>
      </c>
      <c r="Z1029">
        <f t="shared" si="247"/>
        <v>26478.795866230077</v>
      </c>
      <c r="AB1029">
        <f t="shared" si="248"/>
        <v>1.6577820000000001</v>
      </c>
      <c r="AC1029">
        <f t="shared" si="249"/>
        <v>2987.8868098799999</v>
      </c>
      <c r="AD1029">
        <f t="shared" si="250"/>
        <v>-56.281698899999704</v>
      </c>
      <c r="AE1029">
        <f t="shared" si="251"/>
        <v>5.9194919208600005</v>
      </c>
      <c r="AF1029">
        <f t="shared" si="252"/>
        <v>-62.201190820859708</v>
      </c>
      <c r="AG1029">
        <f t="shared" si="258"/>
        <v>29816.666803470278</v>
      </c>
      <c r="AH1029" t="b">
        <f t="shared" si="253"/>
        <v>1</v>
      </c>
    </row>
    <row r="1030" spans="4:34" hidden="1" x14ac:dyDescent="0.4">
      <c r="D1030" t="s">
        <v>54</v>
      </c>
      <c r="E1030" t="s">
        <v>37</v>
      </c>
      <c r="F1030" s="9">
        <v>45775.208333333336</v>
      </c>
      <c r="G1030">
        <v>148.44</v>
      </c>
      <c r="H1030" s="9">
        <v>45777.208333333336</v>
      </c>
      <c r="I1030">
        <v>148.22</v>
      </c>
      <c r="J1030">
        <v>31.484999999999999</v>
      </c>
      <c r="K1030" s="12">
        <v>4673.76</v>
      </c>
      <c r="L1030">
        <v>7.01</v>
      </c>
      <c r="M1030">
        <v>-13.93</v>
      </c>
      <c r="N1030" s="13">
        <v>-3.0000000000000001E-3</v>
      </c>
      <c r="O1030" t="s">
        <v>38</v>
      </c>
      <c r="Q1030">
        <f t="shared" si="254"/>
        <v>-6.9266999999999639</v>
      </c>
      <c r="R1030">
        <f t="shared" si="255"/>
        <v>-13.936699999999963</v>
      </c>
      <c r="S1030">
        <f t="shared" si="256"/>
        <v>4666.7066999999997</v>
      </c>
      <c r="U1030">
        <f t="shared" si="243"/>
        <v>11.115602000000001</v>
      </c>
      <c r="V1030">
        <f t="shared" si="257"/>
        <v>1649.9999608800001</v>
      </c>
      <c r="W1030">
        <f t="shared" si="244"/>
        <v>-2.4454324399999874</v>
      </c>
      <c r="X1030">
        <f t="shared" si="245"/>
        <v>3.2975544893199999</v>
      </c>
      <c r="Y1030">
        <f t="shared" si="246"/>
        <v>-5.7429869293199873</v>
      </c>
      <c r="Z1030">
        <f t="shared" si="247"/>
        <v>26513.145231568287</v>
      </c>
      <c r="AB1030">
        <f t="shared" si="248"/>
        <v>20.135591000000002</v>
      </c>
      <c r="AC1030">
        <f t="shared" si="249"/>
        <v>2988.9271280400003</v>
      </c>
      <c r="AD1030">
        <f t="shared" si="250"/>
        <v>-4.4298300199999776</v>
      </c>
      <c r="AE1030">
        <f t="shared" si="251"/>
        <v>5.9734244260600002</v>
      </c>
      <c r="AF1030">
        <f t="shared" si="252"/>
        <v>-10.403254446059979</v>
      </c>
      <c r="AG1030">
        <f t="shared" si="258"/>
        <v>29878.867994291137</v>
      </c>
      <c r="AH1030" t="b">
        <f t="shared" si="253"/>
        <v>1</v>
      </c>
    </row>
    <row r="1031" spans="4:34" hidden="1" x14ac:dyDescent="0.4">
      <c r="D1031" t="s">
        <v>61</v>
      </c>
      <c r="E1031" t="s">
        <v>37</v>
      </c>
      <c r="F1031" s="9">
        <v>45775.208333333336</v>
      </c>
      <c r="G1031">
        <v>0.70730000000000004</v>
      </c>
      <c r="H1031" s="9">
        <v>45777.208333333336</v>
      </c>
      <c r="I1031">
        <v>0.70289999999999997</v>
      </c>
      <c r="J1031" s="12">
        <v>11219.8</v>
      </c>
      <c r="K1031" s="12">
        <v>7935.81</v>
      </c>
      <c r="L1031">
        <v>11.87</v>
      </c>
      <c r="M1031">
        <v>-61.23</v>
      </c>
      <c r="N1031" s="13">
        <v>-7.7000000000000002E-3</v>
      </c>
      <c r="O1031" t="s">
        <v>38</v>
      </c>
      <c r="Q1031">
        <f t="shared" si="254"/>
        <v>-49.367120000000789</v>
      </c>
      <c r="R1031">
        <f t="shared" si="255"/>
        <v>-61.237120000000786</v>
      </c>
      <c r="S1031">
        <f t="shared" si="256"/>
        <v>7886.3974199999993</v>
      </c>
      <c r="U1031">
        <f t="shared" si="243"/>
        <v>2332.81493</v>
      </c>
      <c r="V1031">
        <f t="shared" si="257"/>
        <v>1649.9999999890001</v>
      </c>
      <c r="W1031">
        <f t="shared" si="244"/>
        <v>-10.264385692000165</v>
      </c>
      <c r="X1031">
        <f t="shared" si="245"/>
        <v>3.2897356142860001</v>
      </c>
      <c r="Y1031">
        <f t="shared" si="246"/>
        <v>-13.554121306286165</v>
      </c>
      <c r="Z1031">
        <f t="shared" si="247"/>
        <v>26518.888218497606</v>
      </c>
      <c r="AB1031">
        <f t="shared" si="248"/>
        <v>4229.3007680000001</v>
      </c>
      <c r="AC1031">
        <f t="shared" si="249"/>
        <v>2991.3844332064</v>
      </c>
      <c r="AD1031">
        <f t="shared" si="250"/>
        <v>-18.608923379200299</v>
      </c>
      <c r="AE1031">
        <f t="shared" si="251"/>
        <v>5.964159943033601</v>
      </c>
      <c r="AF1031">
        <f t="shared" si="252"/>
        <v>-24.573083322233899</v>
      </c>
      <c r="AG1031">
        <f t="shared" si="258"/>
        <v>29889.271248737197</v>
      </c>
      <c r="AH1031" t="b">
        <f t="shared" si="253"/>
        <v>1</v>
      </c>
    </row>
    <row r="1032" spans="4:34" hidden="1" x14ac:dyDescent="0.4">
      <c r="D1032" t="s">
        <v>43</v>
      </c>
      <c r="E1032" t="s">
        <v>37</v>
      </c>
      <c r="F1032" s="9">
        <v>45775.166666666664</v>
      </c>
      <c r="G1032">
        <v>3.5148999999999999</v>
      </c>
      <c r="H1032" s="9">
        <v>45777.166666666664</v>
      </c>
      <c r="I1032">
        <v>3.5508000000000002</v>
      </c>
      <c r="J1032" s="12">
        <v>519.9</v>
      </c>
      <c r="K1032" s="12">
        <v>1827.44</v>
      </c>
      <c r="L1032">
        <v>2.76</v>
      </c>
      <c r="M1032">
        <v>15.91</v>
      </c>
      <c r="N1032" s="13">
        <v>8.6999999999999994E-3</v>
      </c>
      <c r="O1032" t="s">
        <v>38</v>
      </c>
      <c r="Q1032">
        <f t="shared" si="254"/>
        <v>18.664410000000139</v>
      </c>
      <c r="R1032">
        <f t="shared" si="255"/>
        <v>15.904410000000139</v>
      </c>
      <c r="S1032">
        <f t="shared" si="256"/>
        <v>1846.0609200000001</v>
      </c>
      <c r="U1032">
        <f t="shared" si="243"/>
        <v>469.43013999999999</v>
      </c>
      <c r="V1032">
        <f t="shared" si="257"/>
        <v>1649.9999990859999</v>
      </c>
      <c r="W1032">
        <f t="shared" si="244"/>
        <v>16.852542026000123</v>
      </c>
      <c r="X1032">
        <f t="shared" si="245"/>
        <v>3.3168525401979996</v>
      </c>
      <c r="Y1032">
        <f t="shared" si="246"/>
        <v>13.535689485802123</v>
      </c>
      <c r="Z1032">
        <f t="shared" si="247"/>
        <v>26532.442339803893</v>
      </c>
      <c r="AB1032">
        <f t="shared" si="248"/>
        <v>850.36060099999997</v>
      </c>
      <c r="AC1032">
        <f t="shared" si="249"/>
        <v>2988.9324764548996</v>
      </c>
      <c r="AD1032">
        <f t="shared" si="250"/>
        <v>30.527945575900226</v>
      </c>
      <c r="AE1032">
        <f t="shared" si="251"/>
        <v>6.0083928984856989</v>
      </c>
      <c r="AF1032">
        <f t="shared" si="252"/>
        <v>24.519552677414527</v>
      </c>
      <c r="AG1032">
        <f t="shared" si="258"/>
        <v>29913.844332059431</v>
      </c>
      <c r="AH1032" t="b">
        <f t="shared" si="253"/>
        <v>1</v>
      </c>
    </row>
    <row r="1033" spans="4:34" hidden="1" x14ac:dyDescent="0.4">
      <c r="D1033" t="s">
        <v>58</v>
      </c>
      <c r="E1033" t="s">
        <v>37</v>
      </c>
      <c r="F1033" s="9">
        <v>45775.166666666664</v>
      </c>
      <c r="G1033" s="12">
        <v>14.58</v>
      </c>
      <c r="H1033" s="9">
        <v>45777.166666666664</v>
      </c>
      <c r="I1033" s="12">
        <v>14.7</v>
      </c>
      <c r="J1033">
        <v>483.87</v>
      </c>
      <c r="K1033" s="12">
        <v>7054.92</v>
      </c>
      <c r="L1033">
        <v>10.63</v>
      </c>
      <c r="M1033">
        <v>47.44</v>
      </c>
      <c r="N1033" s="13">
        <v>6.7000000000000002E-3</v>
      </c>
      <c r="O1033" t="s">
        <v>38</v>
      </c>
      <c r="Q1033">
        <f t="shared" si="254"/>
        <v>58.064399999999623</v>
      </c>
      <c r="R1033">
        <f t="shared" si="255"/>
        <v>47.43439999999962</v>
      </c>
      <c r="S1033">
        <f t="shared" si="256"/>
        <v>7112.8890000000001</v>
      </c>
      <c r="U1033">
        <f t="shared" si="243"/>
        <v>113.168724</v>
      </c>
      <c r="V1033">
        <f t="shared" si="257"/>
        <v>1649.9999959199999</v>
      </c>
      <c r="W1033">
        <f t="shared" si="244"/>
        <v>13.580246879999912</v>
      </c>
      <c r="X1033">
        <f t="shared" si="245"/>
        <v>3.3135802387200002</v>
      </c>
      <c r="Y1033">
        <f t="shared" si="246"/>
        <v>10.266666641279912</v>
      </c>
      <c r="Z1033">
        <f t="shared" si="247"/>
        <v>26518.906650318091</v>
      </c>
      <c r="AB1033">
        <f t="shared" si="248"/>
        <v>204.87475000000001</v>
      </c>
      <c r="AC1033">
        <f t="shared" si="249"/>
        <v>2987.0738550000001</v>
      </c>
      <c r="AD1033">
        <f t="shared" si="250"/>
        <v>24.584969999999842</v>
      </c>
      <c r="AE1033">
        <f t="shared" si="251"/>
        <v>5.9987326800000007</v>
      </c>
      <c r="AF1033">
        <f t="shared" si="252"/>
        <v>18.586237319999842</v>
      </c>
      <c r="AG1033">
        <f t="shared" si="258"/>
        <v>29889.324779382016</v>
      </c>
      <c r="AH1033" t="b">
        <f t="shared" si="253"/>
        <v>1</v>
      </c>
    </row>
    <row r="1034" spans="4:34" hidden="1" x14ac:dyDescent="0.4">
      <c r="D1034" t="s">
        <v>53</v>
      </c>
      <c r="E1034" t="s">
        <v>37</v>
      </c>
      <c r="F1034" s="9">
        <v>45775.166666666664</v>
      </c>
      <c r="G1034">
        <v>602.4</v>
      </c>
      <c r="H1034" s="9">
        <v>45777.166666666664</v>
      </c>
      <c r="I1034">
        <v>602.70000000000005</v>
      </c>
      <c r="J1034">
        <v>15.135</v>
      </c>
      <c r="K1034" s="12">
        <v>9117.82</v>
      </c>
      <c r="L1034">
        <v>13.68</v>
      </c>
      <c r="M1034">
        <v>-9.14</v>
      </c>
      <c r="N1034" s="13">
        <v>-1E-3</v>
      </c>
      <c r="O1034" t="s">
        <v>38</v>
      </c>
      <c r="Q1034">
        <f t="shared" si="254"/>
        <v>4.5405000000010327</v>
      </c>
      <c r="R1034">
        <f t="shared" si="255"/>
        <v>-9.1394999999989679</v>
      </c>
      <c r="S1034">
        <f t="shared" si="256"/>
        <v>9121.8644999999997</v>
      </c>
      <c r="U1034">
        <f t="shared" si="243"/>
        <v>2.7390439999999998</v>
      </c>
      <c r="V1034">
        <f t="shared" si="257"/>
        <v>1650.0001055999999</v>
      </c>
      <c r="W1034">
        <f t="shared" si="244"/>
        <v>0.82171320000018677</v>
      </c>
      <c r="X1034">
        <f t="shared" si="245"/>
        <v>3.3008219243999992</v>
      </c>
      <c r="Y1034">
        <f t="shared" si="246"/>
        <v>-2.4791087243998122</v>
      </c>
      <c r="Z1034">
        <f t="shared" si="247"/>
        <v>26508.639983676811</v>
      </c>
      <c r="AB1034">
        <f t="shared" si="248"/>
        <v>4.9593670000000003</v>
      </c>
      <c r="AC1034">
        <f t="shared" si="249"/>
        <v>2987.5226808000002</v>
      </c>
      <c r="AD1034">
        <f t="shared" si="250"/>
        <v>1.4878101000003383</v>
      </c>
      <c r="AE1034">
        <f t="shared" si="251"/>
        <v>5.9765331716999999</v>
      </c>
      <c r="AF1034">
        <f t="shared" si="252"/>
        <v>-4.4887230716996616</v>
      </c>
      <c r="AG1034">
        <f t="shared" si="258"/>
        <v>29870.738542062016</v>
      </c>
      <c r="AH1034" t="b">
        <f t="shared" si="253"/>
        <v>1</v>
      </c>
    </row>
    <row r="1035" spans="4:34" hidden="1" x14ac:dyDescent="0.4">
      <c r="D1035" t="s">
        <v>50</v>
      </c>
      <c r="E1035" t="s">
        <v>37</v>
      </c>
      <c r="F1035" s="9">
        <v>45775.166666666664</v>
      </c>
      <c r="G1035">
        <v>353.4</v>
      </c>
      <c r="H1035" s="9">
        <v>45777.166666666664</v>
      </c>
      <c r="I1035">
        <v>365.7</v>
      </c>
      <c r="J1035" s="12">
        <v>34.382100000000001</v>
      </c>
      <c r="K1035" s="12">
        <v>12150.64</v>
      </c>
      <c r="L1035">
        <v>18.54</v>
      </c>
      <c r="M1035">
        <v>404.36</v>
      </c>
      <c r="N1035" s="13">
        <v>3.3300000000000003E-2</v>
      </c>
      <c r="O1035" t="s">
        <v>38</v>
      </c>
      <c r="Q1035">
        <f t="shared" si="254"/>
        <v>422.89983000000041</v>
      </c>
      <c r="R1035">
        <f t="shared" si="255"/>
        <v>404.35983000000039</v>
      </c>
      <c r="S1035">
        <f t="shared" si="256"/>
        <v>12573.53397</v>
      </c>
      <c r="U1035">
        <f t="shared" si="243"/>
        <v>4.6689299999999996</v>
      </c>
      <c r="V1035">
        <f t="shared" si="257"/>
        <v>1649.9998619999997</v>
      </c>
      <c r="W1035">
        <f t="shared" si="244"/>
        <v>57.427839000000048</v>
      </c>
      <c r="X1035">
        <f t="shared" si="245"/>
        <v>3.3574275629999994</v>
      </c>
      <c r="Y1035">
        <f t="shared" si="246"/>
        <v>54.070411437000047</v>
      </c>
      <c r="Z1035">
        <f t="shared" si="247"/>
        <v>26511.119092401212</v>
      </c>
      <c r="AB1035">
        <f t="shared" si="248"/>
        <v>8.4260459999999995</v>
      </c>
      <c r="AC1035">
        <f t="shared" si="249"/>
        <v>2977.7646563999997</v>
      </c>
      <c r="AD1035">
        <f t="shared" si="250"/>
        <v>103.64036580000008</v>
      </c>
      <c r="AE1035">
        <f t="shared" si="251"/>
        <v>6.0591696785999991</v>
      </c>
      <c r="AF1035">
        <f t="shared" si="252"/>
        <v>97.581196121400083</v>
      </c>
      <c r="AG1035">
        <f t="shared" si="258"/>
        <v>29875.227265133715</v>
      </c>
      <c r="AH1035" t="b">
        <f t="shared" si="253"/>
        <v>1</v>
      </c>
    </row>
    <row r="1036" spans="4:34" hidden="1" x14ac:dyDescent="0.4">
      <c r="D1036" t="s">
        <v>48</v>
      </c>
      <c r="E1036" t="s">
        <v>37</v>
      </c>
      <c r="F1036" s="9">
        <v>45774</v>
      </c>
      <c r="G1036">
        <v>0.16039999999999999</v>
      </c>
      <c r="H1036" s="9">
        <v>45776</v>
      </c>
      <c r="I1036">
        <v>0.1578</v>
      </c>
      <c r="J1036" s="12">
        <v>17831.3</v>
      </c>
      <c r="K1036" s="12">
        <v>2860.14</v>
      </c>
      <c r="L1036">
        <v>4.26</v>
      </c>
      <c r="M1036">
        <v>-50.62</v>
      </c>
      <c r="N1036" s="13">
        <v>-1.77E-2</v>
      </c>
      <c r="O1036" t="s">
        <v>38</v>
      </c>
      <c r="Q1036">
        <f t="shared" si="254"/>
        <v>-46.361379999999841</v>
      </c>
      <c r="R1036">
        <f t="shared" si="255"/>
        <v>-50.621379999999839</v>
      </c>
      <c r="S1036">
        <f t="shared" si="256"/>
        <v>2813.7791399999996</v>
      </c>
      <c r="U1036">
        <f t="shared" si="243"/>
        <v>10286.783041999999</v>
      </c>
      <c r="V1036">
        <f t="shared" si="257"/>
        <v>1649.9999999367997</v>
      </c>
      <c r="W1036">
        <f t="shared" si="244"/>
        <v>-26.745635909199908</v>
      </c>
      <c r="X1036">
        <f t="shared" si="245"/>
        <v>3.2732543639643996</v>
      </c>
      <c r="Y1036">
        <f t="shared" si="246"/>
        <v>-30.01889027316431</v>
      </c>
      <c r="Z1036">
        <f t="shared" si="247"/>
        <v>26457.048680964213</v>
      </c>
      <c r="AB1036">
        <f t="shared" si="248"/>
        <v>18598.453913000001</v>
      </c>
      <c r="AC1036">
        <f t="shared" si="249"/>
        <v>2983.1920076451997</v>
      </c>
      <c r="AD1036">
        <f t="shared" si="250"/>
        <v>-48.355980173799843</v>
      </c>
      <c r="AE1036">
        <f t="shared" si="251"/>
        <v>5.9180280351165999</v>
      </c>
      <c r="AF1036">
        <f t="shared" si="252"/>
        <v>-54.274008208916442</v>
      </c>
      <c r="AG1036">
        <f t="shared" si="258"/>
        <v>29777.646069012317</v>
      </c>
      <c r="AH1036" t="b">
        <f t="shared" si="253"/>
        <v>1</v>
      </c>
    </row>
    <row r="1037" spans="4:34" hidden="1" x14ac:dyDescent="0.4">
      <c r="D1037" t="s">
        <v>52</v>
      </c>
      <c r="E1037" t="s">
        <v>37</v>
      </c>
      <c r="F1037" s="9">
        <v>45773.833333333336</v>
      </c>
      <c r="G1037">
        <v>5.2610000000000001</v>
      </c>
      <c r="H1037" s="9">
        <v>45775.833333333336</v>
      </c>
      <c r="I1037">
        <v>5.0389999999999997</v>
      </c>
      <c r="J1037">
        <v>439.69</v>
      </c>
      <c r="K1037" s="12">
        <v>2313.2199999999998</v>
      </c>
      <c r="L1037">
        <v>3.4</v>
      </c>
      <c r="M1037">
        <v>-101.01</v>
      </c>
      <c r="N1037" s="13">
        <v>-4.3700000000000003E-2</v>
      </c>
      <c r="O1037" t="s">
        <v>38</v>
      </c>
      <c r="Q1037">
        <f t="shared" si="254"/>
        <v>-97.611180000000189</v>
      </c>
      <c r="R1037">
        <f t="shared" si="255"/>
        <v>-101.01118000000019</v>
      </c>
      <c r="S1037">
        <f t="shared" si="256"/>
        <v>2215.59791</v>
      </c>
      <c r="U1037">
        <f t="shared" ref="U1037:U1100" si="259">ROUND(($Q$2)/G1037,6)</f>
        <v>313.62858799999998</v>
      </c>
      <c r="V1037">
        <f t="shared" si="257"/>
        <v>1650.0000014679999</v>
      </c>
      <c r="W1037">
        <f t="shared" ref="W1037:W1100" si="260">U1037*(I1037-G1037)</f>
        <v>-69.62554653600013</v>
      </c>
      <c r="X1037">
        <f t="shared" ref="X1037:X1100" si="261">(G1037+I1037)*$R$2*U1037</f>
        <v>3.2303744563999999</v>
      </c>
      <c r="Y1037">
        <f t="shared" ref="Y1037:Y1100" si="262">W1037-X1037</f>
        <v>-72.855920992400129</v>
      </c>
      <c r="Z1037">
        <f t="shared" ref="Z1037:Z1100" si="263">Z1038+Y1037</f>
        <v>26487.067571237378</v>
      </c>
      <c r="AB1037">
        <f t="shared" ref="AB1037:AB1100" si="264">ROUND(((AH1037*AG1038 +(1-AH1037)*AI1037)/$P$2)/G1037,6)</f>
        <v>569.55383800000004</v>
      </c>
      <c r="AC1037">
        <f t="shared" ref="AC1037:AC1100" si="265">AB1037*G1037</f>
        <v>2996.4227417180005</v>
      </c>
      <c r="AD1037">
        <f t="shared" ref="AD1037:AD1100" si="266">AB1037*(I1037-G1037)</f>
        <v>-126.44095203600025</v>
      </c>
      <c r="AE1037">
        <f t="shared" ref="AE1037:AE1100" si="267">(G1037+I1037)*$R$2*AB1037</f>
        <v>5.8664045314000006</v>
      </c>
      <c r="AF1037">
        <f t="shared" ref="AF1037:AF1100" si="268">AD1037-AE1037</f>
        <v>-132.30735656740026</v>
      </c>
      <c r="AG1037">
        <f t="shared" si="258"/>
        <v>29831.920077221232</v>
      </c>
      <c r="AH1037" t="b">
        <f t="shared" ref="AH1037:AH1100" si="269">ISBLANK(AI1037)</f>
        <v>1</v>
      </c>
    </row>
    <row r="1038" spans="4:34" hidden="1" x14ac:dyDescent="0.4">
      <c r="D1038" t="s">
        <v>56</v>
      </c>
      <c r="E1038" t="s">
        <v>37</v>
      </c>
      <c r="F1038" s="9">
        <v>45775.208333333336</v>
      </c>
      <c r="G1038" s="12">
        <v>1784.8</v>
      </c>
      <c r="H1038" s="9">
        <v>45775.708333333336</v>
      </c>
      <c r="I1038" s="12">
        <v>1754.93</v>
      </c>
      <c r="J1038">
        <v>2.9218000000000002</v>
      </c>
      <c r="K1038" s="12">
        <v>5214.84</v>
      </c>
      <c r="L1038">
        <v>7.76</v>
      </c>
      <c r="M1038">
        <v>-95.03</v>
      </c>
      <c r="N1038" s="13">
        <v>-1.8200000000000001E-2</v>
      </c>
      <c r="O1038" t="s">
        <v>49</v>
      </c>
      <c r="Q1038">
        <f t="shared" ref="Q1038:Q1101" si="270">(I1038-G1038)*J1038</f>
        <v>-87.274165999999681</v>
      </c>
      <c r="R1038">
        <f t="shared" ref="R1038:R1101" si="271">Q1038-L1038</f>
        <v>-95.034165999999686</v>
      </c>
      <c r="S1038">
        <f t="shared" ref="S1038:S1101" si="272">I1038*J1038</f>
        <v>5127.5544740000005</v>
      </c>
      <c r="U1038">
        <f t="shared" si="259"/>
        <v>0.92447299999999999</v>
      </c>
      <c r="V1038">
        <f t="shared" ref="V1038:V1101" si="273">U1038*G1038</f>
        <v>1649.9994104</v>
      </c>
      <c r="W1038">
        <f t="shared" si="260"/>
        <v>-27.614008509999898</v>
      </c>
      <c r="X1038">
        <f t="shared" si="261"/>
        <v>3.2723848122899999</v>
      </c>
      <c r="Y1038">
        <f t="shared" si="262"/>
        <v>-30.886393322289898</v>
      </c>
      <c r="Z1038">
        <f t="shared" si="263"/>
        <v>26559.923492229776</v>
      </c>
      <c r="AB1038">
        <f t="shared" si="264"/>
        <v>1.682005</v>
      </c>
      <c r="AC1038">
        <f t="shared" si="265"/>
        <v>3002.042524</v>
      </c>
      <c r="AD1038">
        <f t="shared" si="266"/>
        <v>-50.241489349999817</v>
      </c>
      <c r="AE1038">
        <f t="shared" si="267"/>
        <v>5.95384355865</v>
      </c>
      <c r="AF1038">
        <f t="shared" si="268"/>
        <v>-56.195332908649817</v>
      </c>
      <c r="AG1038">
        <f t="shared" si="258"/>
        <v>29964.22743378863</v>
      </c>
      <c r="AH1038" t="b">
        <f t="shared" si="269"/>
        <v>1</v>
      </c>
    </row>
    <row r="1039" spans="4:34" hidden="1" x14ac:dyDescent="0.4">
      <c r="D1039" t="s">
        <v>43</v>
      </c>
      <c r="E1039" t="s">
        <v>37</v>
      </c>
      <c r="F1039" s="9">
        <v>45773.083333333336</v>
      </c>
      <c r="G1039">
        <v>3.5749</v>
      </c>
      <c r="H1039" s="9">
        <v>45775.083333333336</v>
      </c>
      <c r="I1039">
        <v>3.4565000000000001</v>
      </c>
      <c r="J1039">
        <v>512.9</v>
      </c>
      <c r="K1039" s="12">
        <v>1833.78</v>
      </c>
      <c r="L1039">
        <v>2.7</v>
      </c>
      <c r="M1039">
        <v>-63.43</v>
      </c>
      <c r="N1039" s="13">
        <v>-3.4599999999999999E-2</v>
      </c>
      <c r="O1039" t="s">
        <v>38</v>
      </c>
      <c r="Q1039">
        <f t="shared" si="270"/>
        <v>-60.727359999999912</v>
      </c>
      <c r="R1039">
        <f t="shared" si="271"/>
        <v>-63.427359999999915</v>
      </c>
      <c r="S1039">
        <f t="shared" si="272"/>
        <v>1772.8388500000001</v>
      </c>
      <c r="U1039">
        <f t="shared" si="259"/>
        <v>461.55137200000001</v>
      </c>
      <c r="V1039">
        <f t="shared" si="273"/>
        <v>1649.9999997628001</v>
      </c>
      <c r="W1039">
        <f t="shared" si="260"/>
        <v>-54.647682444799926</v>
      </c>
      <c r="X1039">
        <f t="shared" si="261"/>
        <v>3.2453523170808003</v>
      </c>
      <c r="Y1039">
        <f t="shared" si="262"/>
        <v>-57.893034761880728</v>
      </c>
      <c r="Z1039">
        <f t="shared" si="263"/>
        <v>26590.809885552066</v>
      </c>
      <c r="AB1039">
        <f t="shared" si="264"/>
        <v>842.71239400000002</v>
      </c>
      <c r="AC1039">
        <f t="shared" si="265"/>
        <v>3012.6125373106001</v>
      </c>
      <c r="AD1039">
        <f t="shared" si="266"/>
        <v>-99.777147449599866</v>
      </c>
      <c r="AE1039">
        <f t="shared" si="267"/>
        <v>5.9254479271716001</v>
      </c>
      <c r="AF1039">
        <f t="shared" si="268"/>
        <v>-105.70259537677147</v>
      </c>
      <c r="AG1039">
        <f t="shared" si="258"/>
        <v>30020.42276669728</v>
      </c>
      <c r="AH1039" t="b">
        <f t="shared" si="269"/>
        <v>1</v>
      </c>
    </row>
    <row r="1040" spans="4:34" hidden="1" x14ac:dyDescent="0.4">
      <c r="D1040" t="s">
        <v>56</v>
      </c>
      <c r="E1040" t="s">
        <v>37</v>
      </c>
      <c r="F1040" s="9">
        <v>45774.416666666664</v>
      </c>
      <c r="G1040" s="12">
        <v>1810.51</v>
      </c>
      <c r="H1040" s="9">
        <v>45775.083333333336</v>
      </c>
      <c r="I1040" s="12">
        <v>1777.56</v>
      </c>
      <c r="J1040">
        <v>2.8858999999999999</v>
      </c>
      <c r="K1040" s="12">
        <v>5225.12</v>
      </c>
      <c r="L1040">
        <v>7.77</v>
      </c>
      <c r="M1040">
        <v>-102.84</v>
      </c>
      <c r="N1040" s="13">
        <v>-1.9699999999999999E-2</v>
      </c>
      <c r="O1040" t="s">
        <v>49</v>
      </c>
      <c r="Q1040">
        <f t="shared" si="270"/>
        <v>-95.090405000000132</v>
      </c>
      <c r="R1040">
        <f t="shared" si="271"/>
        <v>-102.86040500000013</v>
      </c>
      <c r="S1040">
        <f t="shared" si="272"/>
        <v>5129.860404</v>
      </c>
      <c r="U1040">
        <f t="shared" si="259"/>
        <v>0.91134499999999996</v>
      </c>
      <c r="V1040">
        <f t="shared" si="273"/>
        <v>1649.99923595</v>
      </c>
      <c r="W1040">
        <f t="shared" si="260"/>
        <v>-30.028817750000041</v>
      </c>
      <c r="X1040">
        <f t="shared" si="261"/>
        <v>3.2699696541499996</v>
      </c>
      <c r="Y1040">
        <f t="shared" si="262"/>
        <v>-33.29878740415004</v>
      </c>
      <c r="Z1040">
        <f t="shared" si="263"/>
        <v>26648.702920313946</v>
      </c>
      <c r="AB1040">
        <f t="shared" si="264"/>
        <v>1.6673230000000001</v>
      </c>
      <c r="AC1040">
        <f t="shared" si="265"/>
        <v>3018.70496473</v>
      </c>
      <c r="AD1040">
        <f t="shared" si="266"/>
        <v>-54.938292850000082</v>
      </c>
      <c r="AE1040">
        <f t="shared" si="267"/>
        <v>5.9824716366099997</v>
      </c>
      <c r="AF1040">
        <f t="shared" si="268"/>
        <v>-60.920764486610082</v>
      </c>
      <c r="AG1040">
        <f t="shared" si="258"/>
        <v>30126.12536207405</v>
      </c>
      <c r="AH1040" t="b">
        <f t="shared" si="269"/>
        <v>1</v>
      </c>
    </row>
    <row r="1041" spans="4:34" hidden="1" x14ac:dyDescent="0.4">
      <c r="D1041" t="s">
        <v>50</v>
      </c>
      <c r="E1041" t="s">
        <v>37</v>
      </c>
      <c r="F1041" s="9">
        <v>45772.916666666664</v>
      </c>
      <c r="G1041">
        <v>359.6</v>
      </c>
      <c r="H1041" s="9">
        <v>45774.916666666664</v>
      </c>
      <c r="I1041">
        <v>355.7</v>
      </c>
      <c r="J1041" s="12">
        <v>33.831000000000003</v>
      </c>
      <c r="K1041" s="12">
        <v>12165.65</v>
      </c>
      <c r="L1041">
        <v>18.149999999999999</v>
      </c>
      <c r="M1041">
        <v>-150.09</v>
      </c>
      <c r="N1041" s="13">
        <v>-1.23E-2</v>
      </c>
      <c r="O1041" t="s">
        <v>38</v>
      </c>
      <c r="Q1041">
        <f t="shared" si="270"/>
        <v>-131.94090000000116</v>
      </c>
      <c r="R1041">
        <f t="shared" si="271"/>
        <v>-150.09090000000117</v>
      </c>
      <c r="S1041">
        <f t="shared" si="272"/>
        <v>12033.6867</v>
      </c>
      <c r="U1041">
        <f t="shared" si="259"/>
        <v>4.5884320000000001</v>
      </c>
      <c r="V1041">
        <f t="shared" si="273"/>
        <v>1650.0001472000001</v>
      </c>
      <c r="W1041">
        <f t="shared" si="260"/>
        <v>-17.894884800000156</v>
      </c>
      <c r="X1041">
        <f t="shared" si="261"/>
        <v>3.2821054095999997</v>
      </c>
      <c r="Y1041">
        <f t="shared" si="262"/>
        <v>-21.176990209600156</v>
      </c>
      <c r="Z1041">
        <f t="shared" si="263"/>
        <v>26682.001707718096</v>
      </c>
      <c r="AB1041">
        <f t="shared" si="264"/>
        <v>8.4054059999999993</v>
      </c>
      <c r="AC1041">
        <f t="shared" si="265"/>
        <v>3022.5839975999997</v>
      </c>
      <c r="AD1041">
        <f t="shared" si="266"/>
        <v>-32.781083400000284</v>
      </c>
      <c r="AE1041">
        <f t="shared" si="267"/>
        <v>6.0123869117999993</v>
      </c>
      <c r="AF1041">
        <f t="shared" si="268"/>
        <v>-38.793470311800284</v>
      </c>
      <c r="AG1041">
        <f t="shared" si="258"/>
        <v>30187.046126560661</v>
      </c>
      <c r="AH1041" t="b">
        <f t="shared" si="269"/>
        <v>1</v>
      </c>
    </row>
    <row r="1042" spans="4:34" hidden="1" x14ac:dyDescent="0.4">
      <c r="D1042" t="s">
        <v>55</v>
      </c>
      <c r="E1042" t="s">
        <v>37</v>
      </c>
      <c r="F1042" s="9">
        <v>45772.666666666664</v>
      </c>
      <c r="G1042">
        <v>6.4950000000000007E-5</v>
      </c>
      <c r="H1042" s="9">
        <v>45774.666666666664</v>
      </c>
      <c r="I1042">
        <v>6.3200000000000005E-5</v>
      </c>
      <c r="J1042" s="12">
        <v>91510929.290000007</v>
      </c>
      <c r="K1042" s="12">
        <v>5943.63</v>
      </c>
      <c r="L1042">
        <v>8.8000000000000007</v>
      </c>
      <c r="M1042" s="12">
        <v>-168.94</v>
      </c>
      <c r="N1042" s="13">
        <v>-2.8400000000000002E-2</v>
      </c>
      <c r="O1042" t="s">
        <v>38</v>
      </c>
      <c r="Q1042">
        <f t="shared" si="270"/>
        <v>-160.14412625750018</v>
      </c>
      <c r="R1042">
        <f t="shared" si="271"/>
        <v>-168.94412625750019</v>
      </c>
      <c r="S1042">
        <f t="shared" si="272"/>
        <v>5783.4907311280012</v>
      </c>
      <c r="U1042">
        <f t="shared" si="259"/>
        <v>25404157.043880001</v>
      </c>
      <c r="V1042">
        <f t="shared" si="273"/>
        <v>1650.0000000000061</v>
      </c>
      <c r="W1042">
        <f t="shared" si="260"/>
        <v>-44.457274826790048</v>
      </c>
      <c r="X1042">
        <f t="shared" si="261"/>
        <v>3.2555427251732221</v>
      </c>
      <c r="Y1042">
        <f t="shared" si="262"/>
        <v>-47.712817551963269</v>
      </c>
      <c r="Z1042">
        <f t="shared" si="263"/>
        <v>26703.178697927695</v>
      </c>
      <c r="AB1042">
        <f t="shared" si="264"/>
        <v>46672050.359128997</v>
      </c>
      <c r="AC1042">
        <f t="shared" si="265"/>
        <v>3031.3496708254288</v>
      </c>
      <c r="AD1042">
        <f t="shared" si="266"/>
        <v>-81.676088128475826</v>
      </c>
      <c r="AE1042">
        <f t="shared" si="267"/>
        <v>5.9810232535223804</v>
      </c>
      <c r="AF1042">
        <f t="shared" si="268"/>
        <v>-87.657111381998206</v>
      </c>
      <c r="AG1042">
        <f t="shared" si="258"/>
        <v>30225.839596872462</v>
      </c>
      <c r="AH1042" t="b">
        <f t="shared" si="269"/>
        <v>1</v>
      </c>
    </row>
    <row r="1043" spans="4:34" hidden="1" x14ac:dyDescent="0.4">
      <c r="D1043" t="s">
        <v>60</v>
      </c>
      <c r="E1043" t="s">
        <v>37</v>
      </c>
      <c r="F1043" s="9">
        <v>45772.041666666664</v>
      </c>
      <c r="G1043">
        <v>2.206</v>
      </c>
      <c r="H1043" s="9">
        <v>45774.541666666664</v>
      </c>
      <c r="I1043">
        <v>2.1812</v>
      </c>
      <c r="J1043">
        <v>986.8</v>
      </c>
      <c r="K1043" s="12">
        <v>2176.91</v>
      </c>
      <c r="L1043">
        <v>3.25</v>
      </c>
      <c r="M1043">
        <v>-27.72</v>
      </c>
      <c r="N1043" s="13">
        <v>-1.2699999999999999E-2</v>
      </c>
      <c r="O1043" t="s">
        <v>57</v>
      </c>
      <c r="Q1043">
        <f t="shared" si="270"/>
        <v>-24.472639999999934</v>
      </c>
      <c r="R1043">
        <f t="shared" si="271"/>
        <v>-27.722639999999934</v>
      </c>
      <c r="S1043">
        <f t="shared" si="272"/>
        <v>2152.40816</v>
      </c>
      <c r="U1043">
        <f t="shared" si="259"/>
        <v>747.96010899999999</v>
      </c>
      <c r="V1043">
        <f t="shared" si="273"/>
        <v>1650.000000454</v>
      </c>
      <c r="W1043">
        <f t="shared" si="260"/>
        <v>-18.54941070319995</v>
      </c>
      <c r="X1043">
        <f t="shared" si="261"/>
        <v>3.2814505902048001</v>
      </c>
      <c r="Y1043">
        <f t="shared" si="262"/>
        <v>-21.830861293404752</v>
      </c>
      <c r="Z1043">
        <f t="shared" si="263"/>
        <v>26750.89151547966</v>
      </c>
      <c r="AB1043">
        <f t="shared" si="264"/>
        <v>1375.959071</v>
      </c>
      <c r="AC1043">
        <f t="shared" si="265"/>
        <v>3035.3657106259998</v>
      </c>
      <c r="AD1043">
        <f t="shared" si="266"/>
        <v>-34.12378496079991</v>
      </c>
      <c r="AE1043">
        <f t="shared" si="267"/>
        <v>6.0366076362912002</v>
      </c>
      <c r="AF1043">
        <f t="shared" si="268"/>
        <v>-40.160392597091111</v>
      </c>
      <c r="AG1043">
        <f t="shared" si="258"/>
        <v>30313.496708254461</v>
      </c>
      <c r="AH1043" t="b">
        <f t="shared" si="269"/>
        <v>1</v>
      </c>
    </row>
    <row r="1044" spans="4:34" hidden="1" x14ac:dyDescent="0.4">
      <c r="D1044" t="s">
        <v>54</v>
      </c>
      <c r="E1044" t="s">
        <v>37</v>
      </c>
      <c r="F1044" s="9">
        <v>45772.541666666664</v>
      </c>
      <c r="G1044">
        <v>154.80000000000001</v>
      </c>
      <c r="H1044" s="9">
        <v>45774.541666666664</v>
      </c>
      <c r="I1044">
        <v>148</v>
      </c>
      <c r="J1044">
        <v>30.329000000000001</v>
      </c>
      <c r="K1044" s="12">
        <v>4695.07</v>
      </c>
      <c r="L1044">
        <v>6.89</v>
      </c>
      <c r="M1044">
        <v>-213.12</v>
      </c>
      <c r="N1044" s="13">
        <v>-4.5400000000000003E-2</v>
      </c>
      <c r="O1044" t="s">
        <v>38</v>
      </c>
      <c r="Q1044">
        <f t="shared" si="270"/>
        <v>-206.23720000000034</v>
      </c>
      <c r="R1044">
        <f t="shared" si="271"/>
        <v>-213.12720000000033</v>
      </c>
      <c r="S1044">
        <f t="shared" si="272"/>
        <v>4488.692</v>
      </c>
      <c r="U1044">
        <f t="shared" si="259"/>
        <v>10.658915</v>
      </c>
      <c r="V1044">
        <f t="shared" si="273"/>
        <v>1650.0000420000001</v>
      </c>
      <c r="W1044">
        <f t="shared" si="260"/>
        <v>-72.480622000000125</v>
      </c>
      <c r="X1044">
        <f t="shared" si="261"/>
        <v>3.2275194620000001</v>
      </c>
      <c r="Y1044">
        <f t="shared" si="262"/>
        <v>-75.708141462000128</v>
      </c>
      <c r="Z1044">
        <f t="shared" si="263"/>
        <v>26772.722376773065</v>
      </c>
      <c r="AB1044">
        <f t="shared" si="264"/>
        <v>19.698691</v>
      </c>
      <c r="AC1044">
        <f t="shared" si="265"/>
        <v>3049.3573668000004</v>
      </c>
      <c r="AD1044">
        <f t="shared" si="266"/>
        <v>-133.95109880000024</v>
      </c>
      <c r="AE1044">
        <f t="shared" si="267"/>
        <v>5.9647636348000006</v>
      </c>
      <c r="AF1044">
        <f t="shared" si="268"/>
        <v>-139.91586243480023</v>
      </c>
      <c r="AG1044">
        <f t="shared" si="258"/>
        <v>30353.657100851553</v>
      </c>
      <c r="AH1044" t="b">
        <f t="shared" si="269"/>
        <v>1</v>
      </c>
    </row>
    <row r="1045" spans="4:34" hidden="1" x14ac:dyDescent="0.4">
      <c r="D1045" t="s">
        <v>56</v>
      </c>
      <c r="E1045" t="s">
        <v>37</v>
      </c>
      <c r="F1045" s="9">
        <v>45771.833333333336</v>
      </c>
      <c r="G1045" s="12">
        <v>1763.99</v>
      </c>
      <c r="H1045" s="9">
        <v>45774.333333333336</v>
      </c>
      <c r="I1045" s="12">
        <v>1801.35</v>
      </c>
      <c r="J1045">
        <v>2.9561999999999999</v>
      </c>
      <c r="K1045" s="12">
        <v>5214.87</v>
      </c>
      <c r="L1045">
        <v>7.9</v>
      </c>
      <c r="M1045">
        <v>102.54</v>
      </c>
      <c r="N1045" s="13">
        <v>1.9699999999999999E-2</v>
      </c>
      <c r="O1045" t="s">
        <v>57</v>
      </c>
      <c r="Q1045">
        <f t="shared" si="270"/>
        <v>110.4436319999997</v>
      </c>
      <c r="R1045">
        <f t="shared" si="271"/>
        <v>102.54363199999969</v>
      </c>
      <c r="S1045">
        <f t="shared" si="272"/>
        <v>5325.1508699999995</v>
      </c>
      <c r="U1045">
        <f t="shared" si="259"/>
        <v>0.93537899999999996</v>
      </c>
      <c r="V1045">
        <f t="shared" si="273"/>
        <v>1649.99920221</v>
      </c>
      <c r="W1045">
        <f t="shared" si="260"/>
        <v>34.945759439999904</v>
      </c>
      <c r="X1045">
        <f t="shared" si="261"/>
        <v>3.3349441638600004</v>
      </c>
      <c r="Y1045">
        <f t="shared" si="262"/>
        <v>31.610815276139903</v>
      </c>
      <c r="Z1045">
        <f t="shared" si="263"/>
        <v>26848.430518235065</v>
      </c>
      <c r="AB1045">
        <f t="shared" si="264"/>
        <v>1.725365</v>
      </c>
      <c r="AC1045">
        <f t="shared" si="265"/>
        <v>3043.5266063500003</v>
      </c>
      <c r="AD1045">
        <f t="shared" si="266"/>
        <v>64.459636399999823</v>
      </c>
      <c r="AE1045">
        <f t="shared" si="267"/>
        <v>6.1515128491000004</v>
      </c>
      <c r="AF1045">
        <f t="shared" si="268"/>
        <v>58.308123550899822</v>
      </c>
      <c r="AG1045">
        <f t="shared" si="258"/>
        <v>30493.572963286355</v>
      </c>
      <c r="AH1045" t="b">
        <f t="shared" si="269"/>
        <v>1</v>
      </c>
    </row>
    <row r="1046" spans="4:34" hidden="1" x14ac:dyDescent="0.4">
      <c r="D1046" t="s">
        <v>59</v>
      </c>
      <c r="E1046" t="s">
        <v>37</v>
      </c>
      <c r="F1046" s="9">
        <v>45771.833333333336</v>
      </c>
      <c r="G1046" s="12">
        <v>93422.02</v>
      </c>
      <c r="H1046" s="9">
        <v>45774.333333333336</v>
      </c>
      <c r="I1046" s="12">
        <v>94048.01</v>
      </c>
      <c r="J1046">
        <v>0.10949</v>
      </c>
      <c r="K1046" s="12">
        <v>10228.85</v>
      </c>
      <c r="L1046">
        <v>15.39</v>
      </c>
      <c r="M1046">
        <v>53.15</v>
      </c>
      <c r="N1046" s="13">
        <v>5.1999999999999998E-3</v>
      </c>
      <c r="O1046" t="s">
        <v>57</v>
      </c>
      <c r="Q1046">
        <f t="shared" si="270"/>
        <v>68.539645099998978</v>
      </c>
      <c r="R1046">
        <f t="shared" si="271"/>
        <v>53.149645099998978</v>
      </c>
      <c r="S1046">
        <f t="shared" si="272"/>
        <v>10297.316614899999</v>
      </c>
      <c r="U1046">
        <f t="shared" si="259"/>
        <v>1.7662000000000001E-2</v>
      </c>
      <c r="V1046">
        <f t="shared" si="273"/>
        <v>1650.0197172400001</v>
      </c>
      <c r="W1046">
        <f t="shared" si="260"/>
        <v>11.056235379999835</v>
      </c>
      <c r="X1046">
        <f t="shared" si="261"/>
        <v>3.3110956698600003</v>
      </c>
      <c r="Y1046">
        <f t="shared" si="262"/>
        <v>7.7451397101398349</v>
      </c>
      <c r="Z1046">
        <f t="shared" si="263"/>
        <v>26816.819702958925</v>
      </c>
      <c r="AB1046">
        <f t="shared" si="264"/>
        <v>3.2563000000000002E-2</v>
      </c>
      <c r="AC1046">
        <f t="shared" si="265"/>
        <v>3042.1012372600003</v>
      </c>
      <c r="AD1046">
        <f t="shared" si="266"/>
        <v>20.384112369999698</v>
      </c>
      <c r="AE1046">
        <f t="shared" si="267"/>
        <v>6.1045865868900009</v>
      </c>
      <c r="AF1046">
        <f t="shared" si="268"/>
        <v>14.279525783109698</v>
      </c>
      <c r="AG1046">
        <f t="shared" si="258"/>
        <v>30435.264839735457</v>
      </c>
      <c r="AH1046" t="b">
        <f t="shared" si="269"/>
        <v>1</v>
      </c>
    </row>
    <row r="1047" spans="4:34" hidden="1" x14ac:dyDescent="0.4">
      <c r="D1047" t="s">
        <v>53</v>
      </c>
      <c r="E1047" t="s">
        <v>37</v>
      </c>
      <c r="F1047" s="9">
        <v>45772.208333333336</v>
      </c>
      <c r="G1047">
        <v>601.02</v>
      </c>
      <c r="H1047" s="9">
        <v>45774.208333333336</v>
      </c>
      <c r="I1047">
        <v>602.88</v>
      </c>
      <c r="J1047">
        <v>15.167999999999999</v>
      </c>
      <c r="K1047" s="12">
        <v>9116.3700000000008</v>
      </c>
      <c r="L1047">
        <v>13.7</v>
      </c>
      <c r="M1047">
        <v>14.52</v>
      </c>
      <c r="N1047" s="13">
        <v>1.6000000000000001E-3</v>
      </c>
      <c r="O1047" t="s">
        <v>38</v>
      </c>
      <c r="Q1047">
        <f t="shared" si="270"/>
        <v>28.212480000000205</v>
      </c>
      <c r="R1047">
        <f t="shared" si="271"/>
        <v>14.512480000000206</v>
      </c>
      <c r="S1047">
        <f t="shared" si="272"/>
        <v>9144.483839999999</v>
      </c>
      <c r="U1047">
        <f t="shared" si="259"/>
        <v>2.745333</v>
      </c>
      <c r="V1047">
        <f t="shared" si="273"/>
        <v>1650.0000396599999</v>
      </c>
      <c r="W1047">
        <f t="shared" si="260"/>
        <v>5.1063193800000377</v>
      </c>
      <c r="X1047">
        <f t="shared" si="261"/>
        <v>3.3051063987000004</v>
      </c>
      <c r="Y1047">
        <f t="shared" si="262"/>
        <v>1.8012129813000373</v>
      </c>
      <c r="Z1047">
        <f t="shared" si="263"/>
        <v>26809.074563248785</v>
      </c>
      <c r="AB1047">
        <f t="shared" si="264"/>
        <v>5.061007</v>
      </c>
      <c r="AC1047">
        <f t="shared" si="265"/>
        <v>3041.7664271399999</v>
      </c>
      <c r="AD1047">
        <f t="shared" si="266"/>
        <v>9.4134730200000689</v>
      </c>
      <c r="AE1047">
        <f t="shared" si="267"/>
        <v>6.0929463273000009</v>
      </c>
      <c r="AF1047">
        <f t="shared" si="268"/>
        <v>3.3205266927000681</v>
      </c>
      <c r="AG1047">
        <f t="shared" si="258"/>
        <v>30420.985313952347</v>
      </c>
      <c r="AH1047" t="b">
        <f t="shared" si="269"/>
        <v>1</v>
      </c>
    </row>
    <row r="1048" spans="4:34" hidden="1" x14ac:dyDescent="0.4">
      <c r="D1048" t="s">
        <v>48</v>
      </c>
      <c r="E1048" t="s">
        <v>37</v>
      </c>
      <c r="F1048" s="9">
        <v>45771.916666666664</v>
      </c>
      <c r="G1048">
        <v>0.15409999999999999</v>
      </c>
      <c r="H1048" s="9">
        <v>45773.916666666664</v>
      </c>
      <c r="I1048">
        <v>0.1598</v>
      </c>
      <c r="J1048" s="12">
        <v>18494.7</v>
      </c>
      <c r="K1048" s="12">
        <v>2850.04</v>
      </c>
      <c r="L1048">
        <v>4.3499999999999996</v>
      </c>
      <c r="M1048" s="12">
        <v>101.07</v>
      </c>
      <c r="N1048" s="13">
        <v>3.5499999999999997E-2</v>
      </c>
      <c r="O1048" t="s">
        <v>38</v>
      </c>
      <c r="Q1048">
        <f t="shared" si="270"/>
        <v>105.41979000000021</v>
      </c>
      <c r="R1048">
        <f t="shared" si="271"/>
        <v>101.06979000000021</v>
      </c>
      <c r="S1048">
        <f t="shared" si="272"/>
        <v>2955.4530600000003</v>
      </c>
      <c r="U1048">
        <f t="shared" si="259"/>
        <v>10707.332901</v>
      </c>
      <c r="V1048">
        <f t="shared" si="273"/>
        <v>1650.0000000440998</v>
      </c>
      <c r="W1048">
        <f t="shared" si="260"/>
        <v>61.031797535700115</v>
      </c>
      <c r="X1048">
        <f t="shared" si="261"/>
        <v>3.3610317976238999</v>
      </c>
      <c r="Y1048">
        <f t="shared" si="262"/>
        <v>57.670765738076213</v>
      </c>
      <c r="Z1048">
        <f t="shared" si="263"/>
        <v>26807.273350267486</v>
      </c>
      <c r="AB1048">
        <f t="shared" si="264"/>
        <v>19670.161797000001</v>
      </c>
      <c r="AC1048">
        <f t="shared" si="265"/>
        <v>3031.1719329176999</v>
      </c>
      <c r="AD1048">
        <f t="shared" si="266"/>
        <v>112.11992224290022</v>
      </c>
      <c r="AE1048">
        <f t="shared" si="267"/>
        <v>6.1744637880782998</v>
      </c>
      <c r="AF1048">
        <f t="shared" si="268"/>
        <v>105.94545845482192</v>
      </c>
      <c r="AG1048">
        <f t="shared" si="258"/>
        <v>30417.664787259648</v>
      </c>
      <c r="AH1048" t="b">
        <f t="shared" si="269"/>
        <v>1</v>
      </c>
    </row>
    <row r="1049" spans="4:34" hidden="1" x14ac:dyDescent="0.4">
      <c r="D1049" t="s">
        <v>52</v>
      </c>
      <c r="E1049" t="s">
        <v>37</v>
      </c>
      <c r="F1049" s="9">
        <v>45771.833333333336</v>
      </c>
      <c r="G1049">
        <v>5.1219999999999999</v>
      </c>
      <c r="H1049" s="9">
        <v>45773.833333333336</v>
      </c>
      <c r="I1049">
        <v>5.2610000000000001</v>
      </c>
      <c r="J1049">
        <v>450.47</v>
      </c>
      <c r="K1049" s="12">
        <v>2307.31</v>
      </c>
      <c r="L1049">
        <v>3.51</v>
      </c>
      <c r="M1049">
        <v>59.11</v>
      </c>
      <c r="N1049" s="13">
        <v>2.5600000000000001E-2</v>
      </c>
      <c r="O1049" t="s">
        <v>38</v>
      </c>
      <c r="Q1049">
        <f t="shared" si="270"/>
        <v>62.615330000000107</v>
      </c>
      <c r="R1049">
        <f t="shared" si="271"/>
        <v>59.105330000000109</v>
      </c>
      <c r="S1049">
        <f t="shared" si="272"/>
        <v>2369.9226700000004</v>
      </c>
      <c r="U1049">
        <f t="shared" si="259"/>
        <v>322.13978900000001</v>
      </c>
      <c r="V1049">
        <f t="shared" si="273"/>
        <v>1649.9999992579999</v>
      </c>
      <c r="W1049">
        <f t="shared" si="260"/>
        <v>44.777430671000076</v>
      </c>
      <c r="X1049">
        <f t="shared" si="261"/>
        <v>3.3447774291869998</v>
      </c>
      <c r="Y1049">
        <f t="shared" si="262"/>
        <v>41.432653241813078</v>
      </c>
      <c r="Z1049">
        <f t="shared" si="263"/>
        <v>26749.60258452941</v>
      </c>
      <c r="AB1049">
        <f t="shared" si="264"/>
        <v>590.31228299999998</v>
      </c>
      <c r="AC1049">
        <f t="shared" si="265"/>
        <v>3023.579513526</v>
      </c>
      <c r="AD1049">
        <f t="shared" si="266"/>
        <v>82.053407337000138</v>
      </c>
      <c r="AE1049">
        <f t="shared" si="267"/>
        <v>6.1292124343889993</v>
      </c>
      <c r="AF1049">
        <f t="shared" si="268"/>
        <v>75.924194902611134</v>
      </c>
      <c r="AG1049">
        <f t="shared" si="258"/>
        <v>30311.719328804826</v>
      </c>
      <c r="AH1049" t="b">
        <f t="shared" si="269"/>
        <v>1</v>
      </c>
    </row>
    <row r="1050" spans="4:34" hidden="1" x14ac:dyDescent="0.4">
      <c r="D1050" t="s">
        <v>58</v>
      </c>
      <c r="E1050" t="s">
        <v>37</v>
      </c>
      <c r="F1050" s="9">
        <v>45771.625</v>
      </c>
      <c r="G1050">
        <v>14.53</v>
      </c>
      <c r="H1050" s="9">
        <v>45773.625</v>
      </c>
      <c r="I1050">
        <v>14.79</v>
      </c>
      <c r="J1050">
        <v>484.74</v>
      </c>
      <c r="K1050" s="12">
        <v>7043.38</v>
      </c>
      <c r="L1050">
        <v>10.66</v>
      </c>
      <c r="M1050">
        <v>115.37</v>
      </c>
      <c r="N1050" s="13">
        <v>1.6400000000000001E-2</v>
      </c>
      <c r="O1050" t="s">
        <v>38</v>
      </c>
      <c r="Q1050">
        <f t="shared" si="270"/>
        <v>126.0323999999999</v>
      </c>
      <c r="R1050">
        <f t="shared" si="271"/>
        <v>115.3723999999999</v>
      </c>
      <c r="S1050">
        <f t="shared" si="272"/>
        <v>7169.3045999999995</v>
      </c>
      <c r="U1050">
        <f t="shared" si="259"/>
        <v>113.558156</v>
      </c>
      <c r="V1050">
        <f t="shared" si="273"/>
        <v>1650.0000066799998</v>
      </c>
      <c r="W1050">
        <f t="shared" si="260"/>
        <v>29.525120559999976</v>
      </c>
      <c r="X1050">
        <f t="shared" si="261"/>
        <v>3.3295251339200003</v>
      </c>
      <c r="Y1050">
        <f t="shared" si="262"/>
        <v>26.195595426079976</v>
      </c>
      <c r="Z1050">
        <f t="shared" si="263"/>
        <v>26708.169931287597</v>
      </c>
      <c r="AB1050">
        <f t="shared" si="264"/>
        <v>207.76234400000001</v>
      </c>
      <c r="AC1050">
        <f t="shared" si="265"/>
        <v>3018.7868583200002</v>
      </c>
      <c r="AD1050">
        <f t="shared" si="266"/>
        <v>54.018209439999957</v>
      </c>
      <c r="AE1050">
        <f t="shared" si="267"/>
        <v>6.0915919260800004</v>
      </c>
      <c r="AF1050">
        <f t="shared" si="268"/>
        <v>47.926617513919958</v>
      </c>
      <c r="AG1050">
        <f t="shared" si="258"/>
        <v>30235.795133902215</v>
      </c>
      <c r="AH1050" t="b">
        <f t="shared" si="269"/>
        <v>1</v>
      </c>
    </row>
    <row r="1051" spans="4:34" hidden="1" x14ac:dyDescent="0.4">
      <c r="D1051" t="s">
        <v>61</v>
      </c>
      <c r="E1051" t="s">
        <v>37</v>
      </c>
      <c r="F1051" s="9">
        <v>45771.291666666664</v>
      </c>
      <c r="G1051">
        <v>0.68610000000000004</v>
      </c>
      <c r="H1051" s="9">
        <v>45773.291666666664</v>
      </c>
      <c r="I1051">
        <v>0.71909999999999996</v>
      </c>
      <c r="J1051" s="12">
        <v>11512.9</v>
      </c>
      <c r="K1051" s="12">
        <v>7899.03</v>
      </c>
      <c r="L1051">
        <v>12.13</v>
      </c>
      <c r="M1051">
        <v>367.79</v>
      </c>
      <c r="N1051" s="13">
        <v>4.6600000000000003E-2</v>
      </c>
      <c r="O1051" t="s">
        <v>38</v>
      </c>
      <c r="Q1051">
        <f t="shared" si="270"/>
        <v>379.92569999999904</v>
      </c>
      <c r="R1051">
        <f t="shared" si="271"/>
        <v>367.79569999999904</v>
      </c>
      <c r="S1051">
        <f t="shared" si="272"/>
        <v>8278.9263899999987</v>
      </c>
      <c r="U1051">
        <f t="shared" si="259"/>
        <v>2404.8972450000001</v>
      </c>
      <c r="V1051">
        <f t="shared" si="273"/>
        <v>1649.9999997945001</v>
      </c>
      <c r="W1051">
        <f t="shared" si="260"/>
        <v>79.361609084999813</v>
      </c>
      <c r="X1051">
        <f t="shared" si="261"/>
        <v>3.3793616086740004</v>
      </c>
      <c r="Y1051">
        <f t="shared" si="262"/>
        <v>75.98224747632581</v>
      </c>
      <c r="Z1051">
        <f t="shared" si="263"/>
        <v>26681.974335861516</v>
      </c>
      <c r="AB1051">
        <f t="shared" si="264"/>
        <v>4379.7538359999999</v>
      </c>
      <c r="AC1051">
        <f t="shared" si="265"/>
        <v>3004.9491068796001</v>
      </c>
      <c r="AD1051">
        <f t="shared" si="266"/>
        <v>144.53187658799965</v>
      </c>
      <c r="AE1051">
        <f t="shared" si="267"/>
        <v>6.1544300903472005</v>
      </c>
      <c r="AF1051">
        <f t="shared" si="268"/>
        <v>138.37744649765244</v>
      </c>
      <c r="AG1051">
        <f t="shared" si="258"/>
        <v>30187.868516388295</v>
      </c>
      <c r="AH1051" t="b">
        <f t="shared" si="269"/>
        <v>1</v>
      </c>
    </row>
    <row r="1052" spans="4:34" hidden="1" x14ac:dyDescent="0.4">
      <c r="D1052" t="s">
        <v>43</v>
      </c>
      <c r="E1052" t="s">
        <v>37</v>
      </c>
      <c r="F1052" s="9">
        <v>45770.916666666664</v>
      </c>
      <c r="G1052">
        <v>2.9906000000000001</v>
      </c>
      <c r="H1052" s="9">
        <v>45772.916666666664</v>
      </c>
      <c r="I1052">
        <v>3.5836999999999999</v>
      </c>
      <c r="J1052" s="12">
        <v>601.29999999999995</v>
      </c>
      <c r="K1052" s="12">
        <v>1798.42</v>
      </c>
      <c r="L1052">
        <v>2.96</v>
      </c>
      <c r="M1052">
        <v>353.67</v>
      </c>
      <c r="N1052" s="13">
        <v>0.19670000000000001</v>
      </c>
      <c r="O1052" t="s">
        <v>38</v>
      </c>
      <c r="Q1052">
        <f t="shared" si="270"/>
        <v>356.63102999999984</v>
      </c>
      <c r="R1052">
        <f t="shared" si="271"/>
        <v>353.67102999999986</v>
      </c>
      <c r="S1052">
        <f t="shared" si="272"/>
        <v>2154.8788099999997</v>
      </c>
      <c r="U1052">
        <f t="shared" si="259"/>
        <v>551.72874999999999</v>
      </c>
      <c r="V1052">
        <f t="shared" si="273"/>
        <v>1649.9999997500001</v>
      </c>
      <c r="W1052">
        <f t="shared" si="260"/>
        <v>327.23032162499987</v>
      </c>
      <c r="X1052">
        <f t="shared" si="261"/>
        <v>3.6272303211249999</v>
      </c>
      <c r="Y1052">
        <f t="shared" si="262"/>
        <v>323.60309130387486</v>
      </c>
      <c r="Z1052">
        <f t="shared" si="263"/>
        <v>26605.992088385192</v>
      </c>
      <c r="AB1052">
        <f t="shared" si="264"/>
        <v>985.47071400000004</v>
      </c>
      <c r="AC1052">
        <f t="shared" si="265"/>
        <v>2947.1487172884003</v>
      </c>
      <c r="AD1052">
        <f t="shared" si="266"/>
        <v>584.4826804733998</v>
      </c>
      <c r="AE1052">
        <f t="shared" si="267"/>
        <v>6.4787801150502</v>
      </c>
      <c r="AF1052">
        <f t="shared" si="268"/>
        <v>578.0039003583496</v>
      </c>
      <c r="AG1052">
        <f t="shared" si="258"/>
        <v>30049.491069890642</v>
      </c>
      <c r="AH1052" t="b">
        <f t="shared" si="269"/>
        <v>1</v>
      </c>
    </row>
    <row r="1053" spans="4:34" hidden="1" x14ac:dyDescent="0.4">
      <c r="D1053" t="s">
        <v>50</v>
      </c>
      <c r="E1053" t="s">
        <v>37</v>
      </c>
      <c r="F1053" s="9">
        <v>45770.708333333336</v>
      </c>
      <c r="G1053">
        <v>331.6</v>
      </c>
      <c r="H1053" s="9">
        <v>45772.708333333336</v>
      </c>
      <c r="I1053">
        <v>364.2</v>
      </c>
      <c r="J1053" s="12">
        <v>36.336199999999998</v>
      </c>
      <c r="K1053" s="12">
        <v>12049.09</v>
      </c>
      <c r="L1053">
        <v>18.96</v>
      </c>
      <c r="M1053" s="12">
        <v>1165.5999999999999</v>
      </c>
      <c r="N1053" s="13">
        <v>9.6699999999999994E-2</v>
      </c>
      <c r="O1053" t="s">
        <v>38</v>
      </c>
      <c r="Q1053">
        <f t="shared" si="270"/>
        <v>1184.5601199999987</v>
      </c>
      <c r="R1053">
        <f t="shared" si="271"/>
        <v>1165.6001199999987</v>
      </c>
      <c r="S1053">
        <f t="shared" si="272"/>
        <v>13233.644039999999</v>
      </c>
      <c r="U1053">
        <f t="shared" si="259"/>
        <v>4.9758750000000003</v>
      </c>
      <c r="V1053">
        <f t="shared" si="273"/>
        <v>1650.0001500000003</v>
      </c>
      <c r="W1053">
        <f t="shared" si="260"/>
        <v>162.21352499999983</v>
      </c>
      <c r="X1053">
        <f t="shared" si="261"/>
        <v>3.4622138250000001</v>
      </c>
      <c r="Y1053">
        <f t="shared" si="262"/>
        <v>158.75131117499984</v>
      </c>
      <c r="Z1053">
        <f t="shared" si="263"/>
        <v>26282.388997081318</v>
      </c>
      <c r="AB1053">
        <f t="shared" si="264"/>
        <v>8.8029659999999996</v>
      </c>
      <c r="AC1053">
        <f t="shared" si="265"/>
        <v>2919.0635256</v>
      </c>
      <c r="AD1053">
        <f t="shared" si="266"/>
        <v>286.9766915999997</v>
      </c>
      <c r="AE1053">
        <f t="shared" si="267"/>
        <v>6.1251037427999995</v>
      </c>
      <c r="AF1053">
        <f t="shared" si="268"/>
        <v>280.85158785719972</v>
      </c>
      <c r="AG1053">
        <f t="shared" si="258"/>
        <v>29471.487169532295</v>
      </c>
      <c r="AH1053" t="b">
        <f t="shared" si="269"/>
        <v>1</v>
      </c>
    </row>
    <row r="1054" spans="4:34" hidden="1" x14ac:dyDescent="0.4">
      <c r="D1054" t="s">
        <v>54</v>
      </c>
      <c r="E1054" t="s">
        <v>37</v>
      </c>
      <c r="F1054" s="9">
        <v>45770.5</v>
      </c>
      <c r="G1054" s="12">
        <v>152.69</v>
      </c>
      <c r="H1054" s="9">
        <v>45772.5</v>
      </c>
      <c r="I1054" s="12">
        <v>153.03</v>
      </c>
      <c r="J1054">
        <v>30.745999999999999</v>
      </c>
      <c r="K1054" s="12">
        <v>4694.7299999999996</v>
      </c>
      <c r="L1054">
        <v>7.05</v>
      </c>
      <c r="M1054">
        <v>3.4</v>
      </c>
      <c r="N1054" s="13">
        <v>6.9999999999999999E-4</v>
      </c>
      <c r="O1054" t="s">
        <v>38</v>
      </c>
      <c r="Q1054">
        <f t="shared" si="270"/>
        <v>10.453640000000105</v>
      </c>
      <c r="R1054">
        <f t="shared" si="271"/>
        <v>3.403640000000105</v>
      </c>
      <c r="S1054">
        <f t="shared" si="272"/>
        <v>4705.0603799999999</v>
      </c>
      <c r="U1054">
        <f t="shared" si="259"/>
        <v>10.806209000000001</v>
      </c>
      <c r="V1054">
        <f t="shared" si="273"/>
        <v>1650.0000522100001</v>
      </c>
      <c r="W1054">
        <f t="shared" si="260"/>
        <v>3.6741110600000373</v>
      </c>
      <c r="X1054">
        <f t="shared" si="261"/>
        <v>3.303674215480001</v>
      </c>
      <c r="Y1054">
        <f t="shared" si="262"/>
        <v>0.37043684452003633</v>
      </c>
      <c r="Z1054">
        <f t="shared" si="263"/>
        <v>26123.637685906317</v>
      </c>
      <c r="AB1054">
        <f t="shared" si="264"/>
        <v>19.117152999999998</v>
      </c>
      <c r="AC1054">
        <f t="shared" si="265"/>
        <v>2918.9980915699998</v>
      </c>
      <c r="AD1054">
        <f t="shared" si="266"/>
        <v>6.4998320200000643</v>
      </c>
      <c r="AE1054">
        <f t="shared" si="267"/>
        <v>5.8444960151600007</v>
      </c>
      <c r="AF1054">
        <f t="shared" si="268"/>
        <v>0.6553360048400636</v>
      </c>
      <c r="AG1054">
        <f t="shared" si="258"/>
        <v>29190.635581675095</v>
      </c>
      <c r="AH1054" t="b">
        <f t="shared" si="269"/>
        <v>1</v>
      </c>
    </row>
    <row r="1055" spans="4:34" hidden="1" x14ac:dyDescent="0.4">
      <c r="D1055" t="s">
        <v>55</v>
      </c>
      <c r="E1055" t="s">
        <v>37</v>
      </c>
      <c r="F1055" s="9">
        <v>45770.5</v>
      </c>
      <c r="G1055">
        <v>6.4029999999999995E-5</v>
      </c>
      <c r="H1055" s="9">
        <v>45772.5</v>
      </c>
      <c r="I1055">
        <v>6.4449999999999994E-5</v>
      </c>
      <c r="J1055" s="12">
        <v>92778887.420000002</v>
      </c>
      <c r="K1055" s="12">
        <v>5940.63</v>
      </c>
      <c r="L1055">
        <v>8.94</v>
      </c>
      <c r="M1055">
        <v>30.03</v>
      </c>
      <c r="N1055" s="13">
        <v>5.1000000000000004E-3</v>
      </c>
      <c r="O1055" t="s">
        <v>38</v>
      </c>
      <c r="Q1055">
        <f t="shared" si="270"/>
        <v>38.967132716399945</v>
      </c>
      <c r="R1055">
        <f t="shared" si="271"/>
        <v>30.027132716399947</v>
      </c>
      <c r="S1055">
        <f t="shared" si="272"/>
        <v>5979.5992942189996</v>
      </c>
      <c r="U1055">
        <f t="shared" si="259"/>
        <v>25769170.701234002</v>
      </c>
      <c r="V1055">
        <f t="shared" si="273"/>
        <v>1650.000000000013</v>
      </c>
      <c r="W1055">
        <f t="shared" si="260"/>
        <v>10.823051694518265</v>
      </c>
      <c r="X1055">
        <f t="shared" si="261"/>
        <v>3.3108230516945443</v>
      </c>
      <c r="Y1055">
        <f t="shared" si="262"/>
        <v>7.5122286428237199</v>
      </c>
      <c r="Z1055">
        <f t="shared" si="263"/>
        <v>26123.267249061795</v>
      </c>
      <c r="AB1055">
        <f t="shared" si="264"/>
        <v>45567228.622804999</v>
      </c>
      <c r="AC1055">
        <f t="shared" si="265"/>
        <v>2917.6696487182039</v>
      </c>
      <c r="AD1055">
        <f t="shared" si="266"/>
        <v>19.13823602157807</v>
      </c>
      <c r="AE1055">
        <f t="shared" si="267"/>
        <v>5.8544775334579864</v>
      </c>
      <c r="AF1055">
        <f t="shared" si="268"/>
        <v>13.283758488120084</v>
      </c>
      <c r="AG1055">
        <f t="shared" si="258"/>
        <v>29189.980245670256</v>
      </c>
      <c r="AH1055" t="b">
        <f t="shared" si="269"/>
        <v>1</v>
      </c>
    </row>
    <row r="1056" spans="4:34" hidden="1" x14ac:dyDescent="0.4">
      <c r="D1056" t="s">
        <v>52</v>
      </c>
      <c r="E1056" t="s">
        <v>37</v>
      </c>
      <c r="F1056" s="9">
        <v>45769.791666666664</v>
      </c>
      <c r="G1056">
        <v>4.8680000000000003</v>
      </c>
      <c r="H1056" s="9">
        <v>45771.791666666664</v>
      </c>
      <c r="I1056">
        <v>5.0830000000000002</v>
      </c>
      <c r="J1056">
        <v>471.96</v>
      </c>
      <c r="K1056" s="12">
        <v>2297.52</v>
      </c>
      <c r="L1056">
        <v>3.52</v>
      </c>
      <c r="M1056">
        <v>97.95</v>
      </c>
      <c r="N1056" s="13">
        <v>4.2599999999999999E-2</v>
      </c>
      <c r="O1056" t="s">
        <v>38</v>
      </c>
      <c r="Q1056">
        <f t="shared" si="270"/>
        <v>101.47139999999993</v>
      </c>
      <c r="R1056">
        <f t="shared" si="271"/>
        <v>97.951399999999936</v>
      </c>
      <c r="S1056">
        <f t="shared" si="272"/>
        <v>2398.9726799999999</v>
      </c>
      <c r="U1056">
        <f t="shared" si="259"/>
        <v>338.94823300000002</v>
      </c>
      <c r="V1056">
        <f t="shared" si="273"/>
        <v>1649.9999982440002</v>
      </c>
      <c r="W1056">
        <f t="shared" si="260"/>
        <v>72.873870094999958</v>
      </c>
      <c r="X1056">
        <f t="shared" si="261"/>
        <v>3.3728738665830007</v>
      </c>
      <c r="Y1056">
        <f t="shared" si="262"/>
        <v>69.500996228416952</v>
      </c>
      <c r="Z1056">
        <f t="shared" si="263"/>
        <v>26115.755020418972</v>
      </c>
      <c r="AB1056">
        <f t="shared" si="264"/>
        <v>596.84294199999999</v>
      </c>
      <c r="AC1056">
        <f t="shared" si="265"/>
        <v>2905.4314416560001</v>
      </c>
      <c r="AD1056">
        <f t="shared" si="266"/>
        <v>128.32123252999992</v>
      </c>
      <c r="AE1056">
        <f t="shared" si="267"/>
        <v>5.9391841158420009</v>
      </c>
      <c r="AF1056">
        <f t="shared" si="268"/>
        <v>122.38204841415792</v>
      </c>
      <c r="AG1056">
        <f t="shared" si="258"/>
        <v>29176.696487182136</v>
      </c>
      <c r="AH1056" t="b">
        <f t="shared" si="269"/>
        <v>1</v>
      </c>
    </row>
    <row r="1057" spans="4:34" hidden="1" x14ac:dyDescent="0.4">
      <c r="D1057" t="s">
        <v>59</v>
      </c>
      <c r="E1057" t="s">
        <v>37</v>
      </c>
      <c r="F1057" s="9">
        <v>45769.291666666664</v>
      </c>
      <c r="G1057" s="12">
        <v>88385.66</v>
      </c>
      <c r="H1057" s="9">
        <v>45771.791666666664</v>
      </c>
      <c r="I1057" s="12">
        <v>93054.81</v>
      </c>
      <c r="J1057">
        <v>0.11513</v>
      </c>
      <c r="K1057" s="12">
        <v>10176.66</v>
      </c>
      <c r="L1057">
        <v>15.67</v>
      </c>
      <c r="M1057">
        <v>521.89</v>
      </c>
      <c r="N1057" s="13">
        <v>5.1299999999999998E-2</v>
      </c>
      <c r="O1057" t="s">
        <v>57</v>
      </c>
      <c r="Q1057">
        <f t="shared" si="270"/>
        <v>537.55923949999931</v>
      </c>
      <c r="R1057">
        <f t="shared" si="271"/>
        <v>521.88923949999935</v>
      </c>
      <c r="S1057">
        <f t="shared" si="272"/>
        <v>10713.400275299999</v>
      </c>
      <c r="U1057">
        <f t="shared" si="259"/>
        <v>1.8668000000000001E-2</v>
      </c>
      <c r="V1057">
        <f t="shared" si="273"/>
        <v>1649.9835008800001</v>
      </c>
      <c r="W1057">
        <f t="shared" si="260"/>
        <v>87.1636921999999</v>
      </c>
      <c r="X1057">
        <f t="shared" si="261"/>
        <v>3.3871306939600001</v>
      </c>
      <c r="Y1057">
        <f t="shared" si="262"/>
        <v>83.776561506039897</v>
      </c>
      <c r="Z1057">
        <f t="shared" si="263"/>
        <v>26046.254024190555</v>
      </c>
      <c r="AB1057">
        <f t="shared" si="264"/>
        <v>3.2705999999999999E-2</v>
      </c>
      <c r="AC1057">
        <f t="shared" si="265"/>
        <v>2890.7413959599999</v>
      </c>
      <c r="AD1057">
        <f t="shared" si="266"/>
        <v>152.70921989999979</v>
      </c>
      <c r="AE1057">
        <f t="shared" si="267"/>
        <v>5.9341920118199996</v>
      </c>
      <c r="AF1057">
        <f t="shared" si="268"/>
        <v>146.77502788817981</v>
      </c>
      <c r="AG1057">
        <f t="shared" si="258"/>
        <v>29054.314438767979</v>
      </c>
      <c r="AH1057" t="b">
        <f t="shared" si="269"/>
        <v>1</v>
      </c>
    </row>
    <row r="1058" spans="4:34" hidden="1" x14ac:dyDescent="0.4">
      <c r="D1058" t="s">
        <v>48</v>
      </c>
      <c r="E1058" t="s">
        <v>37</v>
      </c>
      <c r="F1058" s="9">
        <v>45769.666666666664</v>
      </c>
      <c r="G1058">
        <v>0.14399999999999999</v>
      </c>
      <c r="H1058" s="9">
        <v>45771.666666666664</v>
      </c>
      <c r="I1058">
        <v>0.15570000000000001</v>
      </c>
      <c r="J1058" s="12">
        <v>19635.400000000001</v>
      </c>
      <c r="K1058" s="12">
        <v>2827.51</v>
      </c>
      <c r="L1058">
        <v>4.41</v>
      </c>
      <c r="M1058">
        <v>225.32</v>
      </c>
      <c r="N1058" s="13">
        <v>7.9699999999999993E-2</v>
      </c>
      <c r="O1058" t="s">
        <v>38</v>
      </c>
      <c r="Q1058">
        <f t="shared" si="270"/>
        <v>229.73418000000032</v>
      </c>
      <c r="R1058">
        <f t="shared" si="271"/>
        <v>225.32418000000033</v>
      </c>
      <c r="S1058">
        <f t="shared" si="272"/>
        <v>3057.2317800000005</v>
      </c>
      <c r="U1058">
        <f t="shared" si="259"/>
        <v>11458.333333</v>
      </c>
      <c r="V1058">
        <f t="shared" si="273"/>
        <v>1649.9999999520001</v>
      </c>
      <c r="W1058">
        <f t="shared" si="260"/>
        <v>134.0624999961002</v>
      </c>
      <c r="X1058">
        <f t="shared" si="261"/>
        <v>3.4340624999000999</v>
      </c>
      <c r="Y1058">
        <f t="shared" si="262"/>
        <v>130.62843749620009</v>
      </c>
      <c r="Z1058">
        <f t="shared" si="263"/>
        <v>25962.477462684514</v>
      </c>
      <c r="AB1058">
        <f t="shared" si="264"/>
        <v>19916.999748999999</v>
      </c>
      <c r="AC1058">
        <f t="shared" si="265"/>
        <v>2868.0479638559996</v>
      </c>
      <c r="AD1058">
        <f t="shared" si="266"/>
        <v>233.02889706330029</v>
      </c>
      <c r="AE1058">
        <f t="shared" si="267"/>
        <v>5.9691248247752986</v>
      </c>
      <c r="AF1058">
        <f t="shared" si="268"/>
        <v>227.059772238525</v>
      </c>
      <c r="AG1058">
        <f t="shared" si="258"/>
        <v>28907.539410879799</v>
      </c>
      <c r="AH1058" t="b">
        <f t="shared" si="269"/>
        <v>1</v>
      </c>
    </row>
    <row r="1059" spans="4:34" hidden="1" x14ac:dyDescent="0.4">
      <c r="D1059" t="s">
        <v>60</v>
      </c>
      <c r="E1059" t="s">
        <v>37</v>
      </c>
      <c r="F1059" s="9">
        <v>45769.125</v>
      </c>
      <c r="G1059" s="12">
        <v>2.0968</v>
      </c>
      <c r="H1059" s="9">
        <v>45771.625</v>
      </c>
      <c r="I1059" s="12">
        <v>2.1827000000000001</v>
      </c>
      <c r="J1059" s="12">
        <v>1034.0999999999999</v>
      </c>
      <c r="K1059" s="12">
        <v>2168.36</v>
      </c>
      <c r="L1059">
        <v>3.32</v>
      </c>
      <c r="M1059">
        <v>85.51</v>
      </c>
      <c r="N1059" s="13">
        <v>3.9399999999999998E-2</v>
      </c>
      <c r="O1059" t="s">
        <v>57</v>
      </c>
      <c r="Q1059">
        <f t="shared" si="270"/>
        <v>88.829190000000082</v>
      </c>
      <c r="R1059">
        <f t="shared" si="271"/>
        <v>85.509190000000089</v>
      </c>
      <c r="S1059">
        <f t="shared" si="272"/>
        <v>2257.1300699999997</v>
      </c>
      <c r="U1059">
        <f t="shared" si="259"/>
        <v>786.91339200000004</v>
      </c>
      <c r="V1059">
        <f t="shared" si="273"/>
        <v>1650.0000003456</v>
      </c>
      <c r="W1059">
        <f t="shared" si="260"/>
        <v>67.595860372800075</v>
      </c>
      <c r="X1059">
        <f t="shared" si="261"/>
        <v>3.3675958610640007</v>
      </c>
      <c r="Y1059">
        <f t="shared" si="262"/>
        <v>64.228264511736072</v>
      </c>
      <c r="Z1059">
        <f t="shared" si="263"/>
        <v>25831.849025188312</v>
      </c>
      <c r="AB1059">
        <f t="shared" si="264"/>
        <v>1362.5176590000001</v>
      </c>
      <c r="AC1059">
        <f t="shared" si="265"/>
        <v>2856.9270273912002</v>
      </c>
      <c r="AD1059">
        <f t="shared" si="266"/>
        <v>117.04026690810012</v>
      </c>
      <c r="AE1059">
        <f t="shared" si="267"/>
        <v>5.8308943216905007</v>
      </c>
      <c r="AF1059">
        <f t="shared" si="268"/>
        <v>111.20937258640961</v>
      </c>
      <c r="AG1059">
        <f t="shared" si="258"/>
        <v>28680.479638641275</v>
      </c>
      <c r="AH1059" t="b">
        <f t="shared" si="269"/>
        <v>1</v>
      </c>
    </row>
    <row r="1060" spans="4:34" hidden="1" x14ac:dyDescent="0.4">
      <c r="D1060" t="s">
        <v>56</v>
      </c>
      <c r="E1060" t="s">
        <v>37</v>
      </c>
      <c r="F1060" s="9">
        <v>45769.125</v>
      </c>
      <c r="G1060" s="12">
        <v>1587.57</v>
      </c>
      <c r="H1060" s="9">
        <v>45771.625</v>
      </c>
      <c r="I1060" s="12">
        <v>1754.36</v>
      </c>
      <c r="J1060" s="12">
        <v>3.2511000000000001</v>
      </c>
      <c r="K1060" s="12">
        <v>5161.46</v>
      </c>
      <c r="L1060">
        <v>8.15</v>
      </c>
      <c r="M1060">
        <v>534.1</v>
      </c>
      <c r="N1060" s="13">
        <v>0.10349999999999999</v>
      </c>
      <c r="O1060" t="s">
        <v>57</v>
      </c>
      <c r="Q1060">
        <f t="shared" si="270"/>
        <v>542.25096899999994</v>
      </c>
      <c r="R1060">
        <f t="shared" si="271"/>
        <v>534.10096899999996</v>
      </c>
      <c r="S1060">
        <f t="shared" si="272"/>
        <v>5703.5997959999995</v>
      </c>
      <c r="U1060">
        <f t="shared" si="259"/>
        <v>1.0393239999999999</v>
      </c>
      <c r="V1060">
        <f t="shared" si="273"/>
        <v>1649.9996026799997</v>
      </c>
      <c r="W1060">
        <f t="shared" si="260"/>
        <v>173.34884995999994</v>
      </c>
      <c r="X1060">
        <f t="shared" si="261"/>
        <v>3.4733480553199998</v>
      </c>
      <c r="Y1060">
        <f t="shared" si="262"/>
        <v>169.87550190467994</v>
      </c>
      <c r="Z1060">
        <f t="shared" si="263"/>
        <v>25767.620760676575</v>
      </c>
      <c r="AB1060">
        <f t="shared" si="264"/>
        <v>1.7812209999999999</v>
      </c>
      <c r="AC1060">
        <f t="shared" si="265"/>
        <v>2827.81302297</v>
      </c>
      <c r="AD1060">
        <f t="shared" si="266"/>
        <v>297.08985058999991</v>
      </c>
      <c r="AE1060">
        <f t="shared" si="267"/>
        <v>5.95271589653</v>
      </c>
      <c r="AF1060">
        <f t="shared" si="268"/>
        <v>291.13713469346993</v>
      </c>
      <c r="AG1060">
        <f t="shared" si="258"/>
        <v>28569.270266054864</v>
      </c>
      <c r="AH1060" t="b">
        <f t="shared" si="269"/>
        <v>1</v>
      </c>
    </row>
    <row r="1061" spans="4:34" hidden="1" x14ac:dyDescent="0.4">
      <c r="D1061" t="s">
        <v>61</v>
      </c>
      <c r="E1061" t="s">
        <v>37</v>
      </c>
      <c r="F1061" s="9">
        <v>45769.291666666664</v>
      </c>
      <c r="G1061">
        <v>0.62629999999999997</v>
      </c>
      <c r="H1061" s="9">
        <v>45771.291666666664</v>
      </c>
      <c r="I1061">
        <v>0.68610000000000004</v>
      </c>
      <c r="J1061" s="12">
        <v>12494.8</v>
      </c>
      <c r="K1061" s="12">
        <v>7825.54</v>
      </c>
      <c r="L1061">
        <v>12.3</v>
      </c>
      <c r="M1061">
        <v>734.89</v>
      </c>
      <c r="N1061" s="13">
        <v>9.3899999999999997E-2</v>
      </c>
      <c r="O1061" t="s">
        <v>38</v>
      </c>
      <c r="Q1061">
        <f t="shared" si="270"/>
        <v>747.18904000000089</v>
      </c>
      <c r="R1061">
        <f t="shared" si="271"/>
        <v>734.88904000000093</v>
      </c>
      <c r="S1061">
        <f t="shared" si="272"/>
        <v>8572.6822800000009</v>
      </c>
      <c r="U1061">
        <f t="shared" si="259"/>
        <v>2634.5201980000002</v>
      </c>
      <c r="V1061">
        <f t="shared" si="273"/>
        <v>1650.0000000074001</v>
      </c>
      <c r="W1061">
        <f t="shared" si="260"/>
        <v>157.54430784040022</v>
      </c>
      <c r="X1061">
        <f t="shared" si="261"/>
        <v>3.4575443078552004</v>
      </c>
      <c r="Y1061">
        <f t="shared" si="262"/>
        <v>154.08676353254504</v>
      </c>
      <c r="Z1061">
        <f t="shared" si="263"/>
        <v>25597.745258771894</v>
      </c>
      <c r="AB1061">
        <f t="shared" si="264"/>
        <v>4473.3352210000003</v>
      </c>
      <c r="AC1061">
        <f t="shared" si="265"/>
        <v>2801.6498489123001</v>
      </c>
      <c r="AD1061">
        <f t="shared" si="266"/>
        <v>267.50544621580036</v>
      </c>
      <c r="AE1061">
        <f t="shared" si="267"/>
        <v>5.8708051440404008</v>
      </c>
      <c r="AF1061">
        <f t="shared" si="268"/>
        <v>261.63464107175997</v>
      </c>
      <c r="AG1061">
        <f t="shared" si="258"/>
        <v>28278.133131361395</v>
      </c>
      <c r="AH1061" t="b">
        <f t="shared" si="269"/>
        <v>1</v>
      </c>
    </row>
    <row r="1062" spans="4:34" hidden="1" x14ac:dyDescent="0.4">
      <c r="D1062" t="s">
        <v>58</v>
      </c>
      <c r="E1062" t="s">
        <v>37</v>
      </c>
      <c r="F1062" s="9">
        <v>45769.125</v>
      </c>
      <c r="G1062">
        <v>13.25</v>
      </c>
      <c r="H1062" s="9">
        <v>45771.125</v>
      </c>
      <c r="I1062">
        <v>14.94</v>
      </c>
      <c r="J1062" s="12">
        <v>524.96</v>
      </c>
      <c r="K1062" s="12">
        <v>6955.77</v>
      </c>
      <c r="L1062">
        <v>11.1</v>
      </c>
      <c r="M1062" s="12">
        <v>876.08</v>
      </c>
      <c r="N1062" s="13">
        <v>0.126</v>
      </c>
      <c r="O1062" t="s">
        <v>38</v>
      </c>
      <c r="Q1062">
        <f t="shared" si="270"/>
        <v>887.1823999999998</v>
      </c>
      <c r="R1062">
        <f t="shared" si="271"/>
        <v>876.08239999999978</v>
      </c>
      <c r="S1062">
        <f t="shared" si="272"/>
        <v>7842.9023999999999</v>
      </c>
      <c r="U1062">
        <f t="shared" si="259"/>
        <v>124.528302</v>
      </c>
      <c r="V1062">
        <f t="shared" si="273"/>
        <v>1650.0000015000001</v>
      </c>
      <c r="W1062">
        <f t="shared" si="260"/>
        <v>210.45283037999994</v>
      </c>
      <c r="X1062">
        <f t="shared" si="261"/>
        <v>3.51045283338</v>
      </c>
      <c r="Y1062">
        <f t="shared" si="262"/>
        <v>206.94237754661995</v>
      </c>
      <c r="Z1062">
        <f t="shared" si="263"/>
        <v>25443.65849523935</v>
      </c>
      <c r="AB1062">
        <f t="shared" si="264"/>
        <v>208.82618199999999</v>
      </c>
      <c r="AC1062">
        <f t="shared" si="265"/>
        <v>2766.9469114999997</v>
      </c>
      <c r="AD1062">
        <f t="shared" si="266"/>
        <v>352.91624757999989</v>
      </c>
      <c r="AE1062">
        <f t="shared" si="267"/>
        <v>5.8868100705799993</v>
      </c>
      <c r="AF1062">
        <f t="shared" si="268"/>
        <v>347.02943750941989</v>
      </c>
      <c r="AG1062">
        <f t="shared" si="258"/>
        <v>28016.498490289636</v>
      </c>
      <c r="AH1062" t="b">
        <f t="shared" si="269"/>
        <v>1</v>
      </c>
    </row>
    <row r="1063" spans="4:34" hidden="1" x14ac:dyDescent="0.4">
      <c r="D1063" t="s">
        <v>43</v>
      </c>
      <c r="E1063" t="s">
        <v>37</v>
      </c>
      <c r="F1063" s="9">
        <v>45768.875</v>
      </c>
      <c r="G1063">
        <v>2.1997</v>
      </c>
      <c r="H1063" s="9">
        <v>45770.875</v>
      </c>
      <c r="I1063">
        <v>2.9712000000000001</v>
      </c>
      <c r="J1063">
        <v>790</v>
      </c>
      <c r="K1063" s="12">
        <v>1737.78</v>
      </c>
      <c r="L1063">
        <v>3.06</v>
      </c>
      <c r="M1063">
        <v>606.41999999999996</v>
      </c>
      <c r="N1063" s="13">
        <v>0.34899999999999998</v>
      </c>
      <c r="O1063" t="s">
        <v>38</v>
      </c>
      <c r="Q1063">
        <f t="shared" si="270"/>
        <v>609.48500000000001</v>
      </c>
      <c r="R1063">
        <f t="shared" si="271"/>
        <v>606.42500000000007</v>
      </c>
      <c r="S1063">
        <f t="shared" si="272"/>
        <v>2347.248</v>
      </c>
      <c r="U1063">
        <f t="shared" si="259"/>
        <v>750.10228700000005</v>
      </c>
      <c r="V1063">
        <f t="shared" si="273"/>
        <v>1650.0000007139001</v>
      </c>
      <c r="W1063">
        <f t="shared" si="260"/>
        <v>578.70391442050004</v>
      </c>
      <c r="X1063">
        <f t="shared" si="261"/>
        <v>3.8787039158483001</v>
      </c>
      <c r="Y1063">
        <f t="shared" si="262"/>
        <v>574.82521050465175</v>
      </c>
      <c r="Z1063">
        <f t="shared" si="263"/>
        <v>25236.716117692729</v>
      </c>
      <c r="AB1063">
        <f t="shared" si="264"/>
        <v>1215.528227</v>
      </c>
      <c r="AC1063">
        <f t="shared" si="265"/>
        <v>2673.7974409318999</v>
      </c>
      <c r="AD1063">
        <f t="shared" si="266"/>
        <v>937.78002713050012</v>
      </c>
      <c r="AE1063">
        <f t="shared" si="267"/>
        <v>6.2853749089943003</v>
      </c>
      <c r="AF1063">
        <f t="shared" si="268"/>
        <v>931.49465222150582</v>
      </c>
      <c r="AG1063">
        <f t="shared" si="258"/>
        <v>27669.469052780216</v>
      </c>
      <c r="AH1063" t="b">
        <f t="shared" si="269"/>
        <v>1</v>
      </c>
    </row>
    <row r="1064" spans="4:34" hidden="1" x14ac:dyDescent="0.4">
      <c r="D1064" t="s">
        <v>53</v>
      </c>
      <c r="E1064" t="s">
        <v>37</v>
      </c>
      <c r="F1064" s="9">
        <v>45768.666666666664</v>
      </c>
      <c r="G1064">
        <v>604.53</v>
      </c>
      <c r="H1064" s="9">
        <v>45770.666666666664</v>
      </c>
      <c r="I1064">
        <v>607.65</v>
      </c>
      <c r="J1064" s="12">
        <v>15.074</v>
      </c>
      <c r="K1064" s="12">
        <v>9113.0400000000009</v>
      </c>
      <c r="L1064">
        <v>13.7</v>
      </c>
      <c r="M1064">
        <v>33.33</v>
      </c>
      <c r="N1064" s="13">
        <v>3.7000000000000002E-3</v>
      </c>
      <c r="O1064" t="s">
        <v>38</v>
      </c>
      <c r="Q1064">
        <f t="shared" si="270"/>
        <v>47.030880000000067</v>
      </c>
      <c r="R1064">
        <f t="shared" si="271"/>
        <v>33.330880000000064</v>
      </c>
      <c r="S1064">
        <f t="shared" si="272"/>
        <v>9159.7160999999996</v>
      </c>
      <c r="U1064">
        <f t="shared" si="259"/>
        <v>2.729393</v>
      </c>
      <c r="V1064">
        <f t="shared" si="273"/>
        <v>1649.9999502899998</v>
      </c>
      <c r="W1064">
        <f t="shared" si="260"/>
        <v>8.515706160000013</v>
      </c>
      <c r="X1064">
        <f t="shared" si="261"/>
        <v>3.3085156067399994</v>
      </c>
      <c r="Y1064">
        <f t="shared" si="262"/>
        <v>5.2071905532600136</v>
      </c>
      <c r="Z1064">
        <f t="shared" si="263"/>
        <v>24661.890907188077</v>
      </c>
      <c r="AB1064">
        <f t="shared" si="264"/>
        <v>4.4215410000000004</v>
      </c>
      <c r="AC1064">
        <f t="shared" si="265"/>
        <v>2672.9541807300002</v>
      </c>
      <c r="AD1064">
        <f t="shared" si="266"/>
        <v>13.795207920000021</v>
      </c>
      <c r="AE1064">
        <f t="shared" si="267"/>
        <v>5.3597035693799997</v>
      </c>
      <c r="AF1064">
        <f t="shared" si="268"/>
        <v>8.4355043506200218</v>
      </c>
      <c r="AG1064">
        <f t="shared" si="258"/>
        <v>26737.974400558709</v>
      </c>
      <c r="AH1064" t="b">
        <f t="shared" si="269"/>
        <v>1</v>
      </c>
    </row>
    <row r="1065" spans="4:34" hidden="1" x14ac:dyDescent="0.4">
      <c r="D1065" t="s">
        <v>50</v>
      </c>
      <c r="E1065" t="s">
        <v>37</v>
      </c>
      <c r="F1065" s="9">
        <v>45768.666666666664</v>
      </c>
      <c r="G1065">
        <v>314.7</v>
      </c>
      <c r="H1065" s="9">
        <v>45770.666666666664</v>
      </c>
      <c r="I1065">
        <v>330.6</v>
      </c>
      <c r="J1065">
        <v>38.100900000000003</v>
      </c>
      <c r="K1065" s="12">
        <v>11990.35</v>
      </c>
      <c r="L1065">
        <v>18.440000000000001</v>
      </c>
      <c r="M1065">
        <v>587.36</v>
      </c>
      <c r="N1065" s="13">
        <v>4.9000000000000002E-2</v>
      </c>
      <c r="O1065" t="s">
        <v>38</v>
      </c>
      <c r="Q1065">
        <f t="shared" si="270"/>
        <v>605.80431000000135</v>
      </c>
      <c r="R1065">
        <f t="shared" si="271"/>
        <v>587.3643100000013</v>
      </c>
      <c r="S1065">
        <f t="shared" si="272"/>
        <v>12596.157540000002</v>
      </c>
      <c r="U1065">
        <f t="shared" si="259"/>
        <v>5.2430890000000003</v>
      </c>
      <c r="V1065">
        <f t="shared" si="273"/>
        <v>1650.0001083</v>
      </c>
      <c r="W1065">
        <f t="shared" si="260"/>
        <v>83.365115100000182</v>
      </c>
      <c r="X1065">
        <f t="shared" si="261"/>
        <v>3.3833653317000003</v>
      </c>
      <c r="Y1065">
        <f t="shared" si="262"/>
        <v>79.981749768300176</v>
      </c>
      <c r="Z1065">
        <f t="shared" si="263"/>
        <v>24656.683716634816</v>
      </c>
      <c r="AB1065">
        <f t="shared" si="264"/>
        <v>8.4526839999999996</v>
      </c>
      <c r="AC1065">
        <f t="shared" si="265"/>
        <v>2660.0596547999999</v>
      </c>
      <c r="AD1065">
        <f t="shared" si="266"/>
        <v>134.39767560000027</v>
      </c>
      <c r="AE1065">
        <f t="shared" si="267"/>
        <v>5.4545169851999997</v>
      </c>
      <c r="AF1065">
        <f t="shared" si="268"/>
        <v>128.94315861480027</v>
      </c>
      <c r="AG1065">
        <f t="shared" si="258"/>
        <v>26729.538896208091</v>
      </c>
      <c r="AH1065" t="b">
        <f t="shared" si="269"/>
        <v>1</v>
      </c>
    </row>
    <row r="1066" spans="4:34" hidden="1" x14ac:dyDescent="0.4">
      <c r="D1066" t="s">
        <v>54</v>
      </c>
      <c r="E1066" t="s">
        <v>37</v>
      </c>
      <c r="F1066" s="9">
        <v>45768.25</v>
      </c>
      <c r="G1066">
        <v>141.03</v>
      </c>
      <c r="H1066" s="9">
        <v>45770.25</v>
      </c>
      <c r="I1066">
        <v>151.59</v>
      </c>
      <c r="J1066">
        <v>33.045999999999999</v>
      </c>
      <c r="K1066" s="12">
        <v>4660.5600000000004</v>
      </c>
      <c r="L1066">
        <v>7.25</v>
      </c>
      <c r="M1066">
        <v>341.71</v>
      </c>
      <c r="N1066" s="13">
        <v>7.3300000000000004E-2</v>
      </c>
      <c r="O1066" t="s">
        <v>38</v>
      </c>
      <c r="Q1066">
        <f t="shared" si="270"/>
        <v>348.96576000000005</v>
      </c>
      <c r="R1066">
        <f t="shared" si="271"/>
        <v>341.71576000000005</v>
      </c>
      <c r="S1066">
        <f t="shared" si="272"/>
        <v>5009.4431400000003</v>
      </c>
      <c r="U1066">
        <f t="shared" si="259"/>
        <v>11.699638</v>
      </c>
      <c r="V1066">
        <f t="shared" si="273"/>
        <v>1649.9999471400001</v>
      </c>
      <c r="W1066">
        <f t="shared" si="260"/>
        <v>123.54817728000003</v>
      </c>
      <c r="X1066">
        <f t="shared" si="261"/>
        <v>3.42354807156</v>
      </c>
      <c r="Y1066">
        <f t="shared" si="262"/>
        <v>120.12462920844003</v>
      </c>
      <c r="Z1066">
        <f t="shared" si="263"/>
        <v>24576.701966866516</v>
      </c>
      <c r="AB1066">
        <f t="shared" si="264"/>
        <v>18.725332000000002</v>
      </c>
      <c r="AC1066">
        <f t="shared" si="265"/>
        <v>2640.8335719600004</v>
      </c>
      <c r="AD1066">
        <f t="shared" si="266"/>
        <v>197.73950592000006</v>
      </c>
      <c r="AE1066">
        <f t="shared" si="267"/>
        <v>5.4794066498400005</v>
      </c>
      <c r="AF1066">
        <f t="shared" si="268"/>
        <v>192.26009927016005</v>
      </c>
      <c r="AG1066">
        <f t="shared" ref="AG1066:AG1129" si="274">AG1067*AH1066 + (1-AH1066)*AI1066+AF1066</f>
        <v>26600.595737593292</v>
      </c>
      <c r="AH1066" t="b">
        <f t="shared" si="269"/>
        <v>1</v>
      </c>
    </row>
    <row r="1067" spans="4:34" hidden="1" x14ac:dyDescent="0.4">
      <c r="D1067" t="s">
        <v>55</v>
      </c>
      <c r="E1067" t="s">
        <v>37</v>
      </c>
      <c r="F1067" s="9">
        <v>45768.208333333336</v>
      </c>
      <c r="G1067">
        <v>6.1959999999999996E-5</v>
      </c>
      <c r="H1067" s="9">
        <v>45770.208333333336</v>
      </c>
      <c r="I1067">
        <v>6.3990000000000002E-5</v>
      </c>
      <c r="J1067" s="12">
        <v>95579927.510000005</v>
      </c>
      <c r="K1067" s="12">
        <v>5922.13</v>
      </c>
      <c r="L1067">
        <v>9.0299999999999994</v>
      </c>
      <c r="M1067">
        <v>185</v>
      </c>
      <c r="N1067" s="13">
        <v>3.1199999999999999E-2</v>
      </c>
      <c r="O1067" t="s">
        <v>38</v>
      </c>
      <c r="Q1067">
        <f t="shared" si="270"/>
        <v>194.02725284530058</v>
      </c>
      <c r="R1067">
        <f t="shared" si="271"/>
        <v>184.99725284530058</v>
      </c>
      <c r="S1067">
        <f t="shared" si="272"/>
        <v>6116.1595613649006</v>
      </c>
      <c r="U1067">
        <f t="shared" si="259"/>
        <v>26630083.925113</v>
      </c>
      <c r="V1067">
        <f t="shared" si="273"/>
        <v>1650.0000000000014</v>
      </c>
      <c r="W1067">
        <f t="shared" si="260"/>
        <v>54.059070367979551</v>
      </c>
      <c r="X1067">
        <f t="shared" si="261"/>
        <v>3.3540590703679829</v>
      </c>
      <c r="Y1067">
        <f t="shared" si="262"/>
        <v>50.70501129761157</v>
      </c>
      <c r="Z1067">
        <f t="shared" si="263"/>
        <v>24456.577337658076</v>
      </c>
      <c r="AB1067">
        <f t="shared" si="264"/>
        <v>42491011.343084998</v>
      </c>
      <c r="AC1067">
        <f t="shared" si="265"/>
        <v>2632.7430628175462</v>
      </c>
      <c r="AD1067">
        <f t="shared" si="266"/>
        <v>86.256753026462803</v>
      </c>
      <c r="AE1067">
        <f t="shared" si="267"/>
        <v>5.3517428786615557</v>
      </c>
      <c r="AF1067">
        <f t="shared" si="268"/>
        <v>80.905010147801249</v>
      </c>
      <c r="AG1067">
        <f t="shared" si="274"/>
        <v>26408.335638323133</v>
      </c>
      <c r="AH1067" t="b">
        <f t="shared" si="269"/>
        <v>1</v>
      </c>
    </row>
    <row r="1068" spans="4:34" hidden="1" x14ac:dyDescent="0.4">
      <c r="D1068" t="s">
        <v>59</v>
      </c>
      <c r="E1068" t="s">
        <v>37</v>
      </c>
      <c r="F1068" s="9">
        <v>45766.791666666664</v>
      </c>
      <c r="G1068" s="12">
        <v>85223.99</v>
      </c>
      <c r="H1068" s="9">
        <v>45769.291666666664</v>
      </c>
      <c r="I1068" s="12">
        <v>88385.66</v>
      </c>
      <c r="J1068" s="12">
        <v>0.11898</v>
      </c>
      <c r="K1068" s="12">
        <v>10140.59</v>
      </c>
      <c r="L1068">
        <v>15.49</v>
      </c>
      <c r="M1068">
        <v>360.68</v>
      </c>
      <c r="N1068" s="13">
        <v>3.56E-2</v>
      </c>
      <c r="O1068" t="s">
        <v>57</v>
      </c>
      <c r="Q1068">
        <f t="shared" si="270"/>
        <v>376.1754965999998</v>
      </c>
      <c r="R1068">
        <f t="shared" si="271"/>
        <v>360.68549659999979</v>
      </c>
      <c r="S1068">
        <f t="shared" si="272"/>
        <v>10516.1258268</v>
      </c>
      <c r="U1068">
        <f t="shared" si="259"/>
        <v>1.9361E-2</v>
      </c>
      <c r="V1068">
        <f t="shared" si="273"/>
        <v>1650.0216703900001</v>
      </c>
      <c r="W1068">
        <f t="shared" si="260"/>
        <v>61.213092869999969</v>
      </c>
      <c r="X1068">
        <f t="shared" si="261"/>
        <v>3.3612564336500004</v>
      </c>
      <c r="Y1068">
        <f t="shared" si="262"/>
        <v>57.85183643634997</v>
      </c>
      <c r="Z1068">
        <f t="shared" si="263"/>
        <v>24405.872326360466</v>
      </c>
      <c r="AB1068">
        <f t="shared" si="264"/>
        <v>3.0783999999999999E-2</v>
      </c>
      <c r="AC1068">
        <f t="shared" si="265"/>
        <v>2623.5353081600001</v>
      </c>
      <c r="AD1068">
        <f t="shared" si="266"/>
        <v>97.328849279999943</v>
      </c>
      <c r="AE1068">
        <f t="shared" si="267"/>
        <v>5.3443994656000005</v>
      </c>
      <c r="AF1068">
        <f t="shared" si="268"/>
        <v>91.984449814399937</v>
      </c>
      <c r="AG1068">
        <f t="shared" si="274"/>
        <v>26327.430628175331</v>
      </c>
      <c r="AH1068" t="b">
        <f t="shared" si="269"/>
        <v>1</v>
      </c>
    </row>
    <row r="1069" spans="4:34" hidden="1" x14ac:dyDescent="0.4">
      <c r="D1069" t="s">
        <v>48</v>
      </c>
      <c r="E1069" t="s">
        <v>37</v>
      </c>
      <c r="F1069" s="9">
        <v>45767.166666666664</v>
      </c>
      <c r="G1069">
        <v>0.13400000000000001</v>
      </c>
      <c r="H1069" s="9">
        <v>45769.166666666664</v>
      </c>
      <c r="I1069">
        <v>0.15939999999999999</v>
      </c>
      <c r="J1069" s="12">
        <v>20711.599999999999</v>
      </c>
      <c r="K1069" s="12">
        <v>2775.35</v>
      </c>
      <c r="L1069">
        <v>4.5599999999999996</v>
      </c>
      <c r="M1069">
        <v>521.52</v>
      </c>
      <c r="N1069" s="13">
        <v>0.18790000000000001</v>
      </c>
      <c r="O1069" t="s">
        <v>38</v>
      </c>
      <c r="Q1069">
        <f t="shared" si="270"/>
        <v>526.07463999999948</v>
      </c>
      <c r="R1069">
        <f t="shared" si="271"/>
        <v>521.51463999999953</v>
      </c>
      <c r="S1069">
        <f t="shared" si="272"/>
        <v>3301.4290399999995</v>
      </c>
      <c r="U1069">
        <f t="shared" si="259"/>
        <v>12313.432836</v>
      </c>
      <c r="V1069">
        <f t="shared" si="273"/>
        <v>1650.0000000240002</v>
      </c>
      <c r="W1069">
        <f t="shared" si="260"/>
        <v>312.76119403439975</v>
      </c>
      <c r="X1069">
        <f t="shared" si="261"/>
        <v>3.6127611940823998</v>
      </c>
      <c r="Y1069">
        <f t="shared" si="262"/>
        <v>309.14843284031735</v>
      </c>
      <c r="Z1069">
        <f t="shared" si="263"/>
        <v>24348.020489924114</v>
      </c>
      <c r="AB1069">
        <f t="shared" si="264"/>
        <v>19218.606209000001</v>
      </c>
      <c r="AC1069">
        <f t="shared" si="265"/>
        <v>2575.2932320060004</v>
      </c>
      <c r="AD1069">
        <f t="shared" si="266"/>
        <v>488.15259770859961</v>
      </c>
      <c r="AE1069">
        <f t="shared" si="267"/>
        <v>5.6387390617206004</v>
      </c>
      <c r="AF1069">
        <f t="shared" si="268"/>
        <v>482.51385864687899</v>
      </c>
      <c r="AG1069">
        <f t="shared" si="274"/>
        <v>26235.446178360929</v>
      </c>
      <c r="AH1069" t="b">
        <f t="shared" si="269"/>
        <v>1</v>
      </c>
    </row>
    <row r="1070" spans="4:34" hidden="1" x14ac:dyDescent="0.4">
      <c r="D1070" t="s">
        <v>60</v>
      </c>
      <c r="E1070" t="s">
        <v>37</v>
      </c>
      <c r="F1070" s="9">
        <v>45766.625</v>
      </c>
      <c r="G1070">
        <v>2.0886</v>
      </c>
      <c r="H1070" s="9">
        <v>45769.125</v>
      </c>
      <c r="I1070">
        <v>2.0968</v>
      </c>
      <c r="J1070" s="12">
        <v>1037.9000000000001</v>
      </c>
      <c r="K1070" s="12">
        <v>2167.83</v>
      </c>
      <c r="L1070">
        <v>3.26</v>
      </c>
      <c r="M1070">
        <v>5.25</v>
      </c>
      <c r="N1070" s="13">
        <v>2.3999999999999998E-3</v>
      </c>
      <c r="O1070" t="s">
        <v>57</v>
      </c>
      <c r="Q1070">
        <f t="shared" si="270"/>
        <v>8.5107799999999845</v>
      </c>
      <c r="R1070">
        <f t="shared" si="271"/>
        <v>5.2507799999999847</v>
      </c>
      <c r="S1070">
        <f t="shared" si="272"/>
        <v>2176.26872</v>
      </c>
      <c r="U1070">
        <f t="shared" si="259"/>
        <v>790.00287300000002</v>
      </c>
      <c r="V1070">
        <f t="shared" si="273"/>
        <v>1650.0000005478</v>
      </c>
      <c r="W1070">
        <f t="shared" si="260"/>
        <v>6.4780235585999888</v>
      </c>
      <c r="X1070">
        <f t="shared" si="261"/>
        <v>3.3064780246541998</v>
      </c>
      <c r="Y1070">
        <f t="shared" si="262"/>
        <v>3.171545533945789</v>
      </c>
      <c r="Z1070">
        <f t="shared" si="263"/>
        <v>24038.872057083798</v>
      </c>
      <c r="AB1070">
        <f t="shared" si="264"/>
        <v>1232.7867080000001</v>
      </c>
      <c r="AC1070">
        <f t="shared" si="265"/>
        <v>2574.7983183288002</v>
      </c>
      <c r="AD1070">
        <f t="shared" si="266"/>
        <v>10.108851005599982</v>
      </c>
      <c r="AE1070">
        <f t="shared" si="267"/>
        <v>5.1597054876632003</v>
      </c>
      <c r="AF1070">
        <f t="shared" si="268"/>
        <v>4.949145517936782</v>
      </c>
      <c r="AG1070">
        <f t="shared" si="274"/>
        <v>25752.932319714051</v>
      </c>
      <c r="AH1070" t="b">
        <f t="shared" si="269"/>
        <v>1</v>
      </c>
    </row>
    <row r="1071" spans="4:34" hidden="1" x14ac:dyDescent="0.4">
      <c r="D1071" t="s">
        <v>52</v>
      </c>
      <c r="E1071" t="s">
        <v>37</v>
      </c>
      <c r="F1071" s="9">
        <v>45767.125</v>
      </c>
      <c r="G1071">
        <v>4.9470000000000001</v>
      </c>
      <c r="H1071" s="9">
        <v>45769.125</v>
      </c>
      <c r="I1071">
        <v>4.78</v>
      </c>
      <c r="J1071" s="12">
        <v>466.06</v>
      </c>
      <c r="K1071" s="12">
        <v>2305.64</v>
      </c>
      <c r="L1071">
        <v>3.4</v>
      </c>
      <c r="M1071">
        <v>-81.23</v>
      </c>
      <c r="N1071" s="13">
        <v>-3.5200000000000002E-2</v>
      </c>
      <c r="O1071" t="s">
        <v>38</v>
      </c>
      <c r="Q1071">
        <f t="shared" si="270"/>
        <v>-77.832019999999915</v>
      </c>
      <c r="R1071">
        <f t="shared" si="271"/>
        <v>-81.23201999999992</v>
      </c>
      <c r="S1071">
        <f t="shared" si="272"/>
        <v>2227.7668000000003</v>
      </c>
      <c r="U1071">
        <f t="shared" si="259"/>
        <v>333.53547600000002</v>
      </c>
      <c r="V1071">
        <f t="shared" si="273"/>
        <v>1649.9999997720001</v>
      </c>
      <c r="W1071">
        <f t="shared" si="260"/>
        <v>-55.700424491999939</v>
      </c>
      <c r="X1071">
        <f t="shared" si="261"/>
        <v>3.2442995750520005</v>
      </c>
      <c r="Y1071">
        <f t="shared" si="262"/>
        <v>-58.944724067051936</v>
      </c>
      <c r="Z1071">
        <f t="shared" si="263"/>
        <v>24035.70051154985</v>
      </c>
      <c r="AB1071">
        <f t="shared" si="264"/>
        <v>522.34273800000005</v>
      </c>
      <c r="AC1071">
        <f t="shared" si="265"/>
        <v>2584.0295248860002</v>
      </c>
      <c r="AD1071">
        <f t="shared" si="266"/>
        <v>-87.231237245999907</v>
      </c>
      <c r="AE1071">
        <f t="shared" si="267"/>
        <v>5.0808278125260014</v>
      </c>
      <c r="AF1071">
        <f t="shared" si="268"/>
        <v>-92.312065058525903</v>
      </c>
      <c r="AG1071">
        <f t="shared" si="274"/>
        <v>25747.983174196113</v>
      </c>
      <c r="AH1071" t="b">
        <f t="shared" si="269"/>
        <v>1</v>
      </c>
    </row>
    <row r="1072" spans="4:34" hidden="1" x14ac:dyDescent="0.4">
      <c r="D1072" t="s">
        <v>43</v>
      </c>
      <c r="E1072" t="s">
        <v>37</v>
      </c>
      <c r="F1072" s="9">
        <v>45766.791666666664</v>
      </c>
      <c r="G1072">
        <v>2.157</v>
      </c>
      <c r="H1072" s="9">
        <v>45768.791666666664</v>
      </c>
      <c r="I1072">
        <v>2.1707999999999998</v>
      </c>
      <c r="J1072">
        <v>805.2</v>
      </c>
      <c r="K1072" s="12">
        <v>1736.93</v>
      </c>
      <c r="L1072">
        <v>2.61</v>
      </c>
      <c r="M1072">
        <v>8.5</v>
      </c>
      <c r="N1072" s="13">
        <v>4.8999999999999998E-3</v>
      </c>
      <c r="O1072" t="s">
        <v>38</v>
      </c>
      <c r="Q1072">
        <f t="shared" si="270"/>
        <v>11.111759999999849</v>
      </c>
      <c r="R1072">
        <f t="shared" si="271"/>
        <v>8.5017599999998499</v>
      </c>
      <c r="S1072">
        <f t="shared" si="272"/>
        <v>1747.9281599999999</v>
      </c>
      <c r="U1072">
        <f t="shared" si="259"/>
        <v>764.95132100000001</v>
      </c>
      <c r="V1072">
        <f t="shared" si="273"/>
        <v>1649.999999397</v>
      </c>
      <c r="W1072">
        <f t="shared" si="260"/>
        <v>10.556328229799856</v>
      </c>
      <c r="X1072">
        <f t="shared" si="261"/>
        <v>3.3105563270237996</v>
      </c>
      <c r="Y1072">
        <f t="shared" si="262"/>
        <v>7.2457719027760561</v>
      </c>
      <c r="Z1072">
        <f t="shared" si="263"/>
        <v>24094.645235616903</v>
      </c>
      <c r="AB1072">
        <f t="shared" si="264"/>
        <v>1197.447973</v>
      </c>
      <c r="AC1072">
        <f t="shared" si="265"/>
        <v>2582.8952777610002</v>
      </c>
      <c r="AD1072">
        <f t="shared" si="266"/>
        <v>16.524782027399777</v>
      </c>
      <c r="AE1072">
        <f t="shared" si="267"/>
        <v>5.1823153375494</v>
      </c>
      <c r="AF1072">
        <f t="shared" si="268"/>
        <v>11.342466689850376</v>
      </c>
      <c r="AG1072">
        <f t="shared" si="274"/>
        <v>25840.295239254639</v>
      </c>
      <c r="AH1072" t="b">
        <f t="shared" si="269"/>
        <v>1</v>
      </c>
    </row>
    <row r="1073" spans="4:34" hidden="1" x14ac:dyDescent="0.4">
      <c r="D1073" t="s">
        <v>58</v>
      </c>
      <c r="E1073" t="s">
        <v>37</v>
      </c>
      <c r="F1073" s="9">
        <v>45766.791666666664</v>
      </c>
      <c r="G1073">
        <v>12.9</v>
      </c>
      <c r="H1073" s="9">
        <v>45768.791666666664</v>
      </c>
      <c r="I1073">
        <v>13.03</v>
      </c>
      <c r="J1073">
        <v>538.74</v>
      </c>
      <c r="K1073" s="12">
        <v>6949.82</v>
      </c>
      <c r="L1073">
        <v>10.48</v>
      </c>
      <c r="M1073">
        <v>59.56</v>
      </c>
      <c r="N1073" s="13">
        <v>8.6E-3</v>
      </c>
      <c r="O1073" t="s">
        <v>38</v>
      </c>
      <c r="Q1073">
        <f t="shared" si="270"/>
        <v>70.036199999999468</v>
      </c>
      <c r="R1073">
        <f t="shared" si="271"/>
        <v>59.556199999999464</v>
      </c>
      <c r="S1073">
        <f t="shared" si="272"/>
        <v>7019.7821999999996</v>
      </c>
      <c r="U1073">
        <f t="shared" si="259"/>
        <v>127.906977</v>
      </c>
      <c r="V1073">
        <f t="shared" si="273"/>
        <v>1650.0000033000001</v>
      </c>
      <c r="W1073">
        <f t="shared" si="260"/>
        <v>16.627907009999873</v>
      </c>
      <c r="X1073">
        <f t="shared" si="261"/>
        <v>3.3166279136100001</v>
      </c>
      <c r="Y1073">
        <f t="shared" si="262"/>
        <v>13.311279096389873</v>
      </c>
      <c r="Z1073">
        <f t="shared" si="263"/>
        <v>24087.399463714126</v>
      </c>
      <c r="AB1073">
        <f t="shared" si="264"/>
        <v>200.06304</v>
      </c>
      <c r="AC1073">
        <f t="shared" si="265"/>
        <v>2580.813216</v>
      </c>
      <c r="AD1073">
        <f t="shared" si="266"/>
        <v>26.0081951999998</v>
      </c>
      <c r="AE1073">
        <f t="shared" si="267"/>
        <v>5.1876346272000005</v>
      </c>
      <c r="AF1073">
        <f t="shared" si="268"/>
        <v>20.820560572799799</v>
      </c>
      <c r="AG1073">
        <f t="shared" si="274"/>
        <v>25828.952772564789</v>
      </c>
      <c r="AH1073" t="b">
        <f t="shared" si="269"/>
        <v>1</v>
      </c>
    </row>
    <row r="1074" spans="4:34" hidden="1" x14ac:dyDescent="0.4">
      <c r="D1074" t="s">
        <v>50</v>
      </c>
      <c r="E1074" t="s">
        <v>37</v>
      </c>
      <c r="F1074" s="9">
        <v>45766.625</v>
      </c>
      <c r="G1074" s="12">
        <v>276.3</v>
      </c>
      <c r="H1074" s="9">
        <v>45768.625</v>
      </c>
      <c r="I1074" s="12">
        <v>310.39999999999998</v>
      </c>
      <c r="J1074">
        <v>42.873800000000003</v>
      </c>
      <c r="K1074" s="12">
        <v>11846.04</v>
      </c>
      <c r="L1074">
        <v>18.87</v>
      </c>
      <c r="M1074" s="12">
        <v>1443.13</v>
      </c>
      <c r="N1074" s="13">
        <v>0.12180000000000001</v>
      </c>
      <c r="O1074" t="s">
        <v>38</v>
      </c>
      <c r="Q1074">
        <f t="shared" si="270"/>
        <v>1461.9965799999986</v>
      </c>
      <c r="R1074">
        <f t="shared" si="271"/>
        <v>1443.1265799999987</v>
      </c>
      <c r="S1074">
        <f t="shared" si="272"/>
        <v>13308.02752</v>
      </c>
      <c r="U1074">
        <f t="shared" si="259"/>
        <v>5.9717700000000002</v>
      </c>
      <c r="V1074">
        <f t="shared" si="273"/>
        <v>1650.0000510000002</v>
      </c>
      <c r="W1074">
        <f t="shared" si="260"/>
        <v>203.63735699999981</v>
      </c>
      <c r="X1074">
        <f t="shared" si="261"/>
        <v>3.503637459000001</v>
      </c>
      <c r="Y1074">
        <f t="shared" si="262"/>
        <v>200.13371954099981</v>
      </c>
      <c r="Z1074">
        <f t="shared" si="263"/>
        <v>24074.088184617736</v>
      </c>
      <c r="AB1074">
        <f t="shared" si="264"/>
        <v>9.2286819999999992</v>
      </c>
      <c r="AC1074">
        <f t="shared" si="265"/>
        <v>2549.8848365999997</v>
      </c>
      <c r="AD1074">
        <f t="shared" si="266"/>
        <v>314.69805619999966</v>
      </c>
      <c r="AE1074">
        <f t="shared" si="267"/>
        <v>5.4144677294000001</v>
      </c>
      <c r="AF1074">
        <f t="shared" si="268"/>
        <v>309.28358847059968</v>
      </c>
      <c r="AG1074">
        <f t="shared" si="274"/>
        <v>25808.13221199199</v>
      </c>
      <c r="AH1074" t="b">
        <f t="shared" si="269"/>
        <v>1</v>
      </c>
    </row>
    <row r="1075" spans="4:34" hidden="1" x14ac:dyDescent="0.4">
      <c r="D1075" t="s">
        <v>55</v>
      </c>
      <c r="E1075" t="s">
        <v>37</v>
      </c>
      <c r="F1075" s="9">
        <v>45766.125</v>
      </c>
      <c r="G1075">
        <v>5.9549999999999997E-5</v>
      </c>
      <c r="H1075" s="9">
        <v>45768.125</v>
      </c>
      <c r="I1075">
        <v>6.2230000000000006E-5</v>
      </c>
      <c r="J1075" s="12">
        <v>99017631.579999998</v>
      </c>
      <c r="K1075" s="12">
        <v>5896.5</v>
      </c>
      <c r="L1075">
        <v>9.0399999999999991</v>
      </c>
      <c r="M1075">
        <v>256.32</v>
      </c>
      <c r="N1075" s="13">
        <v>4.3499999999999997E-2</v>
      </c>
      <c r="O1075" t="s">
        <v>38</v>
      </c>
      <c r="Q1075">
        <f t="shared" si="270"/>
        <v>265.36725263440081</v>
      </c>
      <c r="R1075">
        <f t="shared" si="271"/>
        <v>256.32725263440079</v>
      </c>
      <c r="S1075">
        <f t="shared" si="272"/>
        <v>6161.8672132234005</v>
      </c>
      <c r="U1075">
        <f t="shared" si="259"/>
        <v>27707808.564231999</v>
      </c>
      <c r="V1075">
        <f t="shared" si="273"/>
        <v>1650.0000000000155</v>
      </c>
      <c r="W1075">
        <f t="shared" si="260"/>
        <v>74.256926952141981</v>
      </c>
      <c r="X1075">
        <f t="shared" si="261"/>
        <v>3.3742569269521727</v>
      </c>
      <c r="Y1075">
        <f t="shared" si="262"/>
        <v>70.88267002518981</v>
      </c>
      <c r="Z1075">
        <f t="shared" si="263"/>
        <v>23873.954465076735</v>
      </c>
      <c r="AB1075">
        <f t="shared" si="264"/>
        <v>42636064.133557998</v>
      </c>
      <c r="AC1075">
        <f t="shared" si="265"/>
        <v>2538.9776191533788</v>
      </c>
      <c r="AD1075">
        <f t="shared" si="266"/>
        <v>114.26465187793579</v>
      </c>
      <c r="AE1075">
        <f t="shared" si="267"/>
        <v>5.1922198901846928</v>
      </c>
      <c r="AF1075">
        <f t="shared" si="268"/>
        <v>109.0724319877511</v>
      </c>
      <c r="AG1075">
        <f t="shared" si="274"/>
        <v>25498.84862352139</v>
      </c>
      <c r="AH1075" t="b">
        <f t="shared" si="269"/>
        <v>1</v>
      </c>
    </row>
    <row r="1076" spans="4:34" hidden="1" x14ac:dyDescent="0.4">
      <c r="D1076" t="s">
        <v>53</v>
      </c>
      <c r="E1076" t="s">
        <v>37</v>
      </c>
      <c r="F1076" s="9">
        <v>45766.125</v>
      </c>
      <c r="G1076">
        <v>592.45000000000005</v>
      </c>
      <c r="H1076" s="9">
        <v>45768.125</v>
      </c>
      <c r="I1076">
        <v>600.16</v>
      </c>
      <c r="J1076">
        <v>15.364000000000001</v>
      </c>
      <c r="K1076" s="12">
        <v>9102.57</v>
      </c>
      <c r="L1076">
        <v>13.74</v>
      </c>
      <c r="M1076">
        <v>104.71</v>
      </c>
      <c r="N1076" s="13">
        <v>1.15E-2</v>
      </c>
      <c r="O1076" t="s">
        <v>38</v>
      </c>
      <c r="Q1076">
        <f t="shared" si="270"/>
        <v>118.45643999999882</v>
      </c>
      <c r="R1076">
        <f t="shared" si="271"/>
        <v>104.71643999999883</v>
      </c>
      <c r="S1076">
        <f t="shared" si="272"/>
        <v>9220.8582399999996</v>
      </c>
      <c r="U1076">
        <f t="shared" si="259"/>
        <v>2.7850450000000002</v>
      </c>
      <c r="V1076">
        <f t="shared" si="273"/>
        <v>1649.9999102500003</v>
      </c>
      <c r="W1076">
        <f t="shared" si="260"/>
        <v>21.472696949999786</v>
      </c>
      <c r="X1076">
        <f t="shared" si="261"/>
        <v>3.3214725174500006</v>
      </c>
      <c r="Y1076">
        <f t="shared" si="262"/>
        <v>18.151224432549785</v>
      </c>
      <c r="Z1076">
        <f t="shared" si="263"/>
        <v>23803.071795051546</v>
      </c>
      <c r="AB1076">
        <f t="shared" si="264"/>
        <v>4.2808469999999996</v>
      </c>
      <c r="AC1076">
        <f t="shared" si="265"/>
        <v>2536.1878051499998</v>
      </c>
      <c r="AD1076">
        <f t="shared" si="266"/>
        <v>33.005330369999669</v>
      </c>
      <c r="AE1076">
        <f t="shared" si="267"/>
        <v>5.1053809406699999</v>
      </c>
      <c r="AF1076">
        <f t="shared" si="268"/>
        <v>27.89994942932967</v>
      </c>
      <c r="AG1076">
        <f t="shared" si="274"/>
        <v>25389.776191533638</v>
      </c>
      <c r="AH1076" t="b">
        <f t="shared" si="269"/>
        <v>1</v>
      </c>
    </row>
    <row r="1077" spans="4:34" hidden="1" x14ac:dyDescent="0.4">
      <c r="D1077" t="s">
        <v>54</v>
      </c>
      <c r="E1077" t="s">
        <v>37</v>
      </c>
      <c r="F1077" s="9">
        <v>45766.083333333336</v>
      </c>
      <c r="G1077">
        <v>134.15</v>
      </c>
      <c r="H1077" s="9">
        <v>45768.083333333336</v>
      </c>
      <c r="I1077">
        <v>141.18</v>
      </c>
      <c r="J1077" s="12">
        <v>34.564999999999998</v>
      </c>
      <c r="K1077" s="12">
        <v>4636.97</v>
      </c>
      <c r="L1077">
        <v>7.14</v>
      </c>
      <c r="M1077">
        <v>235.85</v>
      </c>
      <c r="N1077" s="13">
        <v>5.0900000000000001E-2</v>
      </c>
      <c r="O1077" t="s">
        <v>38</v>
      </c>
      <c r="Q1077">
        <f t="shared" si="270"/>
        <v>242.99195000000003</v>
      </c>
      <c r="R1077">
        <f t="shared" si="271"/>
        <v>235.85195000000004</v>
      </c>
      <c r="S1077">
        <f t="shared" si="272"/>
        <v>4879.8867</v>
      </c>
      <c r="U1077">
        <f t="shared" si="259"/>
        <v>12.299664999999999</v>
      </c>
      <c r="V1077">
        <f t="shared" si="273"/>
        <v>1650.00005975</v>
      </c>
      <c r="W1077">
        <f t="shared" si="260"/>
        <v>86.466644950000003</v>
      </c>
      <c r="X1077">
        <f t="shared" si="261"/>
        <v>3.3864667644500002</v>
      </c>
      <c r="Y1077">
        <f t="shared" si="262"/>
        <v>83.080178185549997</v>
      </c>
      <c r="Z1077">
        <f t="shared" si="263"/>
        <v>23784.920570618997</v>
      </c>
      <c r="AB1077">
        <f t="shared" si="264"/>
        <v>18.810894000000001</v>
      </c>
      <c r="AC1077">
        <f t="shared" si="265"/>
        <v>2523.4814301000001</v>
      </c>
      <c r="AD1077">
        <f t="shared" si="266"/>
        <v>132.24058482000004</v>
      </c>
      <c r="AE1077">
        <f t="shared" si="267"/>
        <v>5.1792034450200006</v>
      </c>
      <c r="AF1077">
        <f t="shared" si="268"/>
        <v>127.06138137498004</v>
      </c>
      <c r="AG1077">
        <f t="shared" si="274"/>
        <v>25361.876242104307</v>
      </c>
      <c r="AH1077" t="b">
        <f t="shared" si="269"/>
        <v>1</v>
      </c>
    </row>
    <row r="1078" spans="4:34" hidden="1" x14ac:dyDescent="0.4">
      <c r="D1078" t="s">
        <v>61</v>
      </c>
      <c r="E1078" t="s">
        <v>37</v>
      </c>
      <c r="F1078" s="9">
        <v>45765.75</v>
      </c>
      <c r="G1078">
        <v>0.61980000000000002</v>
      </c>
      <c r="H1078" s="9">
        <v>45767.75</v>
      </c>
      <c r="I1078">
        <v>0.61580000000000001</v>
      </c>
      <c r="J1078" s="12">
        <v>12635.9</v>
      </c>
      <c r="K1078" s="12">
        <v>7831.77</v>
      </c>
      <c r="L1078">
        <v>11.71</v>
      </c>
      <c r="M1078">
        <v>-62.25</v>
      </c>
      <c r="N1078" s="13">
        <v>-7.9000000000000008E-3</v>
      </c>
      <c r="O1078" t="s">
        <v>38</v>
      </c>
      <c r="Q1078">
        <f t="shared" si="270"/>
        <v>-50.54360000000004</v>
      </c>
      <c r="R1078">
        <f t="shared" si="271"/>
        <v>-62.253600000000041</v>
      </c>
      <c r="S1078">
        <f t="shared" si="272"/>
        <v>7781.1872199999998</v>
      </c>
      <c r="U1078">
        <f t="shared" si="259"/>
        <v>2662.1490800000001</v>
      </c>
      <c r="V1078">
        <f t="shared" si="273"/>
        <v>1649.9999997840002</v>
      </c>
      <c r="W1078">
        <f t="shared" si="260"/>
        <v>-10.64859632000001</v>
      </c>
      <c r="X1078">
        <f t="shared" si="261"/>
        <v>3.2893514032480007</v>
      </c>
      <c r="Y1078">
        <f t="shared" si="262"/>
        <v>-13.93794772324801</v>
      </c>
      <c r="Z1078">
        <f t="shared" si="263"/>
        <v>23701.840392433445</v>
      </c>
      <c r="AB1078">
        <f t="shared" si="264"/>
        <v>4074.8869540000001</v>
      </c>
      <c r="AC1078">
        <f t="shared" si="265"/>
        <v>2525.6149340892002</v>
      </c>
      <c r="AD1078">
        <f t="shared" si="266"/>
        <v>-16.299547816000015</v>
      </c>
      <c r="AE1078">
        <f t="shared" si="267"/>
        <v>5.0349303203624007</v>
      </c>
      <c r="AF1078">
        <f t="shared" si="268"/>
        <v>-21.334478136362414</v>
      </c>
      <c r="AG1078">
        <f t="shared" si="274"/>
        <v>25234.814860729326</v>
      </c>
      <c r="AH1078" t="b">
        <f t="shared" si="269"/>
        <v>1</v>
      </c>
    </row>
    <row r="1079" spans="4:34" hidden="1" x14ac:dyDescent="0.4">
      <c r="D1079" t="s">
        <v>56</v>
      </c>
      <c r="E1079" t="s">
        <v>37</v>
      </c>
      <c r="F1079" s="9">
        <v>45765.166666666664</v>
      </c>
      <c r="G1079" s="12">
        <v>1584.82</v>
      </c>
      <c r="H1079" s="9">
        <v>45767.666666666664</v>
      </c>
      <c r="I1079" s="12">
        <v>1580.29</v>
      </c>
      <c r="J1079">
        <v>3.2582</v>
      </c>
      <c r="K1079" s="12">
        <v>5163.71</v>
      </c>
      <c r="L1079">
        <v>7.73</v>
      </c>
      <c r="M1079">
        <v>-22.49</v>
      </c>
      <c r="N1079" s="13">
        <v>-4.4000000000000003E-3</v>
      </c>
      <c r="O1079" t="s">
        <v>57</v>
      </c>
      <c r="Q1079">
        <f t="shared" si="270"/>
        <v>-14.759645999999911</v>
      </c>
      <c r="R1079">
        <f t="shared" si="271"/>
        <v>-22.489645999999912</v>
      </c>
      <c r="S1079">
        <f t="shared" si="272"/>
        <v>5148.9008779999995</v>
      </c>
      <c r="U1079">
        <f t="shared" si="259"/>
        <v>1.0411280000000001</v>
      </c>
      <c r="V1079">
        <f t="shared" si="273"/>
        <v>1650.00047696</v>
      </c>
      <c r="W1079">
        <f t="shared" si="260"/>
        <v>-4.7163098399999717</v>
      </c>
      <c r="X1079">
        <f t="shared" si="261"/>
        <v>3.2952846440800001</v>
      </c>
      <c r="Y1079">
        <f t="shared" si="262"/>
        <v>-8.0115944840799713</v>
      </c>
      <c r="Z1079">
        <f t="shared" si="263"/>
        <v>23715.778340156692</v>
      </c>
      <c r="AB1079">
        <f t="shared" si="264"/>
        <v>1.594403</v>
      </c>
      <c r="AC1079">
        <f t="shared" si="265"/>
        <v>2526.8417624599997</v>
      </c>
      <c r="AD1079">
        <f t="shared" si="266"/>
        <v>-7.2226455899999564</v>
      </c>
      <c r="AE1079">
        <f t="shared" si="267"/>
        <v>5.0464608793299996</v>
      </c>
      <c r="AF1079">
        <f t="shared" si="268"/>
        <v>-12.269106469329955</v>
      </c>
      <c r="AG1079">
        <f t="shared" si="274"/>
        <v>25256.149338865689</v>
      </c>
      <c r="AH1079" t="b">
        <f t="shared" si="269"/>
        <v>1</v>
      </c>
    </row>
    <row r="1080" spans="4:34" hidden="1" x14ac:dyDescent="0.4">
      <c r="D1080" t="s">
        <v>48</v>
      </c>
      <c r="E1080" t="s">
        <v>37</v>
      </c>
      <c r="F1080" s="9">
        <v>45765.166666666664</v>
      </c>
      <c r="G1080">
        <v>0.12139999999999999</v>
      </c>
      <c r="H1080" s="9">
        <v>45767.166666666664</v>
      </c>
      <c r="I1080">
        <v>0.13400000000000001</v>
      </c>
      <c r="J1080" s="12">
        <v>22629.9</v>
      </c>
      <c r="K1080" s="12">
        <v>2747.27</v>
      </c>
      <c r="L1080">
        <v>4.33</v>
      </c>
      <c r="M1080">
        <v>280.8</v>
      </c>
      <c r="N1080" s="13">
        <v>0.1022</v>
      </c>
      <c r="O1080" t="s">
        <v>38</v>
      </c>
      <c r="Q1080">
        <f t="shared" si="270"/>
        <v>285.13674000000032</v>
      </c>
      <c r="R1080">
        <f t="shared" si="271"/>
        <v>280.80674000000033</v>
      </c>
      <c r="S1080">
        <f t="shared" si="272"/>
        <v>3032.4066000000003</v>
      </c>
      <c r="U1080">
        <f t="shared" si="259"/>
        <v>13591.433278</v>
      </c>
      <c r="V1080">
        <f t="shared" si="273"/>
        <v>1649.9999999491999</v>
      </c>
      <c r="W1080">
        <f t="shared" si="260"/>
        <v>171.25205930280021</v>
      </c>
      <c r="X1080">
        <f t="shared" si="261"/>
        <v>3.4712520592012006</v>
      </c>
      <c r="Y1080">
        <f t="shared" si="262"/>
        <v>167.78080724359901</v>
      </c>
      <c r="Z1080">
        <f t="shared" si="263"/>
        <v>23723.789934640772</v>
      </c>
      <c r="AB1080">
        <f t="shared" si="264"/>
        <v>20604.664012000001</v>
      </c>
      <c r="AC1080">
        <f t="shared" si="265"/>
        <v>2501.4062110568002</v>
      </c>
      <c r="AD1080">
        <f t="shared" si="266"/>
        <v>259.61876655120028</v>
      </c>
      <c r="AE1080">
        <f t="shared" si="267"/>
        <v>5.2624311886648005</v>
      </c>
      <c r="AF1080">
        <f t="shared" si="268"/>
        <v>254.35633536253548</v>
      </c>
      <c r="AG1080">
        <f t="shared" si="274"/>
        <v>25268.418445335021</v>
      </c>
      <c r="AH1080" t="b">
        <f t="shared" si="269"/>
        <v>1</v>
      </c>
    </row>
    <row r="1081" spans="4:34" hidden="1" x14ac:dyDescent="0.4">
      <c r="D1081" t="s">
        <v>52</v>
      </c>
      <c r="E1081" t="s">
        <v>37</v>
      </c>
      <c r="F1081" s="9">
        <v>45765.125</v>
      </c>
      <c r="G1081">
        <v>4.7169999999999996</v>
      </c>
      <c r="H1081" s="9">
        <v>45767.125</v>
      </c>
      <c r="I1081">
        <v>4.9470000000000001</v>
      </c>
      <c r="J1081">
        <v>486.49</v>
      </c>
      <c r="K1081" s="12">
        <v>2294.8000000000002</v>
      </c>
      <c r="L1081">
        <v>3.53</v>
      </c>
      <c r="M1081">
        <v>108.37</v>
      </c>
      <c r="N1081" s="13">
        <v>4.7199999999999999E-2</v>
      </c>
      <c r="O1081" t="s">
        <v>38</v>
      </c>
      <c r="Q1081">
        <f t="shared" si="270"/>
        <v>111.8927000000002</v>
      </c>
      <c r="R1081">
        <f t="shared" si="271"/>
        <v>108.3627000000002</v>
      </c>
      <c r="S1081">
        <f t="shared" si="272"/>
        <v>2406.6660299999999</v>
      </c>
      <c r="U1081">
        <f t="shared" si="259"/>
        <v>349.79860100000002</v>
      </c>
      <c r="V1081">
        <f t="shared" si="273"/>
        <v>1650.0000009169999</v>
      </c>
      <c r="W1081">
        <f t="shared" si="260"/>
        <v>80.453678230000151</v>
      </c>
      <c r="X1081">
        <f t="shared" si="261"/>
        <v>3.3804536800640004</v>
      </c>
      <c r="Y1081">
        <f t="shared" si="262"/>
        <v>77.073224549936157</v>
      </c>
      <c r="Z1081">
        <f t="shared" si="263"/>
        <v>23556.009127397174</v>
      </c>
      <c r="AB1081">
        <f t="shared" si="264"/>
        <v>527.83044400000006</v>
      </c>
      <c r="AC1081">
        <f t="shared" si="265"/>
        <v>2489.7762043480002</v>
      </c>
      <c r="AD1081">
        <f t="shared" si="266"/>
        <v>121.40100212000024</v>
      </c>
      <c r="AE1081">
        <f t="shared" si="267"/>
        <v>5.1009534108160013</v>
      </c>
      <c r="AF1081">
        <f t="shared" si="268"/>
        <v>116.30004870918424</v>
      </c>
      <c r="AG1081">
        <f t="shared" si="274"/>
        <v>25014.062109972485</v>
      </c>
      <c r="AH1081" t="b">
        <f t="shared" si="269"/>
        <v>1</v>
      </c>
    </row>
    <row r="1082" spans="4:34" hidden="1" x14ac:dyDescent="0.4">
      <c r="D1082" t="s">
        <v>43</v>
      </c>
      <c r="E1082" t="s">
        <v>37</v>
      </c>
      <c r="F1082" s="9">
        <v>45764.708333333336</v>
      </c>
      <c r="G1082">
        <v>2.1038999999999999</v>
      </c>
      <c r="H1082" s="9">
        <v>45766.708333333336</v>
      </c>
      <c r="I1082">
        <v>2.1396000000000002</v>
      </c>
      <c r="J1082" s="12">
        <v>824.3</v>
      </c>
      <c r="K1082" s="12">
        <v>1734.24</v>
      </c>
      <c r="L1082">
        <v>2.62</v>
      </c>
      <c r="M1082">
        <v>26.8</v>
      </c>
      <c r="N1082" s="13">
        <v>1.55E-2</v>
      </c>
      <c r="O1082" t="s">
        <v>38</v>
      </c>
      <c r="Q1082">
        <f t="shared" si="270"/>
        <v>29.427510000000236</v>
      </c>
      <c r="R1082">
        <f t="shared" si="271"/>
        <v>26.807510000000235</v>
      </c>
      <c r="S1082">
        <f t="shared" si="272"/>
        <v>1763.67228</v>
      </c>
      <c r="U1082">
        <f t="shared" si="259"/>
        <v>784.25780699999996</v>
      </c>
      <c r="V1082">
        <f t="shared" si="273"/>
        <v>1650.0000001472997</v>
      </c>
      <c r="W1082">
        <f t="shared" si="260"/>
        <v>27.998003709900225</v>
      </c>
      <c r="X1082">
        <f t="shared" si="261"/>
        <v>3.3279980040044999</v>
      </c>
      <c r="Y1082">
        <f t="shared" si="262"/>
        <v>24.670005705895726</v>
      </c>
      <c r="Z1082">
        <f t="shared" si="263"/>
        <v>23478.935902847239</v>
      </c>
      <c r="AB1082">
        <f t="shared" si="264"/>
        <v>1181.6432199999999</v>
      </c>
      <c r="AC1082">
        <f t="shared" si="265"/>
        <v>2486.0591705579996</v>
      </c>
      <c r="AD1082">
        <f t="shared" si="266"/>
        <v>42.184662954000338</v>
      </c>
      <c r="AE1082">
        <f t="shared" si="267"/>
        <v>5.0143030040699994</v>
      </c>
      <c r="AF1082">
        <f t="shared" si="268"/>
        <v>37.170359949930337</v>
      </c>
      <c r="AG1082">
        <f t="shared" si="274"/>
        <v>24897.7620612633</v>
      </c>
      <c r="AH1082" t="b">
        <f t="shared" si="269"/>
        <v>1</v>
      </c>
    </row>
    <row r="1083" spans="4:34" hidden="1" x14ac:dyDescent="0.4">
      <c r="D1083" t="s">
        <v>59</v>
      </c>
      <c r="E1083" t="s">
        <v>37</v>
      </c>
      <c r="F1083" s="9">
        <v>45764.125</v>
      </c>
      <c r="G1083" s="12">
        <v>84341.99</v>
      </c>
      <c r="H1083" s="9">
        <v>45766.625</v>
      </c>
      <c r="I1083" s="12">
        <v>85465.61</v>
      </c>
      <c r="J1083">
        <v>0.12008000000000001</v>
      </c>
      <c r="K1083" s="12">
        <v>10128.629999999999</v>
      </c>
      <c r="L1083">
        <v>15.29</v>
      </c>
      <c r="M1083">
        <v>119.63</v>
      </c>
      <c r="N1083" s="13">
        <v>1.18E-2</v>
      </c>
      <c r="O1083" t="s">
        <v>57</v>
      </c>
      <c r="Q1083">
        <f t="shared" si="270"/>
        <v>134.92428959999944</v>
      </c>
      <c r="R1083">
        <f t="shared" si="271"/>
        <v>119.63428959999945</v>
      </c>
      <c r="S1083">
        <f t="shared" si="272"/>
        <v>10262.7104488</v>
      </c>
      <c r="U1083">
        <f t="shared" si="259"/>
        <v>1.9563000000000001E-2</v>
      </c>
      <c r="V1083">
        <f t="shared" si="273"/>
        <v>1649.9823503700002</v>
      </c>
      <c r="W1083">
        <f t="shared" si="260"/>
        <v>21.981378059999908</v>
      </c>
      <c r="X1083">
        <f t="shared" si="261"/>
        <v>3.3219460788000004</v>
      </c>
      <c r="Y1083">
        <f t="shared" si="262"/>
        <v>18.659431981199909</v>
      </c>
      <c r="Z1083">
        <f t="shared" si="263"/>
        <v>23454.265897141344</v>
      </c>
      <c r="AB1083">
        <f t="shared" si="264"/>
        <v>2.9443E-2</v>
      </c>
      <c r="AC1083">
        <f t="shared" si="265"/>
        <v>2483.2812115700003</v>
      </c>
      <c r="AD1083">
        <f t="shared" si="266"/>
        <v>33.082743659999863</v>
      </c>
      <c r="AE1083">
        <f t="shared" si="267"/>
        <v>4.9996451668000006</v>
      </c>
      <c r="AF1083">
        <f t="shared" si="268"/>
        <v>28.083098493199863</v>
      </c>
      <c r="AG1083">
        <f t="shared" si="274"/>
        <v>24860.591701313369</v>
      </c>
      <c r="AH1083" t="b">
        <f t="shared" si="269"/>
        <v>1</v>
      </c>
    </row>
    <row r="1084" spans="4:34" hidden="1" x14ac:dyDescent="0.4">
      <c r="D1084" t="s">
        <v>58</v>
      </c>
      <c r="E1084" t="s">
        <v>37</v>
      </c>
      <c r="F1084" s="9">
        <v>45764.583333333336</v>
      </c>
      <c r="G1084">
        <v>12.52</v>
      </c>
      <c r="H1084" s="9">
        <v>45766.583333333336</v>
      </c>
      <c r="I1084">
        <v>12.77</v>
      </c>
      <c r="J1084">
        <v>554.07000000000005</v>
      </c>
      <c r="K1084" s="12">
        <v>6937.02</v>
      </c>
      <c r="L1084">
        <v>10.51</v>
      </c>
      <c r="M1084">
        <v>128.01</v>
      </c>
      <c r="N1084" s="13">
        <v>1.8499999999999999E-2</v>
      </c>
      <c r="O1084" t="s">
        <v>38</v>
      </c>
      <c r="Q1084">
        <f t="shared" si="270"/>
        <v>138.51750000000001</v>
      </c>
      <c r="R1084">
        <f t="shared" si="271"/>
        <v>128.00750000000002</v>
      </c>
      <c r="S1084">
        <f t="shared" si="272"/>
        <v>7075.4739</v>
      </c>
      <c r="U1084">
        <f t="shared" si="259"/>
        <v>131.78913700000001</v>
      </c>
      <c r="V1084">
        <f t="shared" si="273"/>
        <v>1649.9999952400001</v>
      </c>
      <c r="W1084">
        <f t="shared" si="260"/>
        <v>32.947284250000003</v>
      </c>
      <c r="X1084">
        <f t="shared" si="261"/>
        <v>3.3329472747300004</v>
      </c>
      <c r="Y1084">
        <f t="shared" si="262"/>
        <v>29.614336975270003</v>
      </c>
      <c r="Z1084">
        <f t="shared" si="263"/>
        <v>23435.606465160145</v>
      </c>
      <c r="AB1084">
        <f t="shared" si="264"/>
        <v>197.987371</v>
      </c>
      <c r="AC1084">
        <f t="shared" si="265"/>
        <v>2478.8018849199998</v>
      </c>
      <c r="AD1084">
        <f t="shared" si="266"/>
        <v>49.496842749999999</v>
      </c>
      <c r="AE1084">
        <f t="shared" si="267"/>
        <v>5.0071006125899995</v>
      </c>
      <c r="AF1084">
        <f t="shared" si="268"/>
        <v>44.489742137409998</v>
      </c>
      <c r="AG1084">
        <f t="shared" si="274"/>
        <v>24832.508602820169</v>
      </c>
      <c r="AH1084" t="b">
        <f t="shared" si="269"/>
        <v>1</v>
      </c>
    </row>
    <row r="1085" spans="4:34" hidden="1" x14ac:dyDescent="0.4">
      <c r="D1085" t="s">
        <v>50</v>
      </c>
      <c r="E1085" t="s">
        <v>37</v>
      </c>
      <c r="F1085" s="9">
        <v>45764.583333333336</v>
      </c>
      <c r="G1085">
        <v>233</v>
      </c>
      <c r="H1085" s="9">
        <v>45766.583333333336</v>
      </c>
      <c r="I1085">
        <v>272.7</v>
      </c>
      <c r="J1085">
        <v>49.997599999999998</v>
      </c>
      <c r="K1085" s="12">
        <v>11649.45</v>
      </c>
      <c r="L1085">
        <v>18.96</v>
      </c>
      <c r="M1085" s="12">
        <v>1965.94</v>
      </c>
      <c r="N1085" s="13">
        <v>0.16880000000000001</v>
      </c>
      <c r="O1085" t="s">
        <v>38</v>
      </c>
      <c r="Q1085">
        <f t="shared" si="270"/>
        <v>1984.9047199999993</v>
      </c>
      <c r="R1085">
        <f t="shared" si="271"/>
        <v>1965.9447199999993</v>
      </c>
      <c r="S1085">
        <f t="shared" si="272"/>
        <v>13634.345519999999</v>
      </c>
      <c r="U1085">
        <f t="shared" si="259"/>
        <v>7.0815450000000002</v>
      </c>
      <c r="V1085">
        <f t="shared" si="273"/>
        <v>1649.9999850000002</v>
      </c>
      <c r="W1085">
        <f t="shared" si="260"/>
        <v>281.13733649999995</v>
      </c>
      <c r="X1085">
        <f t="shared" si="261"/>
        <v>3.5811373065000005</v>
      </c>
      <c r="Y1085">
        <f t="shared" si="262"/>
        <v>277.55619919349994</v>
      </c>
      <c r="Z1085">
        <f t="shared" si="263"/>
        <v>23405.992128184873</v>
      </c>
      <c r="AB1085">
        <f t="shared" si="264"/>
        <v>10.462637000000001</v>
      </c>
      <c r="AC1085">
        <f t="shared" si="265"/>
        <v>2437.7944210000001</v>
      </c>
      <c r="AD1085">
        <f t="shared" si="266"/>
        <v>415.36668889999993</v>
      </c>
      <c r="AE1085">
        <f t="shared" si="267"/>
        <v>5.2909555309000007</v>
      </c>
      <c r="AF1085">
        <f t="shared" si="268"/>
        <v>410.07573336909991</v>
      </c>
      <c r="AG1085">
        <f t="shared" si="274"/>
        <v>24788.018860682758</v>
      </c>
      <c r="AH1085" t="b">
        <f t="shared" si="269"/>
        <v>1</v>
      </c>
    </row>
    <row r="1086" spans="4:34" hidden="1" x14ac:dyDescent="0.4">
      <c r="D1086" t="s">
        <v>55</v>
      </c>
      <c r="E1086" t="s">
        <v>37</v>
      </c>
      <c r="F1086" s="9">
        <v>45764.125</v>
      </c>
      <c r="G1086" s="12">
        <v>5.7809999999999997E-5</v>
      </c>
      <c r="H1086" s="9">
        <v>45766.125</v>
      </c>
      <c r="I1086" s="12">
        <v>5.9549999999999997E-5</v>
      </c>
      <c r="J1086" s="12">
        <v>101707284.56</v>
      </c>
      <c r="K1086" s="12">
        <v>5879.7</v>
      </c>
      <c r="L1086">
        <v>8.9499999999999993</v>
      </c>
      <c r="M1086">
        <v>168.02</v>
      </c>
      <c r="N1086" s="13">
        <v>2.86E-2</v>
      </c>
      <c r="O1086" t="s">
        <v>38</v>
      </c>
      <c r="Q1086">
        <f t="shared" si="270"/>
        <v>176.97067513440004</v>
      </c>
      <c r="R1086">
        <f t="shared" si="271"/>
        <v>168.02067513440005</v>
      </c>
      <c r="S1086">
        <f t="shared" si="272"/>
        <v>6056.6687955480002</v>
      </c>
      <c r="U1086">
        <f t="shared" si="259"/>
        <v>28541774.779449999</v>
      </c>
      <c r="V1086">
        <f t="shared" si="273"/>
        <v>1650.0000000000043</v>
      </c>
      <c r="W1086">
        <f t="shared" si="260"/>
        <v>49.662688116243004</v>
      </c>
      <c r="X1086">
        <f t="shared" si="261"/>
        <v>3.3496626881162519</v>
      </c>
      <c r="Y1086">
        <f t="shared" si="262"/>
        <v>46.31302542812675</v>
      </c>
      <c r="Z1086">
        <f t="shared" si="263"/>
        <v>23128.435928991374</v>
      </c>
      <c r="AB1086">
        <f t="shared" si="264"/>
        <v>42051045.526381001</v>
      </c>
      <c r="AC1086">
        <f t="shared" si="265"/>
        <v>2430.9709418800853</v>
      </c>
      <c r="AD1086">
        <f t="shared" si="266"/>
        <v>73.168819215902957</v>
      </c>
      <c r="AE1086">
        <f t="shared" si="267"/>
        <v>4.9351107029760746</v>
      </c>
      <c r="AF1086">
        <f t="shared" si="268"/>
        <v>68.233708512926881</v>
      </c>
      <c r="AG1086">
        <f t="shared" si="274"/>
        <v>24377.943127313658</v>
      </c>
      <c r="AH1086" t="b">
        <f t="shared" si="269"/>
        <v>1</v>
      </c>
    </row>
    <row r="1087" spans="4:34" hidden="1" x14ac:dyDescent="0.4">
      <c r="D1087" t="s">
        <v>53</v>
      </c>
      <c r="E1087" t="s">
        <v>37</v>
      </c>
      <c r="F1087" s="9">
        <v>45764.125</v>
      </c>
      <c r="G1087" s="12">
        <v>584.17999999999995</v>
      </c>
      <c r="H1087" s="9">
        <v>45766.125</v>
      </c>
      <c r="I1087" s="12">
        <v>592.45000000000005</v>
      </c>
      <c r="J1087">
        <v>15.561999999999999</v>
      </c>
      <c r="K1087" s="12">
        <v>9091.07</v>
      </c>
      <c r="L1087">
        <v>13.73</v>
      </c>
      <c r="M1087">
        <v>114.96</v>
      </c>
      <c r="N1087" s="13">
        <v>1.26E-2</v>
      </c>
      <c r="O1087" t="s">
        <v>38</v>
      </c>
      <c r="Q1087">
        <f t="shared" si="270"/>
        <v>128.69774000000149</v>
      </c>
      <c r="R1087">
        <f t="shared" si="271"/>
        <v>114.96774000000148</v>
      </c>
      <c r="S1087">
        <f t="shared" si="272"/>
        <v>9219.706900000001</v>
      </c>
      <c r="U1087">
        <f t="shared" si="259"/>
        <v>2.8244720000000001</v>
      </c>
      <c r="V1087">
        <f t="shared" si="273"/>
        <v>1650.0000529599999</v>
      </c>
      <c r="W1087">
        <f t="shared" si="260"/>
        <v>23.358383440000271</v>
      </c>
      <c r="X1087">
        <f t="shared" si="261"/>
        <v>3.3233584893600003</v>
      </c>
      <c r="Y1087">
        <f t="shared" si="262"/>
        <v>20.03502495064027</v>
      </c>
      <c r="Z1087">
        <f t="shared" si="263"/>
        <v>23082.122903563246</v>
      </c>
      <c r="AB1087">
        <f t="shared" si="264"/>
        <v>4.1562919999999997</v>
      </c>
      <c r="AC1087">
        <f t="shared" si="265"/>
        <v>2428.0226605599996</v>
      </c>
      <c r="AD1087">
        <f t="shared" si="266"/>
        <v>34.372534840000391</v>
      </c>
      <c r="AE1087">
        <f t="shared" si="267"/>
        <v>4.89041785596</v>
      </c>
      <c r="AF1087">
        <f t="shared" si="268"/>
        <v>29.482116984040392</v>
      </c>
      <c r="AG1087">
        <f t="shared" si="274"/>
        <v>24309.709418800732</v>
      </c>
      <c r="AH1087" t="b">
        <f t="shared" si="269"/>
        <v>1</v>
      </c>
    </row>
    <row r="1088" spans="4:34" hidden="1" x14ac:dyDescent="0.4">
      <c r="D1088" t="s">
        <v>54</v>
      </c>
      <c r="E1088" t="s">
        <v>37</v>
      </c>
      <c r="F1088" s="9">
        <v>45763.833333333336</v>
      </c>
      <c r="G1088">
        <v>128.6</v>
      </c>
      <c r="H1088" s="9">
        <v>45765.833333333336</v>
      </c>
      <c r="I1088">
        <v>134</v>
      </c>
      <c r="J1088">
        <v>35.911999999999999</v>
      </c>
      <c r="K1088" s="12">
        <v>4618.29</v>
      </c>
      <c r="L1088">
        <v>7.07</v>
      </c>
      <c r="M1088">
        <v>186.85</v>
      </c>
      <c r="N1088" s="13">
        <v>4.0500000000000001E-2</v>
      </c>
      <c r="O1088" t="s">
        <v>38</v>
      </c>
      <c r="Q1088">
        <f t="shared" si="270"/>
        <v>193.9248000000002</v>
      </c>
      <c r="R1088">
        <f t="shared" si="271"/>
        <v>186.85480000000021</v>
      </c>
      <c r="S1088">
        <f t="shared" si="272"/>
        <v>4812.2079999999996</v>
      </c>
      <c r="U1088">
        <f t="shared" si="259"/>
        <v>12.830482</v>
      </c>
      <c r="V1088">
        <f t="shared" si="273"/>
        <v>1649.9999851999999</v>
      </c>
      <c r="W1088">
        <f t="shared" si="260"/>
        <v>69.284602800000073</v>
      </c>
      <c r="X1088">
        <f t="shared" si="261"/>
        <v>3.3692845732000007</v>
      </c>
      <c r="Y1088">
        <f t="shared" si="262"/>
        <v>65.915318226800068</v>
      </c>
      <c r="Z1088">
        <f t="shared" si="263"/>
        <v>23062.087878612605</v>
      </c>
      <c r="AB1088">
        <f t="shared" si="264"/>
        <v>18.805301</v>
      </c>
      <c r="AC1088">
        <f t="shared" si="265"/>
        <v>2418.3617085999999</v>
      </c>
      <c r="AD1088">
        <f t="shared" si="266"/>
        <v>101.54862540000011</v>
      </c>
      <c r="AE1088">
        <f t="shared" si="267"/>
        <v>4.9382720426000013</v>
      </c>
      <c r="AF1088">
        <f t="shared" si="268"/>
        <v>96.610353357400101</v>
      </c>
      <c r="AG1088">
        <f t="shared" si="274"/>
        <v>24280.227301816692</v>
      </c>
      <c r="AH1088" t="b">
        <f t="shared" si="269"/>
        <v>1</v>
      </c>
    </row>
    <row r="1089" spans="4:34" hidden="1" x14ac:dyDescent="0.4">
      <c r="D1089" t="s">
        <v>53</v>
      </c>
      <c r="E1089" t="s">
        <v>37</v>
      </c>
      <c r="F1089" s="9">
        <v>45762.125</v>
      </c>
      <c r="G1089">
        <v>586.13</v>
      </c>
      <c r="H1089" s="9">
        <v>45764.125</v>
      </c>
      <c r="I1089">
        <v>584.17999999999995</v>
      </c>
      <c r="J1089" s="12">
        <v>15.516999999999999</v>
      </c>
      <c r="K1089" s="12">
        <v>9095.4599999999991</v>
      </c>
      <c r="L1089">
        <v>13.62</v>
      </c>
      <c r="M1089">
        <v>-43.88</v>
      </c>
      <c r="N1089" s="13">
        <v>-4.7999999999999996E-3</v>
      </c>
      <c r="O1089" t="s">
        <v>38</v>
      </c>
      <c r="Q1089">
        <f t="shared" si="270"/>
        <v>-30.258150000000704</v>
      </c>
      <c r="R1089">
        <f t="shared" si="271"/>
        <v>-43.878150000000701</v>
      </c>
      <c r="S1089">
        <f t="shared" si="272"/>
        <v>9064.721059999998</v>
      </c>
      <c r="U1089">
        <f t="shared" si="259"/>
        <v>2.8150750000000002</v>
      </c>
      <c r="V1089">
        <f t="shared" si="273"/>
        <v>1649.9999097500001</v>
      </c>
      <c r="W1089">
        <f t="shared" si="260"/>
        <v>-5.4893962500001283</v>
      </c>
      <c r="X1089">
        <f t="shared" si="261"/>
        <v>3.2945104232500002</v>
      </c>
      <c r="Y1089">
        <f t="shared" si="262"/>
        <v>-8.7839066732501294</v>
      </c>
      <c r="Z1089">
        <f t="shared" si="263"/>
        <v>22996.172560385807</v>
      </c>
      <c r="AB1089">
        <f t="shared" si="264"/>
        <v>4.1281790000000003</v>
      </c>
      <c r="AC1089">
        <f t="shared" si="265"/>
        <v>2419.6495572700001</v>
      </c>
      <c r="AD1089">
        <f t="shared" si="266"/>
        <v>-8.0499490500001887</v>
      </c>
      <c r="AE1089">
        <f t="shared" si="267"/>
        <v>4.8312491654900001</v>
      </c>
      <c r="AF1089">
        <f t="shared" si="268"/>
        <v>-12.881198215490189</v>
      </c>
      <c r="AG1089">
        <f t="shared" si="274"/>
        <v>24183.616948459294</v>
      </c>
      <c r="AH1089" t="b">
        <f t="shared" si="269"/>
        <v>1</v>
      </c>
    </row>
    <row r="1090" spans="4:34" hidden="1" x14ac:dyDescent="0.4">
      <c r="D1090" t="s">
        <v>54</v>
      </c>
      <c r="E1090" t="s">
        <v>37</v>
      </c>
      <c r="F1090" s="9">
        <v>45761.833333333336</v>
      </c>
      <c r="G1090">
        <v>130.35</v>
      </c>
      <c r="H1090" s="9">
        <v>45763.833333333336</v>
      </c>
      <c r="I1090">
        <v>128.6</v>
      </c>
      <c r="J1090">
        <v>35.481999999999999</v>
      </c>
      <c r="K1090" s="12">
        <v>4625.1899999999996</v>
      </c>
      <c r="L1090">
        <v>6.89</v>
      </c>
      <c r="M1090" s="12">
        <v>-68.98</v>
      </c>
      <c r="N1090" s="13">
        <v>-1.49E-2</v>
      </c>
      <c r="O1090" t="s">
        <v>38</v>
      </c>
      <c r="Q1090">
        <f t="shared" si="270"/>
        <v>-62.093499999999999</v>
      </c>
      <c r="R1090">
        <f t="shared" si="271"/>
        <v>-68.983499999999992</v>
      </c>
      <c r="S1090">
        <f t="shared" si="272"/>
        <v>4562.9852000000001</v>
      </c>
      <c r="U1090">
        <f t="shared" si="259"/>
        <v>12.658227999999999</v>
      </c>
      <c r="V1090">
        <f t="shared" si="273"/>
        <v>1650.0000197999998</v>
      </c>
      <c r="W1090">
        <f t="shared" si="260"/>
        <v>-22.151899</v>
      </c>
      <c r="X1090">
        <f t="shared" si="261"/>
        <v>3.2778481406000002</v>
      </c>
      <c r="Y1090">
        <f t="shared" si="262"/>
        <v>-25.4297471406</v>
      </c>
      <c r="Z1090">
        <f t="shared" si="263"/>
        <v>23004.956467059055</v>
      </c>
      <c r="AB1090">
        <f t="shared" si="264"/>
        <v>18.591367000000002</v>
      </c>
      <c r="AC1090">
        <f t="shared" si="265"/>
        <v>2423.3846884500003</v>
      </c>
      <c r="AD1090">
        <f t="shared" si="266"/>
        <v>-32.534892250000006</v>
      </c>
      <c r="AE1090">
        <f t="shared" si="267"/>
        <v>4.8142344846500009</v>
      </c>
      <c r="AF1090">
        <f t="shared" si="268"/>
        <v>-37.349126734650007</v>
      </c>
      <c r="AG1090">
        <f t="shared" si="274"/>
        <v>24196.498146674785</v>
      </c>
      <c r="AH1090" t="b">
        <f t="shared" si="269"/>
        <v>1</v>
      </c>
    </row>
    <row r="1091" spans="4:34" hidden="1" x14ac:dyDescent="0.4">
      <c r="D1091" t="s">
        <v>55</v>
      </c>
      <c r="E1091" t="s">
        <v>37</v>
      </c>
      <c r="F1091" s="9">
        <v>45761.5</v>
      </c>
      <c r="G1091">
        <v>5.9490000000000001E-5</v>
      </c>
      <c r="H1091" s="9">
        <v>45763.5</v>
      </c>
      <c r="I1091">
        <v>5.736E-5</v>
      </c>
      <c r="J1091" s="12">
        <v>99204877.569999993</v>
      </c>
      <c r="K1091" s="12">
        <v>5901.7</v>
      </c>
      <c r="L1091">
        <v>8.69</v>
      </c>
      <c r="M1091">
        <v>-220</v>
      </c>
      <c r="N1091" s="13">
        <v>-3.73E-2</v>
      </c>
      <c r="O1091" t="s">
        <v>38</v>
      </c>
      <c r="Q1091">
        <f t="shared" si="270"/>
        <v>-211.30638922410014</v>
      </c>
      <c r="R1091">
        <f t="shared" si="271"/>
        <v>-219.99638922410014</v>
      </c>
      <c r="S1091">
        <f t="shared" si="272"/>
        <v>5690.3917774151996</v>
      </c>
      <c r="U1091">
        <f t="shared" si="259"/>
        <v>27735753.908220001</v>
      </c>
      <c r="V1091">
        <f t="shared" si="273"/>
        <v>1650.000000000008</v>
      </c>
      <c r="W1091">
        <f t="shared" si="260"/>
        <v>-59.077155824508644</v>
      </c>
      <c r="X1091">
        <f t="shared" si="261"/>
        <v>3.2409228441755067</v>
      </c>
      <c r="Y1091">
        <f t="shared" si="262"/>
        <v>-62.318078668684151</v>
      </c>
      <c r="Z1091">
        <f t="shared" si="263"/>
        <v>23030.386214199654</v>
      </c>
      <c r="AB1091">
        <f t="shared" si="264"/>
        <v>40890438.654395998</v>
      </c>
      <c r="AC1091">
        <f t="shared" si="265"/>
        <v>2432.572195550018</v>
      </c>
      <c r="AD1091">
        <f t="shared" si="266"/>
        <v>-87.096634333863548</v>
      </c>
      <c r="AE1091">
        <f t="shared" si="267"/>
        <v>4.7780477567661723</v>
      </c>
      <c r="AF1091">
        <f t="shared" si="268"/>
        <v>-91.874682090629719</v>
      </c>
      <c r="AG1091">
        <f t="shared" si="274"/>
        <v>24233.847273409436</v>
      </c>
      <c r="AH1091" t="b">
        <f t="shared" si="269"/>
        <v>1</v>
      </c>
    </row>
    <row r="1092" spans="4:34" hidden="1" x14ac:dyDescent="0.4">
      <c r="D1092" t="s">
        <v>48</v>
      </c>
      <c r="E1092" t="s">
        <v>37</v>
      </c>
      <c r="F1092" s="9">
        <v>45761.416666666664</v>
      </c>
      <c r="G1092">
        <v>0.1222</v>
      </c>
      <c r="H1092" s="9">
        <v>45763.416666666664</v>
      </c>
      <c r="I1092">
        <v>0.1198</v>
      </c>
      <c r="J1092" s="12">
        <v>22529.3</v>
      </c>
      <c r="K1092" s="12">
        <v>2753.09</v>
      </c>
      <c r="L1092">
        <v>4.09</v>
      </c>
      <c r="M1092">
        <v>-58.16</v>
      </c>
      <c r="N1092" s="13">
        <v>-2.1100000000000001E-2</v>
      </c>
      <c r="O1092" t="s">
        <v>38</v>
      </c>
      <c r="Q1092">
        <f t="shared" si="270"/>
        <v>-54.070319999999981</v>
      </c>
      <c r="R1092">
        <f t="shared" si="271"/>
        <v>-58.160319999999984</v>
      </c>
      <c r="S1092">
        <f t="shared" si="272"/>
        <v>2699.0101399999999</v>
      </c>
      <c r="U1092">
        <f t="shared" si="259"/>
        <v>13502.454992000001</v>
      </c>
      <c r="V1092">
        <f t="shared" si="273"/>
        <v>1650.0000000224002</v>
      </c>
      <c r="W1092">
        <f t="shared" si="260"/>
        <v>-32.405891980799993</v>
      </c>
      <c r="X1092">
        <f t="shared" si="261"/>
        <v>3.2675941080640003</v>
      </c>
      <c r="Y1092">
        <f t="shared" si="262"/>
        <v>-35.673486088863996</v>
      </c>
      <c r="Z1092">
        <f t="shared" si="263"/>
        <v>23092.704292868337</v>
      </c>
      <c r="AB1092">
        <f t="shared" si="264"/>
        <v>19949.614432999999</v>
      </c>
      <c r="AC1092">
        <f t="shared" si="265"/>
        <v>2437.8428837125998</v>
      </c>
      <c r="AD1092">
        <f t="shared" si="266"/>
        <v>-47.879074639199985</v>
      </c>
      <c r="AE1092">
        <f t="shared" si="267"/>
        <v>4.8278066927859999</v>
      </c>
      <c r="AF1092">
        <f t="shared" si="268"/>
        <v>-52.706881331985983</v>
      </c>
      <c r="AG1092">
        <f t="shared" si="274"/>
        <v>24325.721955500067</v>
      </c>
      <c r="AH1092" t="b">
        <f t="shared" si="269"/>
        <v>1</v>
      </c>
    </row>
    <row r="1093" spans="4:34" hidden="1" x14ac:dyDescent="0.4">
      <c r="D1093" t="s">
        <v>59</v>
      </c>
      <c r="E1093" t="s">
        <v>37</v>
      </c>
      <c r="F1093" s="9">
        <v>45760.75</v>
      </c>
      <c r="G1093" s="12">
        <v>84200.01</v>
      </c>
      <c r="H1093" s="9">
        <v>45763.25</v>
      </c>
      <c r="I1093" s="12">
        <v>83584</v>
      </c>
      <c r="J1093" s="12">
        <v>0.12039</v>
      </c>
      <c r="K1093" s="12">
        <v>10137.56</v>
      </c>
      <c r="L1093">
        <v>15.15</v>
      </c>
      <c r="M1093">
        <v>-89.31</v>
      </c>
      <c r="N1093" s="13">
        <v>-8.8000000000000005E-3</v>
      </c>
      <c r="O1093" t="s">
        <v>57</v>
      </c>
      <c r="Q1093">
        <f t="shared" si="270"/>
        <v>-74.161443899999369</v>
      </c>
      <c r="R1093">
        <f t="shared" si="271"/>
        <v>-89.311443899999375</v>
      </c>
      <c r="S1093">
        <f t="shared" si="272"/>
        <v>10062.67776</v>
      </c>
      <c r="U1093">
        <f t="shared" si="259"/>
        <v>1.9595999999999999E-2</v>
      </c>
      <c r="V1093">
        <f t="shared" si="273"/>
        <v>1649.9833959599998</v>
      </c>
      <c r="W1093">
        <f t="shared" si="260"/>
        <v>-12.071331959999897</v>
      </c>
      <c r="X1093">
        <f t="shared" si="261"/>
        <v>3.2878954599600001</v>
      </c>
      <c r="Y1093">
        <f t="shared" si="262"/>
        <v>-15.359227419959897</v>
      </c>
      <c r="Z1093">
        <f t="shared" si="263"/>
        <v>23128.377778957201</v>
      </c>
      <c r="AB1093">
        <f t="shared" si="264"/>
        <v>2.8979999999999999E-2</v>
      </c>
      <c r="AC1093">
        <f t="shared" si="265"/>
        <v>2440.1162897999998</v>
      </c>
      <c r="AD1093">
        <f t="shared" si="266"/>
        <v>-17.851969799999846</v>
      </c>
      <c r="AE1093">
        <f t="shared" si="267"/>
        <v>4.8623806098000006</v>
      </c>
      <c r="AF1093">
        <f t="shared" si="268"/>
        <v>-22.714350409799849</v>
      </c>
      <c r="AG1093">
        <f t="shared" si="274"/>
        <v>24378.428836832052</v>
      </c>
      <c r="AH1093" t="b">
        <f t="shared" si="269"/>
        <v>1</v>
      </c>
    </row>
    <row r="1094" spans="4:34" hidden="1" x14ac:dyDescent="0.4">
      <c r="D1094" t="s">
        <v>56</v>
      </c>
      <c r="E1094" t="s">
        <v>37</v>
      </c>
      <c r="F1094" s="9">
        <v>45762.083333333336</v>
      </c>
      <c r="G1094" s="12">
        <v>1631.23</v>
      </c>
      <c r="H1094" s="9">
        <v>45762.916666666664</v>
      </c>
      <c r="I1094" s="12">
        <v>1586.86</v>
      </c>
      <c r="J1094">
        <v>3.1745999999999999</v>
      </c>
      <c r="K1094" s="12">
        <v>5178.5600000000004</v>
      </c>
      <c r="L1094">
        <v>7.66</v>
      </c>
      <c r="M1094">
        <v>-148.51</v>
      </c>
      <c r="N1094" s="13">
        <v>-2.87E-2</v>
      </c>
      <c r="O1094" t="s">
        <v>49</v>
      </c>
      <c r="Q1094">
        <f t="shared" si="270"/>
        <v>-140.85700200000036</v>
      </c>
      <c r="R1094">
        <f t="shared" si="271"/>
        <v>-148.51700200000036</v>
      </c>
      <c r="S1094">
        <f t="shared" si="272"/>
        <v>5037.6457559999999</v>
      </c>
      <c r="U1094">
        <f t="shared" si="259"/>
        <v>1.0115069999999999</v>
      </c>
      <c r="V1094">
        <f t="shared" si="273"/>
        <v>1650.00056361</v>
      </c>
      <c r="W1094">
        <f t="shared" si="260"/>
        <v>-44.880565590000117</v>
      </c>
      <c r="X1094">
        <f t="shared" si="261"/>
        <v>3.2551205616300001</v>
      </c>
      <c r="Y1094">
        <f t="shared" si="262"/>
        <v>-48.135686151630118</v>
      </c>
      <c r="Z1094">
        <f t="shared" si="263"/>
        <v>23143.73700637716</v>
      </c>
      <c r="AB1094">
        <f t="shared" si="264"/>
        <v>1.500251</v>
      </c>
      <c r="AC1094">
        <f t="shared" si="265"/>
        <v>2447.2544387299999</v>
      </c>
      <c r="AD1094">
        <f t="shared" si="266"/>
        <v>-66.566136870000179</v>
      </c>
      <c r="AE1094">
        <f t="shared" si="267"/>
        <v>4.8279427405900002</v>
      </c>
      <c r="AF1094">
        <f t="shared" si="268"/>
        <v>-71.394079610590182</v>
      </c>
      <c r="AG1094">
        <f t="shared" si="274"/>
        <v>24401.143187241851</v>
      </c>
      <c r="AH1094" t="b">
        <f t="shared" si="269"/>
        <v>1</v>
      </c>
    </row>
    <row r="1095" spans="4:34" hidden="1" x14ac:dyDescent="0.4">
      <c r="D1095" t="s">
        <v>60</v>
      </c>
      <c r="E1095" t="s">
        <v>37</v>
      </c>
      <c r="F1095" s="9">
        <v>45760.208333333336</v>
      </c>
      <c r="G1095">
        <v>2.1564000000000001</v>
      </c>
      <c r="H1095" s="9">
        <v>45762.708333333336</v>
      </c>
      <c r="I1095">
        <v>2.1349</v>
      </c>
      <c r="J1095" s="12">
        <v>1006.4</v>
      </c>
      <c r="K1095" s="12">
        <v>2170.3200000000002</v>
      </c>
      <c r="L1095">
        <v>3.24</v>
      </c>
      <c r="M1095">
        <v>-24.88</v>
      </c>
      <c r="N1095" s="13">
        <v>-1.15E-2</v>
      </c>
      <c r="O1095" t="s">
        <v>57</v>
      </c>
      <c r="Q1095">
        <f t="shared" si="270"/>
        <v>-21.637600000000074</v>
      </c>
      <c r="R1095">
        <f t="shared" si="271"/>
        <v>-24.877600000000072</v>
      </c>
      <c r="S1095">
        <f t="shared" si="272"/>
        <v>2148.5633600000001</v>
      </c>
      <c r="U1095">
        <f t="shared" si="259"/>
        <v>765.16416200000003</v>
      </c>
      <c r="V1095">
        <f t="shared" si="273"/>
        <v>1649.9999989368002</v>
      </c>
      <c r="W1095">
        <f t="shared" si="260"/>
        <v>-16.451029483000056</v>
      </c>
      <c r="X1095">
        <f t="shared" si="261"/>
        <v>3.2835489683905998</v>
      </c>
      <c r="Y1095">
        <f t="shared" si="262"/>
        <v>-19.734578451390657</v>
      </c>
      <c r="Z1095">
        <f t="shared" si="263"/>
        <v>23191.872692528788</v>
      </c>
      <c r="AB1095">
        <f t="shared" si="264"/>
        <v>1136.2382829999999</v>
      </c>
      <c r="AC1095">
        <f t="shared" si="265"/>
        <v>2450.1842334611997</v>
      </c>
      <c r="AD1095">
        <f t="shared" si="266"/>
        <v>-24.429123084500084</v>
      </c>
      <c r="AE1095">
        <f t="shared" si="267"/>
        <v>4.8759393438378993</v>
      </c>
      <c r="AF1095">
        <f t="shared" si="268"/>
        <v>-29.305062428337983</v>
      </c>
      <c r="AG1095">
        <f t="shared" si="274"/>
        <v>24472.53726685244</v>
      </c>
      <c r="AH1095" t="b">
        <f t="shared" si="269"/>
        <v>1</v>
      </c>
    </row>
    <row r="1096" spans="4:34" hidden="1" x14ac:dyDescent="0.4">
      <c r="D1096" t="s">
        <v>58</v>
      </c>
      <c r="E1096" t="s">
        <v>37</v>
      </c>
      <c r="F1096" s="9">
        <v>45760.458333333336</v>
      </c>
      <c r="G1096">
        <v>13.14</v>
      </c>
      <c r="H1096" s="9">
        <v>45762.458333333336</v>
      </c>
      <c r="I1096">
        <v>12.74</v>
      </c>
      <c r="J1096">
        <v>529.62</v>
      </c>
      <c r="K1096" s="12">
        <v>6959.23</v>
      </c>
      <c r="L1096">
        <v>10.28</v>
      </c>
      <c r="M1096">
        <v>-222.13</v>
      </c>
      <c r="N1096" s="13">
        <v>-3.1899999999999998E-2</v>
      </c>
      <c r="O1096" t="s">
        <v>38</v>
      </c>
      <c r="Q1096">
        <f t="shared" si="270"/>
        <v>-211.84800000000018</v>
      </c>
      <c r="R1096">
        <f t="shared" si="271"/>
        <v>-222.12800000000018</v>
      </c>
      <c r="S1096">
        <f t="shared" si="272"/>
        <v>6747.3588</v>
      </c>
      <c r="U1096">
        <f t="shared" si="259"/>
        <v>125.570776</v>
      </c>
      <c r="V1096">
        <f t="shared" si="273"/>
        <v>1649.9999966400001</v>
      </c>
      <c r="W1096">
        <f t="shared" si="260"/>
        <v>-50.228310400000041</v>
      </c>
      <c r="X1096">
        <f t="shared" si="261"/>
        <v>3.2497716828800005</v>
      </c>
      <c r="Y1096">
        <f t="shared" si="262"/>
        <v>-53.478082082880043</v>
      </c>
      <c r="Z1096">
        <f t="shared" si="263"/>
        <v>23211.607270980177</v>
      </c>
      <c r="AB1096">
        <f t="shared" si="264"/>
        <v>187.07392200000001</v>
      </c>
      <c r="AC1096">
        <f t="shared" si="265"/>
        <v>2458.1513350800001</v>
      </c>
      <c r="AD1096">
        <f t="shared" si="266"/>
        <v>-74.829568800000075</v>
      </c>
      <c r="AE1096">
        <f t="shared" si="267"/>
        <v>4.841473101360001</v>
      </c>
      <c r="AF1096">
        <f t="shared" si="268"/>
        <v>-79.67104190136007</v>
      </c>
      <c r="AG1096">
        <f t="shared" si="274"/>
        <v>24501.842329280778</v>
      </c>
      <c r="AH1096" t="b">
        <f t="shared" si="269"/>
        <v>1</v>
      </c>
    </row>
    <row r="1097" spans="4:34" hidden="1" x14ac:dyDescent="0.4">
      <c r="D1097" t="s">
        <v>54</v>
      </c>
      <c r="E1097" t="s">
        <v>37</v>
      </c>
      <c r="F1097" s="9">
        <v>45759.833333333336</v>
      </c>
      <c r="G1097" s="12">
        <v>130.9</v>
      </c>
      <c r="H1097" s="9">
        <v>45761.833333333336</v>
      </c>
      <c r="I1097" s="12">
        <v>130.35</v>
      </c>
      <c r="J1097">
        <v>35.353000000000002</v>
      </c>
      <c r="K1097" s="12">
        <v>4627.82</v>
      </c>
      <c r="L1097">
        <v>6.93</v>
      </c>
      <c r="M1097">
        <v>-26.37</v>
      </c>
      <c r="N1097" s="13">
        <v>-5.7000000000000002E-3</v>
      </c>
      <c r="O1097" t="s">
        <v>38</v>
      </c>
      <c r="Q1097">
        <f t="shared" si="270"/>
        <v>-19.444150000000402</v>
      </c>
      <c r="R1097">
        <f t="shared" si="271"/>
        <v>-26.374150000000402</v>
      </c>
      <c r="S1097">
        <f t="shared" si="272"/>
        <v>4608.2635499999997</v>
      </c>
      <c r="U1097">
        <f t="shared" si="259"/>
        <v>12.605041999999999</v>
      </c>
      <c r="V1097">
        <f t="shared" si="273"/>
        <v>1649.9999978000001</v>
      </c>
      <c r="W1097">
        <f t="shared" si="260"/>
        <v>-6.9327731000001425</v>
      </c>
      <c r="X1097">
        <f t="shared" si="261"/>
        <v>3.2930672224999995</v>
      </c>
      <c r="Y1097">
        <f t="shared" si="262"/>
        <v>-10.225840322500142</v>
      </c>
      <c r="Z1097">
        <f t="shared" si="263"/>
        <v>23265.085353063056</v>
      </c>
      <c r="AB1097">
        <f t="shared" si="264"/>
        <v>18.790493999999999</v>
      </c>
      <c r="AC1097">
        <f t="shared" si="265"/>
        <v>2459.6756645999999</v>
      </c>
      <c r="AD1097">
        <f t="shared" si="266"/>
        <v>-10.334771700000212</v>
      </c>
      <c r="AE1097">
        <f t="shared" si="267"/>
        <v>4.9090165574999993</v>
      </c>
      <c r="AF1097">
        <f t="shared" si="268"/>
        <v>-15.243788257500212</v>
      </c>
      <c r="AG1097">
        <f t="shared" si="274"/>
        <v>24581.51337118214</v>
      </c>
      <c r="AH1097" t="b">
        <f t="shared" si="269"/>
        <v>1</v>
      </c>
    </row>
    <row r="1098" spans="4:34" hidden="1" x14ac:dyDescent="0.4">
      <c r="D1098" t="s">
        <v>61</v>
      </c>
      <c r="E1098" t="s">
        <v>37</v>
      </c>
      <c r="F1098" s="9">
        <v>45759.833333333336</v>
      </c>
      <c r="G1098">
        <v>0.65610000000000002</v>
      </c>
      <c r="H1098" s="9">
        <v>45761.833333333336</v>
      </c>
      <c r="I1098">
        <v>0.63919999999999999</v>
      </c>
      <c r="J1098" s="12">
        <v>11969.4</v>
      </c>
      <c r="K1098" s="12">
        <v>7853.16</v>
      </c>
      <c r="L1098">
        <v>11.63</v>
      </c>
      <c r="M1098">
        <v>-213.91</v>
      </c>
      <c r="N1098" s="13">
        <v>-2.7199999999999998E-2</v>
      </c>
      <c r="O1098" t="s">
        <v>38</v>
      </c>
      <c r="Q1098">
        <f t="shared" si="270"/>
        <v>-202.28286000000031</v>
      </c>
      <c r="R1098">
        <f t="shared" si="271"/>
        <v>-213.91286000000031</v>
      </c>
      <c r="S1098">
        <f t="shared" si="272"/>
        <v>7650.8404799999998</v>
      </c>
      <c r="U1098">
        <f t="shared" si="259"/>
        <v>2514.8605400000001</v>
      </c>
      <c r="V1098">
        <f t="shared" si="273"/>
        <v>1650.0000002940001</v>
      </c>
      <c r="W1098">
        <f t="shared" si="260"/>
        <v>-42.501143126000066</v>
      </c>
      <c r="X1098">
        <f t="shared" si="261"/>
        <v>3.2574988574620005</v>
      </c>
      <c r="Y1098">
        <f t="shared" si="262"/>
        <v>-45.75864198346207</v>
      </c>
      <c r="Z1098">
        <f t="shared" si="263"/>
        <v>23275.311193385554</v>
      </c>
      <c r="AB1098">
        <f t="shared" si="264"/>
        <v>3759.359829</v>
      </c>
      <c r="AC1098">
        <f t="shared" si="265"/>
        <v>2466.5159838068998</v>
      </c>
      <c r="AD1098">
        <f t="shared" si="266"/>
        <v>-63.533181110100095</v>
      </c>
      <c r="AE1098">
        <f t="shared" si="267"/>
        <v>4.8694987865037005</v>
      </c>
      <c r="AF1098">
        <f t="shared" si="268"/>
        <v>-68.4026798966038</v>
      </c>
      <c r="AG1098">
        <f t="shared" si="274"/>
        <v>24596.75715943964</v>
      </c>
      <c r="AH1098" t="b">
        <f t="shared" si="269"/>
        <v>1</v>
      </c>
    </row>
    <row r="1099" spans="4:34" hidden="1" x14ac:dyDescent="0.4">
      <c r="D1099" t="s">
        <v>56</v>
      </c>
      <c r="E1099" t="s">
        <v>37</v>
      </c>
      <c r="F1099" s="9">
        <v>45759.25</v>
      </c>
      <c r="G1099" s="12">
        <v>1567.04</v>
      </c>
      <c r="H1099" s="9">
        <v>45761.75</v>
      </c>
      <c r="I1099" s="12">
        <v>1627.9</v>
      </c>
      <c r="J1099">
        <v>3.2923</v>
      </c>
      <c r="K1099" s="12">
        <v>5159.3100000000004</v>
      </c>
      <c r="L1099">
        <v>7.89</v>
      </c>
      <c r="M1099">
        <v>192.48</v>
      </c>
      <c r="N1099" s="13">
        <v>3.73E-2</v>
      </c>
      <c r="O1099" t="s">
        <v>57</v>
      </c>
      <c r="Q1099">
        <f t="shared" si="270"/>
        <v>200.36937800000041</v>
      </c>
      <c r="R1099">
        <f t="shared" si="271"/>
        <v>192.47937800000042</v>
      </c>
      <c r="S1099">
        <f t="shared" si="272"/>
        <v>5359.5351700000001</v>
      </c>
      <c r="U1099">
        <f t="shared" si="259"/>
        <v>1.0529409999999999</v>
      </c>
      <c r="V1099">
        <f t="shared" si="273"/>
        <v>1650.0006646399997</v>
      </c>
      <c r="W1099">
        <f t="shared" si="260"/>
        <v>64.081989260000128</v>
      </c>
      <c r="X1099">
        <f t="shared" si="261"/>
        <v>3.3640833185400001</v>
      </c>
      <c r="Y1099">
        <f t="shared" si="262"/>
        <v>60.717905941460131</v>
      </c>
      <c r="Z1099">
        <f t="shared" si="263"/>
        <v>23321.069835369017</v>
      </c>
      <c r="AB1099">
        <f t="shared" si="264"/>
        <v>1.5682259999999999</v>
      </c>
      <c r="AC1099">
        <f t="shared" si="265"/>
        <v>2457.47287104</v>
      </c>
      <c r="AD1099">
        <f t="shared" si="266"/>
        <v>95.442234360000199</v>
      </c>
      <c r="AE1099">
        <f t="shared" si="267"/>
        <v>5.0103879764400006</v>
      </c>
      <c r="AF1099">
        <f t="shared" si="268"/>
        <v>90.431846383560199</v>
      </c>
      <c r="AG1099">
        <f t="shared" si="274"/>
        <v>24665.159839336244</v>
      </c>
      <c r="AH1099" t="b">
        <f t="shared" si="269"/>
        <v>1</v>
      </c>
    </row>
    <row r="1100" spans="4:34" hidden="1" x14ac:dyDescent="0.4">
      <c r="D1100" t="s">
        <v>43</v>
      </c>
      <c r="E1100" t="s">
        <v>37</v>
      </c>
      <c r="F1100" s="9">
        <v>45759.625</v>
      </c>
      <c r="G1100">
        <v>2.2593999999999999</v>
      </c>
      <c r="H1100" s="9">
        <v>45761.625</v>
      </c>
      <c r="I1100">
        <v>2.2858000000000001</v>
      </c>
      <c r="J1100">
        <v>766.7</v>
      </c>
      <c r="K1100" s="12">
        <v>1732.48</v>
      </c>
      <c r="L1100">
        <v>2.61</v>
      </c>
      <c r="M1100">
        <v>17.63</v>
      </c>
      <c r="N1100" s="13">
        <v>1.0200000000000001E-2</v>
      </c>
      <c r="O1100" t="s">
        <v>38</v>
      </c>
      <c r="Q1100">
        <f t="shared" si="270"/>
        <v>20.240880000000157</v>
      </c>
      <c r="R1100">
        <f t="shared" si="271"/>
        <v>17.630880000000158</v>
      </c>
      <c r="S1100">
        <f t="shared" si="272"/>
        <v>1752.52286</v>
      </c>
      <c r="U1100">
        <f t="shared" si="259"/>
        <v>730.282376</v>
      </c>
      <c r="V1100">
        <f t="shared" si="273"/>
        <v>1650.0000003343998</v>
      </c>
      <c r="W1100">
        <f t="shared" si="260"/>
        <v>19.279454726400147</v>
      </c>
      <c r="X1100">
        <f t="shared" si="261"/>
        <v>3.3192794553951996</v>
      </c>
      <c r="Y1100">
        <f t="shared" si="262"/>
        <v>15.960175271004946</v>
      </c>
      <c r="Z1100">
        <f t="shared" si="263"/>
        <v>23260.351929427557</v>
      </c>
      <c r="AB1100">
        <f t="shared" si="264"/>
        <v>1086.615041</v>
      </c>
      <c r="AC1100">
        <f t="shared" si="265"/>
        <v>2455.0980236353998</v>
      </c>
      <c r="AD1100">
        <f t="shared" si="266"/>
        <v>28.686637082400217</v>
      </c>
      <c r="AE1100">
        <f t="shared" si="267"/>
        <v>4.9388826843531994</v>
      </c>
      <c r="AF1100">
        <f t="shared" si="268"/>
        <v>23.747754398047018</v>
      </c>
      <c r="AG1100">
        <f t="shared" si="274"/>
        <v>24574.727992952685</v>
      </c>
      <c r="AH1100" t="b">
        <f t="shared" si="269"/>
        <v>1</v>
      </c>
    </row>
    <row r="1101" spans="4:34" hidden="1" x14ac:dyDescent="0.4">
      <c r="D1101" t="s">
        <v>53</v>
      </c>
      <c r="E1101" t="s">
        <v>37</v>
      </c>
      <c r="F1101" s="9">
        <v>45759.583333333336</v>
      </c>
      <c r="G1101" s="12">
        <v>591.98</v>
      </c>
      <c r="H1101" s="9">
        <v>45761.583333333336</v>
      </c>
      <c r="I1101" s="12">
        <v>592.4</v>
      </c>
      <c r="J1101">
        <v>15.365</v>
      </c>
      <c r="K1101" s="12">
        <v>9096.18</v>
      </c>
      <c r="L1101">
        <v>13.65</v>
      </c>
      <c r="M1101">
        <v>-7.2</v>
      </c>
      <c r="N1101" s="13">
        <v>-8.0000000000000004E-4</v>
      </c>
      <c r="O1101" t="s">
        <v>38</v>
      </c>
      <c r="Q1101">
        <f t="shared" si="270"/>
        <v>6.4532999999993717</v>
      </c>
      <c r="R1101">
        <f t="shared" si="271"/>
        <v>-7.1967000000006287</v>
      </c>
      <c r="S1101">
        <f t="shared" si="272"/>
        <v>9102.2260000000006</v>
      </c>
      <c r="U1101">
        <f t="shared" ref="U1101:U1164" si="275">ROUND(($Q$2)/G1101,6)</f>
        <v>2.7872560000000002</v>
      </c>
      <c r="V1101">
        <f t="shared" si="273"/>
        <v>1649.9998068800001</v>
      </c>
      <c r="W1101">
        <f t="shared" ref="W1101:W1164" si="276">U1101*(I1101-G1101)</f>
        <v>1.170647519999886</v>
      </c>
      <c r="X1101">
        <f t="shared" ref="X1101:X1164" si="277">(G1101+I1101)*$R$2*U1101</f>
        <v>3.3011702612800007</v>
      </c>
      <c r="Y1101">
        <f t="shared" ref="Y1101:Y1164" si="278">W1101-X1101</f>
        <v>-2.1305227412801147</v>
      </c>
      <c r="Z1101">
        <f t="shared" ref="Z1101:Z1164" si="279">Z1102+Y1101</f>
        <v>23244.391754156553</v>
      </c>
      <c r="AB1101">
        <f t="shared" ref="AB1101:AB1164" si="280">ROUND(((AH1101*AG1102 +(1-AH1101)*AI1101)/$P$2)/G1101,6)</f>
        <v>4.1478010000000003</v>
      </c>
      <c r="AC1101">
        <f t="shared" ref="AC1101:AC1164" si="281">AB1101*G1101</f>
        <v>2455.41523598</v>
      </c>
      <c r="AD1101">
        <f t="shared" ref="AD1101:AD1164" si="282">AB1101*(I1101-G1101)</f>
        <v>1.7420764199998304</v>
      </c>
      <c r="AE1101">
        <f t="shared" ref="AE1101:AE1164" si="283">(G1101+I1101)*$R$2*AB1101</f>
        <v>4.9125725483800009</v>
      </c>
      <c r="AF1101">
        <f t="shared" ref="AF1101:AF1164" si="284">AD1101-AE1101</f>
        <v>-3.1704961283801705</v>
      </c>
      <c r="AG1101">
        <f t="shared" si="274"/>
        <v>24550.980238554639</v>
      </c>
      <c r="AH1101" t="b">
        <f t="shared" ref="AH1101:AH1164" si="285">ISBLANK(AI1101)</f>
        <v>1</v>
      </c>
    </row>
    <row r="1102" spans="4:34" hidden="1" x14ac:dyDescent="0.4">
      <c r="D1102" t="s">
        <v>50</v>
      </c>
      <c r="E1102" t="s">
        <v>37</v>
      </c>
      <c r="F1102" s="9">
        <v>45759.583333333336</v>
      </c>
      <c r="G1102">
        <v>254.6</v>
      </c>
      <c r="H1102" s="9">
        <v>45761.583333333336</v>
      </c>
      <c r="I1102">
        <v>249.4</v>
      </c>
      <c r="J1102" s="12">
        <v>45.856299999999997</v>
      </c>
      <c r="K1102" s="12">
        <v>11675.02</v>
      </c>
      <c r="L1102">
        <v>17.329999999999998</v>
      </c>
      <c r="M1102">
        <v>-255.79</v>
      </c>
      <c r="N1102" s="13">
        <v>-2.1899999999999999E-2</v>
      </c>
      <c r="O1102" t="s">
        <v>38</v>
      </c>
      <c r="Q1102">
        <f t="shared" ref="Q1102:Q1165" si="286">(I1102-G1102)*J1102</f>
        <v>-238.45275999999947</v>
      </c>
      <c r="R1102">
        <f t="shared" ref="R1102:R1165" si="287">Q1102-L1102</f>
        <v>-255.78275999999948</v>
      </c>
      <c r="S1102">
        <f t="shared" ref="S1102:S1165" si="288">I1102*J1102</f>
        <v>11436.56122</v>
      </c>
      <c r="U1102">
        <f t="shared" si="275"/>
        <v>6.4807540000000001</v>
      </c>
      <c r="V1102">
        <f t="shared" ref="V1102:V1165" si="289">U1102*G1102</f>
        <v>1649.9999683999999</v>
      </c>
      <c r="W1102">
        <f t="shared" si="276"/>
        <v>-33.69992079999993</v>
      </c>
      <c r="X1102">
        <f t="shared" si="277"/>
        <v>3.2663000160000002</v>
      </c>
      <c r="Y1102">
        <f t="shared" si="278"/>
        <v>-36.966220815999932</v>
      </c>
      <c r="Z1102">
        <f t="shared" si="279"/>
        <v>23246.522276897835</v>
      </c>
      <c r="AB1102">
        <f t="shared" si="280"/>
        <v>9.6658620000000006</v>
      </c>
      <c r="AC1102">
        <f t="shared" si="281"/>
        <v>2460.9284652000001</v>
      </c>
      <c r="AD1102">
        <f t="shared" si="282"/>
        <v>-50.262482399999897</v>
      </c>
      <c r="AE1102">
        <f t="shared" si="283"/>
        <v>4.8715944480000006</v>
      </c>
      <c r="AF1102">
        <f t="shared" si="284"/>
        <v>-55.1340768479999</v>
      </c>
      <c r="AG1102">
        <f t="shared" si="274"/>
        <v>24554.150734683019</v>
      </c>
      <c r="AH1102" t="b">
        <f t="shared" si="285"/>
        <v>1</v>
      </c>
    </row>
    <row r="1103" spans="4:34" hidden="1" x14ac:dyDescent="0.4">
      <c r="D1103" t="s">
        <v>52</v>
      </c>
      <c r="E1103" t="s">
        <v>37</v>
      </c>
      <c r="F1103" s="9">
        <v>45759.416666666664</v>
      </c>
      <c r="G1103">
        <v>5.0999999999999996</v>
      </c>
      <c r="H1103" s="9">
        <v>45761.416666666664</v>
      </c>
      <c r="I1103">
        <v>4.95</v>
      </c>
      <c r="J1103">
        <v>451.35</v>
      </c>
      <c r="K1103" s="12">
        <v>2301.91</v>
      </c>
      <c r="L1103">
        <v>3.4</v>
      </c>
      <c r="M1103">
        <v>-71.099999999999994</v>
      </c>
      <c r="N1103" s="13">
        <v>-3.09E-2</v>
      </c>
      <c r="O1103" t="s">
        <v>38</v>
      </c>
      <c r="Q1103">
        <f t="shared" si="286"/>
        <v>-67.702499999999759</v>
      </c>
      <c r="R1103">
        <f t="shared" si="287"/>
        <v>-71.102499999999765</v>
      </c>
      <c r="S1103">
        <f t="shared" si="288"/>
        <v>2234.1825000000003</v>
      </c>
      <c r="U1103">
        <f t="shared" si="275"/>
        <v>323.52941199999998</v>
      </c>
      <c r="V1103">
        <f t="shared" si="289"/>
        <v>1650.0000011999998</v>
      </c>
      <c r="W1103">
        <f t="shared" si="276"/>
        <v>-48.529411799999828</v>
      </c>
      <c r="X1103">
        <f t="shared" si="277"/>
        <v>3.2514705906000003</v>
      </c>
      <c r="Y1103">
        <f t="shared" si="278"/>
        <v>-51.780882390599828</v>
      </c>
      <c r="Z1103">
        <f t="shared" si="279"/>
        <v>23283.488497713835</v>
      </c>
      <c r="AB1103">
        <f t="shared" si="280"/>
        <v>484.05407200000002</v>
      </c>
      <c r="AC1103">
        <f t="shared" si="281"/>
        <v>2468.6757671999999</v>
      </c>
      <c r="AD1103">
        <f t="shared" si="282"/>
        <v>-72.60811079999975</v>
      </c>
      <c r="AE1103">
        <f t="shared" si="283"/>
        <v>4.8647434236000011</v>
      </c>
      <c r="AF1103">
        <f t="shared" si="284"/>
        <v>-77.472854223599754</v>
      </c>
      <c r="AG1103">
        <f t="shared" si="274"/>
        <v>24609.284811531019</v>
      </c>
      <c r="AH1103" t="b">
        <f t="shared" si="285"/>
        <v>1</v>
      </c>
    </row>
    <row r="1104" spans="4:34" hidden="1" x14ac:dyDescent="0.4">
      <c r="D1104" t="s">
        <v>48</v>
      </c>
      <c r="E1104" t="s">
        <v>37</v>
      </c>
      <c r="F1104" s="9">
        <v>45759.333333333336</v>
      </c>
      <c r="G1104">
        <v>0.1278</v>
      </c>
      <c r="H1104" s="9">
        <v>45761.333333333336</v>
      </c>
      <c r="I1104">
        <v>0.12230000000000001</v>
      </c>
      <c r="J1104" s="12">
        <v>21638.400000000001</v>
      </c>
      <c r="K1104" s="12">
        <v>2765.4</v>
      </c>
      <c r="L1104">
        <v>4.0599999999999996</v>
      </c>
      <c r="M1104">
        <v>-123.07</v>
      </c>
      <c r="N1104" s="13">
        <v>-4.4499999999999998E-2</v>
      </c>
      <c r="O1104" t="s">
        <v>38</v>
      </c>
      <c r="Q1104">
        <f t="shared" si="286"/>
        <v>-119.01119999999982</v>
      </c>
      <c r="R1104">
        <f t="shared" si="287"/>
        <v>-123.07119999999982</v>
      </c>
      <c r="S1104">
        <f t="shared" si="288"/>
        <v>2646.3763200000003</v>
      </c>
      <c r="U1104">
        <f t="shared" si="275"/>
        <v>12910.798122</v>
      </c>
      <c r="V1104">
        <f t="shared" si="289"/>
        <v>1649.9999999915999</v>
      </c>
      <c r="W1104">
        <f t="shared" si="276"/>
        <v>-71.00938967099988</v>
      </c>
      <c r="X1104">
        <f t="shared" si="277"/>
        <v>3.2289906103121999</v>
      </c>
      <c r="Y1104">
        <f t="shared" si="278"/>
        <v>-74.238380281312075</v>
      </c>
      <c r="Z1104">
        <f t="shared" si="279"/>
        <v>23335.269380104437</v>
      </c>
      <c r="AB1104">
        <f t="shared" si="280"/>
        <v>19404.016197000001</v>
      </c>
      <c r="AC1104">
        <f t="shared" si="281"/>
        <v>2479.8332699766001</v>
      </c>
      <c r="AD1104">
        <f t="shared" si="282"/>
        <v>-106.72208908349982</v>
      </c>
      <c r="AE1104">
        <f t="shared" si="283"/>
        <v>4.8529444508697006</v>
      </c>
      <c r="AF1104">
        <f t="shared" si="284"/>
        <v>-111.57503353436952</v>
      </c>
      <c r="AG1104">
        <f t="shared" si="274"/>
        <v>24686.75766575462</v>
      </c>
      <c r="AH1104" t="b">
        <f t="shared" si="285"/>
        <v>1</v>
      </c>
    </row>
    <row r="1105" spans="4:34" hidden="1" x14ac:dyDescent="0.4">
      <c r="D1105" t="s">
        <v>55</v>
      </c>
      <c r="E1105" t="s">
        <v>37</v>
      </c>
      <c r="F1105" s="9">
        <v>45759.333333333336</v>
      </c>
      <c r="G1105">
        <v>5.872E-5</v>
      </c>
      <c r="H1105" s="9">
        <v>45761.333333333336</v>
      </c>
      <c r="I1105">
        <v>5.9179999999999999E-5</v>
      </c>
      <c r="J1105" s="12">
        <v>100442200.02</v>
      </c>
      <c r="K1105" s="12">
        <v>5897.97</v>
      </c>
      <c r="L1105">
        <v>8.8800000000000008</v>
      </c>
      <c r="M1105">
        <v>37.32</v>
      </c>
      <c r="N1105" s="13">
        <v>6.3E-3</v>
      </c>
      <c r="O1105" t="s">
        <v>38</v>
      </c>
      <c r="Q1105">
        <f t="shared" si="286"/>
        <v>46.203412009199894</v>
      </c>
      <c r="R1105">
        <f t="shared" si="287"/>
        <v>37.323412009199892</v>
      </c>
      <c r="S1105">
        <f t="shared" si="288"/>
        <v>5944.1693971835994</v>
      </c>
      <c r="U1105">
        <f t="shared" si="275"/>
        <v>28099455.040872</v>
      </c>
      <c r="V1105">
        <f t="shared" si="289"/>
        <v>1650.0000000000039</v>
      </c>
      <c r="W1105">
        <f t="shared" si="276"/>
        <v>12.925749318801092</v>
      </c>
      <c r="X1105">
        <f t="shared" si="277"/>
        <v>3.3129257493188087</v>
      </c>
      <c r="Y1105">
        <f t="shared" si="278"/>
        <v>9.6128235694822841</v>
      </c>
      <c r="Z1105">
        <f t="shared" si="279"/>
        <v>23409.50776038575</v>
      </c>
      <c r="AB1105">
        <f t="shared" si="280"/>
        <v>42206903.470048003</v>
      </c>
      <c r="AC1105">
        <f t="shared" si="281"/>
        <v>2478.3893717612186</v>
      </c>
      <c r="AD1105">
        <f t="shared" si="282"/>
        <v>19.415175596222038</v>
      </c>
      <c r="AE1105">
        <f t="shared" si="283"/>
        <v>4.9761939191186588</v>
      </c>
      <c r="AF1105">
        <f t="shared" si="284"/>
        <v>14.43898167710338</v>
      </c>
      <c r="AG1105">
        <f t="shared" si="274"/>
        <v>24798.332699288989</v>
      </c>
      <c r="AH1105" t="b">
        <f t="shared" si="285"/>
        <v>1</v>
      </c>
    </row>
    <row r="1106" spans="4:34" hidden="1" x14ac:dyDescent="0.4">
      <c r="D1106" t="s">
        <v>59</v>
      </c>
      <c r="E1106" t="s">
        <v>37</v>
      </c>
      <c r="F1106" s="9">
        <v>45758.125</v>
      </c>
      <c r="G1106" s="12">
        <v>80394.03</v>
      </c>
      <c r="H1106" s="9">
        <v>45760.625</v>
      </c>
      <c r="I1106" s="12">
        <v>83566.38</v>
      </c>
      <c r="J1106">
        <v>0.12562000000000001</v>
      </c>
      <c r="K1106" s="12">
        <v>10099.25</v>
      </c>
      <c r="L1106">
        <v>15.45</v>
      </c>
      <c r="M1106">
        <v>383.06</v>
      </c>
      <c r="N1106" s="13">
        <v>3.7900000000000003E-2</v>
      </c>
      <c r="O1106" t="s">
        <v>57</v>
      </c>
      <c r="Q1106">
        <f t="shared" si="286"/>
        <v>398.51060700000079</v>
      </c>
      <c r="R1106">
        <f t="shared" si="287"/>
        <v>383.0606070000008</v>
      </c>
      <c r="S1106">
        <f t="shared" si="288"/>
        <v>10497.608655600001</v>
      </c>
      <c r="U1106">
        <f t="shared" si="275"/>
        <v>2.0524000000000001E-2</v>
      </c>
      <c r="V1106">
        <f t="shared" si="289"/>
        <v>1650.0070717200001</v>
      </c>
      <c r="W1106">
        <f t="shared" si="276"/>
        <v>65.109311400000124</v>
      </c>
      <c r="X1106">
        <f t="shared" si="277"/>
        <v>3.36512345484</v>
      </c>
      <c r="Y1106">
        <f t="shared" si="278"/>
        <v>61.744187945160121</v>
      </c>
      <c r="Z1106">
        <f t="shared" si="279"/>
        <v>23399.894936816268</v>
      </c>
      <c r="AB1106">
        <f t="shared" si="280"/>
        <v>3.0713000000000001E-2</v>
      </c>
      <c r="AC1106">
        <f t="shared" si="281"/>
        <v>2469.1418433899998</v>
      </c>
      <c r="AD1106">
        <f t="shared" si="282"/>
        <v>97.432385550000177</v>
      </c>
      <c r="AE1106">
        <f t="shared" si="283"/>
        <v>5.0357160723299996</v>
      </c>
      <c r="AF1106">
        <f t="shared" si="284"/>
        <v>92.396669477670173</v>
      </c>
      <c r="AG1106">
        <f t="shared" si="274"/>
        <v>24783.893717611885</v>
      </c>
      <c r="AH1106" t="b">
        <f t="shared" si="285"/>
        <v>1</v>
      </c>
    </row>
    <row r="1107" spans="4:34" hidden="1" x14ac:dyDescent="0.4">
      <c r="D1107" t="s">
        <v>60</v>
      </c>
      <c r="E1107" t="s">
        <v>37</v>
      </c>
      <c r="F1107" s="9">
        <v>45757.666666666664</v>
      </c>
      <c r="G1107" s="12">
        <v>2.0026000000000002</v>
      </c>
      <c r="H1107" s="9">
        <v>45760.166666666664</v>
      </c>
      <c r="I1107" s="12">
        <v>2.1507999999999998</v>
      </c>
      <c r="J1107" s="12">
        <v>1075.9000000000001</v>
      </c>
      <c r="K1107" s="12">
        <v>2154.71</v>
      </c>
      <c r="L1107">
        <v>3.35</v>
      </c>
      <c r="M1107">
        <v>156.1</v>
      </c>
      <c r="N1107" s="13">
        <v>7.2400000000000006E-2</v>
      </c>
      <c r="O1107" t="s">
        <v>57</v>
      </c>
      <c r="Q1107">
        <f t="shared" si="286"/>
        <v>159.44837999999964</v>
      </c>
      <c r="R1107">
        <f t="shared" si="287"/>
        <v>156.09837999999965</v>
      </c>
      <c r="S1107">
        <f t="shared" si="288"/>
        <v>2314.0457200000001</v>
      </c>
      <c r="U1107">
        <f t="shared" si="275"/>
        <v>823.92889200000002</v>
      </c>
      <c r="V1107">
        <f t="shared" si="289"/>
        <v>1649.9999991192001</v>
      </c>
      <c r="W1107">
        <f t="shared" si="276"/>
        <v>122.10626179439973</v>
      </c>
      <c r="X1107">
        <f t="shared" si="277"/>
        <v>3.4221062600328001</v>
      </c>
      <c r="Y1107">
        <f t="shared" si="278"/>
        <v>118.68415553436692</v>
      </c>
      <c r="Z1107">
        <f t="shared" si="279"/>
        <v>23338.150748871107</v>
      </c>
      <c r="AB1107">
        <f t="shared" si="280"/>
        <v>1224.1665840000001</v>
      </c>
      <c r="AC1107">
        <f t="shared" si="281"/>
        <v>2451.5160011184003</v>
      </c>
      <c r="AD1107">
        <f t="shared" si="282"/>
        <v>181.42148774879959</v>
      </c>
      <c r="AE1107">
        <f t="shared" si="283"/>
        <v>5.0844534899856004</v>
      </c>
      <c r="AF1107">
        <f t="shared" si="284"/>
        <v>176.33703425881399</v>
      </c>
      <c r="AG1107">
        <f t="shared" si="274"/>
        <v>24691.497048134213</v>
      </c>
      <c r="AH1107" t="b">
        <f t="shared" si="285"/>
        <v>1</v>
      </c>
    </row>
    <row r="1108" spans="4:34" hidden="1" x14ac:dyDescent="0.4">
      <c r="D1108" t="s">
        <v>58</v>
      </c>
      <c r="E1108" t="s">
        <v>37</v>
      </c>
      <c r="F1108" s="9">
        <v>45758.125</v>
      </c>
      <c r="G1108">
        <v>12.35</v>
      </c>
      <c r="H1108" s="9">
        <v>45760.125</v>
      </c>
      <c r="I1108">
        <v>13.03</v>
      </c>
      <c r="J1108" s="12">
        <v>560.5</v>
      </c>
      <c r="K1108" s="12">
        <v>6922.18</v>
      </c>
      <c r="L1108">
        <v>10.67</v>
      </c>
      <c r="M1108">
        <v>370.47</v>
      </c>
      <c r="N1108" s="13">
        <v>5.3499999999999999E-2</v>
      </c>
      <c r="O1108" t="s">
        <v>38</v>
      </c>
      <c r="Q1108">
        <f t="shared" si="286"/>
        <v>381.13999999999982</v>
      </c>
      <c r="R1108">
        <f t="shared" si="287"/>
        <v>370.4699999999998</v>
      </c>
      <c r="S1108">
        <f t="shared" si="288"/>
        <v>7303.3149999999996</v>
      </c>
      <c r="U1108">
        <f t="shared" si="275"/>
        <v>133.603239</v>
      </c>
      <c r="V1108">
        <f t="shared" si="289"/>
        <v>1650.0000016500001</v>
      </c>
      <c r="W1108">
        <f t="shared" si="276"/>
        <v>90.850202519999968</v>
      </c>
      <c r="X1108">
        <f t="shared" si="277"/>
        <v>3.3908502058200001</v>
      </c>
      <c r="Y1108">
        <f t="shared" si="278"/>
        <v>87.459352314179966</v>
      </c>
      <c r="Z1108">
        <f t="shared" si="279"/>
        <v>23219.46659333674</v>
      </c>
      <c r="AB1108">
        <f t="shared" si="280"/>
        <v>197.45668800000001</v>
      </c>
      <c r="AC1108">
        <f t="shared" si="281"/>
        <v>2438.5900968000001</v>
      </c>
      <c r="AD1108">
        <f t="shared" si="282"/>
        <v>134.27054783999995</v>
      </c>
      <c r="AE1108">
        <f t="shared" si="283"/>
        <v>5.01145074144</v>
      </c>
      <c r="AF1108">
        <f t="shared" si="284"/>
        <v>129.25909709855995</v>
      </c>
      <c r="AG1108">
        <f t="shared" si="274"/>
        <v>24515.1600138754</v>
      </c>
      <c r="AH1108" t="b">
        <f t="shared" si="285"/>
        <v>1</v>
      </c>
    </row>
    <row r="1109" spans="4:34" hidden="1" x14ac:dyDescent="0.4">
      <c r="D1109" t="s">
        <v>54</v>
      </c>
      <c r="E1109" t="s">
        <v>37</v>
      </c>
      <c r="F1109" s="9">
        <v>45757.791666666664</v>
      </c>
      <c r="G1109">
        <v>110.39</v>
      </c>
      <c r="H1109" s="9">
        <v>45759.791666666664</v>
      </c>
      <c r="I1109">
        <v>129</v>
      </c>
      <c r="J1109">
        <v>41.234000000000002</v>
      </c>
      <c r="K1109" s="12">
        <v>4551.83</v>
      </c>
      <c r="L1109">
        <v>7.4</v>
      </c>
      <c r="M1109">
        <v>759.96</v>
      </c>
      <c r="N1109" s="13">
        <v>0.16700000000000001</v>
      </c>
      <c r="O1109" t="s">
        <v>38</v>
      </c>
      <c r="Q1109">
        <f t="shared" si="286"/>
        <v>767.36473999999998</v>
      </c>
      <c r="R1109">
        <f t="shared" si="287"/>
        <v>759.96474000000001</v>
      </c>
      <c r="S1109">
        <f t="shared" si="288"/>
        <v>5319.1860000000006</v>
      </c>
      <c r="U1109">
        <f t="shared" si="275"/>
        <v>14.947006</v>
      </c>
      <c r="V1109">
        <f t="shared" si="289"/>
        <v>1649.9999923400001</v>
      </c>
      <c r="W1109">
        <f t="shared" si="276"/>
        <v>278.16378165999998</v>
      </c>
      <c r="X1109">
        <f t="shared" si="277"/>
        <v>3.5781637663399999</v>
      </c>
      <c r="Y1109">
        <f t="shared" si="278"/>
        <v>274.58561789365996</v>
      </c>
      <c r="Z1109">
        <f t="shared" si="279"/>
        <v>23132.007241022558</v>
      </c>
      <c r="AB1109">
        <f t="shared" si="280"/>
        <v>21.729074000000001</v>
      </c>
      <c r="AC1109">
        <f t="shared" si="281"/>
        <v>2398.67247886</v>
      </c>
      <c r="AD1109">
        <f t="shared" si="282"/>
        <v>404.37806713999998</v>
      </c>
      <c r="AE1109">
        <f t="shared" si="283"/>
        <v>5.2017230248599997</v>
      </c>
      <c r="AF1109">
        <f t="shared" si="284"/>
        <v>399.17634411514001</v>
      </c>
      <c r="AG1109">
        <f t="shared" si="274"/>
        <v>24385.900916776842</v>
      </c>
      <c r="AH1109" t="b">
        <f t="shared" si="285"/>
        <v>1</v>
      </c>
    </row>
    <row r="1110" spans="4:34" hidden="1" x14ac:dyDescent="0.4">
      <c r="D1110" t="s">
        <v>43</v>
      </c>
      <c r="E1110" t="s">
        <v>37</v>
      </c>
      <c r="F1110" s="9">
        <v>45757.333333333336</v>
      </c>
      <c r="G1110" s="12">
        <v>2.1642999999999999</v>
      </c>
      <c r="H1110" s="9">
        <v>45759.333333333336</v>
      </c>
      <c r="I1110" s="12">
        <v>2.1875</v>
      </c>
      <c r="J1110">
        <v>799.7</v>
      </c>
      <c r="K1110" s="12">
        <v>1730.89</v>
      </c>
      <c r="L1110">
        <v>2.61</v>
      </c>
      <c r="M1110">
        <v>15.94</v>
      </c>
      <c r="N1110" s="13">
        <v>9.1999999999999998E-3</v>
      </c>
      <c r="O1110" t="s">
        <v>38</v>
      </c>
      <c r="Q1110">
        <f t="shared" si="286"/>
        <v>18.553040000000088</v>
      </c>
      <c r="R1110">
        <f t="shared" si="287"/>
        <v>15.943040000000089</v>
      </c>
      <c r="S1110">
        <f t="shared" si="288"/>
        <v>1749.34375</v>
      </c>
      <c r="U1110">
        <f t="shared" si="275"/>
        <v>762.37120500000003</v>
      </c>
      <c r="V1110">
        <f t="shared" si="289"/>
        <v>1649.9999989815001</v>
      </c>
      <c r="W1110">
        <f t="shared" si="276"/>
        <v>17.687011956000084</v>
      </c>
      <c r="X1110">
        <f t="shared" si="277"/>
        <v>3.3176870099190006</v>
      </c>
      <c r="Y1110">
        <f t="shared" si="278"/>
        <v>14.369324946081084</v>
      </c>
      <c r="Z1110">
        <f t="shared" si="279"/>
        <v>22857.421623128899</v>
      </c>
      <c r="AB1110">
        <f t="shared" si="280"/>
        <v>1107.325855</v>
      </c>
      <c r="AC1110">
        <f t="shared" si="281"/>
        <v>2396.5853479765001</v>
      </c>
      <c r="AD1110">
        <f t="shared" si="282"/>
        <v>25.689959836000121</v>
      </c>
      <c r="AE1110">
        <f t="shared" si="283"/>
        <v>4.8188606557890008</v>
      </c>
      <c r="AF1110">
        <f t="shared" si="284"/>
        <v>20.871099180211118</v>
      </c>
      <c r="AG1110">
        <f t="shared" si="274"/>
        <v>23986.7245726617</v>
      </c>
      <c r="AH1110" t="b">
        <f t="shared" si="285"/>
        <v>1</v>
      </c>
    </row>
    <row r="1111" spans="4:34" hidden="1" x14ac:dyDescent="0.4">
      <c r="D1111" t="s">
        <v>48</v>
      </c>
      <c r="E1111" t="s">
        <v>37</v>
      </c>
      <c r="F1111" s="9">
        <v>45757.333333333336</v>
      </c>
      <c r="G1111" s="12">
        <v>0.124</v>
      </c>
      <c r="H1111" s="9">
        <v>45759.333333333336</v>
      </c>
      <c r="I1111" s="12">
        <v>0.1278</v>
      </c>
      <c r="J1111" s="12">
        <v>22236.799999999999</v>
      </c>
      <c r="K1111" s="12">
        <v>2757.37</v>
      </c>
      <c r="L1111">
        <v>4.2</v>
      </c>
      <c r="M1111">
        <v>80.3</v>
      </c>
      <c r="N1111" s="13">
        <v>2.9100000000000001E-2</v>
      </c>
      <c r="O1111" t="s">
        <v>38</v>
      </c>
      <c r="Q1111">
        <f t="shared" si="286"/>
        <v>84.499839999999949</v>
      </c>
      <c r="R1111">
        <f t="shared" si="287"/>
        <v>80.299839999999946</v>
      </c>
      <c r="S1111">
        <f t="shared" si="288"/>
        <v>2841.8630399999997</v>
      </c>
      <c r="U1111">
        <f t="shared" si="275"/>
        <v>13306.451612999999</v>
      </c>
      <c r="V1111">
        <f t="shared" si="289"/>
        <v>1650.0000000119999</v>
      </c>
      <c r="W1111">
        <f t="shared" si="276"/>
        <v>50.564516129399969</v>
      </c>
      <c r="X1111">
        <f t="shared" si="277"/>
        <v>3.3505645161534003</v>
      </c>
      <c r="Y1111">
        <f t="shared" si="278"/>
        <v>47.213951613246572</v>
      </c>
      <c r="Z1111">
        <f t="shared" si="279"/>
        <v>22843.052298182818</v>
      </c>
      <c r="AB1111">
        <f t="shared" si="280"/>
        <v>19272.154849999999</v>
      </c>
      <c r="AC1111">
        <f t="shared" si="281"/>
        <v>2389.7472014</v>
      </c>
      <c r="AD1111">
        <f t="shared" si="282"/>
        <v>73.234188429999961</v>
      </c>
      <c r="AE1111">
        <f t="shared" si="283"/>
        <v>4.8527285912300009</v>
      </c>
      <c r="AF1111">
        <f t="shared" si="284"/>
        <v>68.381459838769956</v>
      </c>
      <c r="AG1111">
        <f t="shared" si="274"/>
        <v>23965.853473481489</v>
      </c>
      <c r="AH1111" t="b">
        <f t="shared" si="285"/>
        <v>1</v>
      </c>
    </row>
    <row r="1112" spans="4:34" hidden="1" x14ac:dyDescent="0.4">
      <c r="D1112" t="s">
        <v>52</v>
      </c>
      <c r="E1112" t="s">
        <v>37</v>
      </c>
      <c r="F1112" s="9">
        <v>45757.291666666664</v>
      </c>
      <c r="G1112">
        <v>4.9939999999999998</v>
      </c>
      <c r="H1112" s="9">
        <v>45759.291666666664</v>
      </c>
      <c r="I1112">
        <v>5.0860000000000003</v>
      </c>
      <c r="J1112">
        <v>460.15</v>
      </c>
      <c r="K1112" s="12">
        <v>2298.0300000000002</v>
      </c>
      <c r="L1112">
        <v>3.48</v>
      </c>
      <c r="M1112">
        <v>38.86</v>
      </c>
      <c r="N1112" s="13">
        <v>1.6899999999999998E-2</v>
      </c>
      <c r="O1112" t="s">
        <v>38</v>
      </c>
      <c r="Q1112">
        <f t="shared" si="286"/>
        <v>42.333800000000238</v>
      </c>
      <c r="R1112">
        <f t="shared" si="287"/>
        <v>38.853800000000241</v>
      </c>
      <c r="S1112">
        <f t="shared" si="288"/>
        <v>2340.3229000000001</v>
      </c>
      <c r="U1112">
        <f t="shared" si="275"/>
        <v>330.39647600000001</v>
      </c>
      <c r="V1112">
        <f t="shared" si="289"/>
        <v>1650.000001144</v>
      </c>
      <c r="W1112">
        <f t="shared" si="276"/>
        <v>30.396475792000174</v>
      </c>
      <c r="X1112">
        <f t="shared" si="277"/>
        <v>3.3303964780800004</v>
      </c>
      <c r="Y1112">
        <f t="shared" si="278"/>
        <v>27.066079313920174</v>
      </c>
      <c r="Z1112">
        <f t="shared" si="279"/>
        <v>22795.83834656957</v>
      </c>
      <c r="AB1112">
        <f t="shared" si="280"/>
        <v>477.73999900000001</v>
      </c>
      <c r="AC1112">
        <f t="shared" si="281"/>
        <v>2385.8335550060001</v>
      </c>
      <c r="AD1112">
        <f t="shared" si="282"/>
        <v>43.95207990800025</v>
      </c>
      <c r="AE1112">
        <f t="shared" si="283"/>
        <v>4.8156191899200005</v>
      </c>
      <c r="AF1112">
        <f t="shared" si="284"/>
        <v>39.136460718080251</v>
      </c>
      <c r="AG1112">
        <f t="shared" si="274"/>
        <v>23897.47201364272</v>
      </c>
      <c r="AH1112" t="b">
        <f t="shared" si="285"/>
        <v>1</v>
      </c>
    </row>
    <row r="1113" spans="4:34" hidden="1" x14ac:dyDescent="0.4">
      <c r="D1113" t="s">
        <v>55</v>
      </c>
      <c r="E1113" t="s">
        <v>37</v>
      </c>
      <c r="F1113" s="9">
        <v>45757.291666666664</v>
      </c>
      <c r="G1113">
        <v>5.8189999999999997E-5</v>
      </c>
      <c r="H1113" s="9">
        <v>45759.291666666664</v>
      </c>
      <c r="I1113">
        <v>5.825E-5</v>
      </c>
      <c r="J1113" s="12">
        <v>101361797.68000001</v>
      </c>
      <c r="K1113" s="12">
        <v>5898.24</v>
      </c>
      <c r="L1113">
        <v>8.85</v>
      </c>
      <c r="M1113">
        <v>-2.77</v>
      </c>
      <c r="N1113" s="13">
        <v>-5.0000000000000001E-4</v>
      </c>
      <c r="O1113" t="s">
        <v>38</v>
      </c>
      <c r="Q1113">
        <f t="shared" si="286"/>
        <v>6.0817078608002859</v>
      </c>
      <c r="R1113">
        <f t="shared" si="287"/>
        <v>-2.7682921391997137</v>
      </c>
      <c r="S1113">
        <f t="shared" si="288"/>
        <v>5904.3247148600003</v>
      </c>
      <c r="U1113">
        <f t="shared" si="275"/>
        <v>28355387.523630001</v>
      </c>
      <c r="V1113">
        <f t="shared" si="289"/>
        <v>1650.0000000000296</v>
      </c>
      <c r="W1113">
        <f t="shared" si="276"/>
        <v>1.7013232514178798</v>
      </c>
      <c r="X1113">
        <f t="shared" si="277"/>
        <v>3.3017013232514771</v>
      </c>
      <c r="Y1113">
        <f t="shared" si="278"/>
        <v>-1.6003780718335974</v>
      </c>
      <c r="Z1113">
        <f t="shared" si="279"/>
        <v>22768.772267255648</v>
      </c>
      <c r="AB1113">
        <f t="shared" si="280"/>
        <v>41004725.656712003</v>
      </c>
      <c r="AC1113">
        <f t="shared" si="281"/>
        <v>2386.0649859640712</v>
      </c>
      <c r="AD1113">
        <f t="shared" si="282"/>
        <v>2.4602835394028357</v>
      </c>
      <c r="AE1113">
        <f t="shared" si="283"/>
        <v>4.7745902554675448</v>
      </c>
      <c r="AF1113">
        <f t="shared" si="284"/>
        <v>-2.3143067160647091</v>
      </c>
      <c r="AG1113">
        <f t="shared" si="274"/>
        <v>23858.33555292464</v>
      </c>
      <c r="AH1113" t="b">
        <f t="shared" si="285"/>
        <v>1</v>
      </c>
    </row>
    <row r="1114" spans="4:34" hidden="1" x14ac:dyDescent="0.4">
      <c r="D1114" t="s">
        <v>61</v>
      </c>
      <c r="E1114" t="s">
        <v>37</v>
      </c>
      <c r="F1114" s="9">
        <v>45757.291666666664</v>
      </c>
      <c r="G1114">
        <v>0.62350000000000005</v>
      </c>
      <c r="H1114" s="9">
        <v>45759.291666666664</v>
      </c>
      <c r="I1114">
        <v>0.62860000000000005</v>
      </c>
      <c r="J1114" s="12">
        <v>12586.8</v>
      </c>
      <c r="K1114" s="12">
        <v>7847.92</v>
      </c>
      <c r="L1114">
        <v>11.82</v>
      </c>
      <c r="M1114">
        <v>52.37</v>
      </c>
      <c r="N1114" s="13">
        <v>6.7000000000000002E-3</v>
      </c>
      <c r="O1114" t="s">
        <v>38</v>
      </c>
      <c r="Q1114">
        <f t="shared" si="286"/>
        <v>64.19267999999991</v>
      </c>
      <c r="R1114">
        <f t="shared" si="287"/>
        <v>52.37267999999991</v>
      </c>
      <c r="S1114">
        <f t="shared" si="288"/>
        <v>7912.0624800000005</v>
      </c>
      <c r="U1114">
        <f t="shared" si="275"/>
        <v>2646.3512430000001</v>
      </c>
      <c r="V1114">
        <f t="shared" si="289"/>
        <v>1650.0000000105001</v>
      </c>
      <c r="W1114">
        <f t="shared" si="276"/>
        <v>13.496391339299983</v>
      </c>
      <c r="X1114">
        <f t="shared" si="277"/>
        <v>3.3134963913602999</v>
      </c>
      <c r="Y1114">
        <f t="shared" si="278"/>
        <v>10.182894947939683</v>
      </c>
      <c r="Z1114">
        <f t="shared" si="279"/>
        <v>22770.372645327483</v>
      </c>
      <c r="AB1114">
        <f t="shared" si="280"/>
        <v>3824.528221</v>
      </c>
      <c r="AC1114">
        <f t="shared" si="281"/>
        <v>2384.5933457935002</v>
      </c>
      <c r="AD1114">
        <f t="shared" si="282"/>
        <v>19.505093927099974</v>
      </c>
      <c r="AE1114">
        <f t="shared" si="283"/>
        <v>4.7886917855141</v>
      </c>
      <c r="AF1114">
        <f t="shared" si="284"/>
        <v>14.716402141585874</v>
      </c>
      <c r="AG1114">
        <f t="shared" si="274"/>
        <v>23860.649859640704</v>
      </c>
      <c r="AH1114" t="b">
        <f t="shared" si="285"/>
        <v>1</v>
      </c>
    </row>
    <row r="1115" spans="4:34" hidden="1" x14ac:dyDescent="0.4">
      <c r="D1115" t="s">
        <v>53</v>
      </c>
      <c r="E1115" t="s">
        <v>37</v>
      </c>
      <c r="F1115" s="9">
        <v>45757.291666666664</v>
      </c>
      <c r="G1115">
        <v>578.53</v>
      </c>
      <c r="H1115" s="9">
        <v>45759.291666666664</v>
      </c>
      <c r="I1115">
        <v>586.78</v>
      </c>
      <c r="J1115" s="12">
        <v>15.702</v>
      </c>
      <c r="K1115" s="12">
        <v>9084.6</v>
      </c>
      <c r="L1115">
        <v>13.72</v>
      </c>
      <c r="M1115">
        <v>115.82</v>
      </c>
      <c r="N1115" s="13">
        <v>1.2699999999999999E-2</v>
      </c>
      <c r="O1115" t="s">
        <v>38</v>
      </c>
      <c r="Q1115">
        <f t="shared" si="286"/>
        <v>129.54150000000001</v>
      </c>
      <c r="R1115">
        <f t="shared" si="287"/>
        <v>115.82150000000001</v>
      </c>
      <c r="S1115">
        <f t="shared" si="288"/>
        <v>9213.6195599999992</v>
      </c>
      <c r="U1115">
        <f t="shared" si="275"/>
        <v>2.8520560000000001</v>
      </c>
      <c r="V1115">
        <f t="shared" si="289"/>
        <v>1649.9999576800001</v>
      </c>
      <c r="W1115">
        <f t="shared" si="276"/>
        <v>23.529462000000002</v>
      </c>
      <c r="X1115">
        <f t="shared" si="277"/>
        <v>3.3235293773600003</v>
      </c>
      <c r="Y1115">
        <f t="shared" si="278"/>
        <v>20.205932622640002</v>
      </c>
      <c r="Z1115">
        <f t="shared" si="279"/>
        <v>22760.189750379544</v>
      </c>
      <c r="AB1115">
        <f t="shared" si="280"/>
        <v>4.1167730000000002</v>
      </c>
      <c r="AC1115">
        <f t="shared" si="281"/>
        <v>2381.6766836900001</v>
      </c>
      <c r="AD1115">
        <f t="shared" si="282"/>
        <v>33.963377250000001</v>
      </c>
      <c r="AE1115">
        <f t="shared" si="283"/>
        <v>4.7973167446300007</v>
      </c>
      <c r="AF1115">
        <f t="shared" si="284"/>
        <v>29.166060505369998</v>
      </c>
      <c r="AG1115">
        <f t="shared" si="274"/>
        <v>23845.933457499119</v>
      </c>
      <c r="AH1115" t="b">
        <f t="shared" si="285"/>
        <v>1</v>
      </c>
    </row>
    <row r="1116" spans="4:34" hidden="1" x14ac:dyDescent="0.4">
      <c r="D1116" t="s">
        <v>50</v>
      </c>
      <c r="E1116" t="s">
        <v>37</v>
      </c>
      <c r="F1116" s="9">
        <v>45757.291666666664</v>
      </c>
      <c r="G1116">
        <v>234.4</v>
      </c>
      <c r="H1116" s="9">
        <v>45759.291666666664</v>
      </c>
      <c r="I1116">
        <v>258.10000000000002</v>
      </c>
      <c r="J1116" s="12">
        <v>49.3172</v>
      </c>
      <c r="K1116" s="12">
        <v>11559.96</v>
      </c>
      <c r="L1116">
        <v>18.22</v>
      </c>
      <c r="M1116" s="12">
        <v>1150.5999999999999</v>
      </c>
      <c r="N1116" s="13">
        <v>9.9500000000000005E-2</v>
      </c>
      <c r="O1116" t="s">
        <v>38</v>
      </c>
      <c r="Q1116">
        <f t="shared" si="286"/>
        <v>1168.8176400000009</v>
      </c>
      <c r="R1116">
        <f t="shared" si="287"/>
        <v>1150.5976400000009</v>
      </c>
      <c r="S1116">
        <f t="shared" si="288"/>
        <v>12728.769320000001</v>
      </c>
      <c r="U1116">
        <f t="shared" si="275"/>
        <v>7.0392489999999999</v>
      </c>
      <c r="V1116">
        <f t="shared" si="289"/>
        <v>1649.9999656</v>
      </c>
      <c r="W1116">
        <f t="shared" si="276"/>
        <v>166.83020130000011</v>
      </c>
      <c r="X1116">
        <f t="shared" si="277"/>
        <v>3.4668301324999997</v>
      </c>
      <c r="Y1116">
        <f t="shared" si="278"/>
        <v>163.36337116750011</v>
      </c>
      <c r="Z1116">
        <f t="shared" si="279"/>
        <v>22739.983817756904</v>
      </c>
      <c r="AB1116">
        <f t="shared" si="280"/>
        <v>10.061124</v>
      </c>
      <c r="AC1116">
        <f t="shared" si="281"/>
        <v>2358.3274655999999</v>
      </c>
      <c r="AD1116">
        <f t="shared" si="282"/>
        <v>238.44863880000017</v>
      </c>
      <c r="AE1116">
        <f t="shared" si="283"/>
        <v>4.9551035699999995</v>
      </c>
      <c r="AF1116">
        <f t="shared" si="284"/>
        <v>233.49353523000016</v>
      </c>
      <c r="AG1116">
        <f t="shared" si="274"/>
        <v>23816.76739699375</v>
      </c>
      <c r="AH1116" t="b">
        <f t="shared" si="285"/>
        <v>1</v>
      </c>
    </row>
    <row r="1117" spans="4:34" hidden="1" x14ac:dyDescent="0.4">
      <c r="D1117" t="s">
        <v>56</v>
      </c>
      <c r="E1117" t="s">
        <v>37</v>
      </c>
      <c r="F1117" s="9">
        <v>45756.625</v>
      </c>
      <c r="G1117" s="12">
        <v>1486.14</v>
      </c>
      <c r="H1117" s="9">
        <v>45759.125</v>
      </c>
      <c r="I1117" s="12">
        <v>1553.86</v>
      </c>
      <c r="J1117">
        <v>3.4563000000000001</v>
      </c>
      <c r="K1117" s="12">
        <v>5136.6899999999996</v>
      </c>
      <c r="L1117">
        <v>7.88</v>
      </c>
      <c r="M1117">
        <v>226.18</v>
      </c>
      <c r="N1117" s="13">
        <v>4.3999999999999997E-2</v>
      </c>
      <c r="O1117" t="s">
        <v>57</v>
      </c>
      <c r="Q1117">
        <f t="shared" si="286"/>
        <v>234.06063599999931</v>
      </c>
      <c r="R1117">
        <f t="shared" si="287"/>
        <v>226.18063599999931</v>
      </c>
      <c r="S1117">
        <f t="shared" si="288"/>
        <v>5370.6063180000001</v>
      </c>
      <c r="U1117">
        <f t="shared" si="275"/>
        <v>1.1102590000000001</v>
      </c>
      <c r="V1117">
        <f t="shared" si="289"/>
        <v>1650.0003102600003</v>
      </c>
      <c r="W1117">
        <f t="shared" si="276"/>
        <v>75.186739479999787</v>
      </c>
      <c r="X1117">
        <f t="shared" si="277"/>
        <v>3.3751873600000004</v>
      </c>
      <c r="Y1117">
        <f t="shared" si="278"/>
        <v>71.811552119999789</v>
      </c>
      <c r="Z1117">
        <f t="shared" si="279"/>
        <v>22576.620446589404</v>
      </c>
      <c r="AB1117">
        <f t="shared" si="280"/>
        <v>1.5800050000000001</v>
      </c>
      <c r="AC1117">
        <f t="shared" si="281"/>
        <v>2348.1086307000005</v>
      </c>
      <c r="AD1117">
        <f t="shared" si="282"/>
        <v>106.99793859999969</v>
      </c>
      <c r="AE1117">
        <f t="shared" si="283"/>
        <v>4.8032152000000004</v>
      </c>
      <c r="AF1117">
        <f t="shared" si="284"/>
        <v>102.19472339999969</v>
      </c>
      <c r="AG1117">
        <f t="shared" si="274"/>
        <v>23583.273861763748</v>
      </c>
      <c r="AH1117" t="b">
        <f t="shared" si="285"/>
        <v>1</v>
      </c>
    </row>
    <row r="1118" spans="4:34" hidden="1" x14ac:dyDescent="0.4">
      <c r="D1118" t="s">
        <v>60</v>
      </c>
      <c r="E1118" t="s">
        <v>37</v>
      </c>
      <c r="F1118" s="9">
        <v>45755.125</v>
      </c>
      <c r="G1118">
        <v>1.9180999999999999</v>
      </c>
      <c r="H1118" s="9">
        <v>45757.625</v>
      </c>
      <c r="I1118">
        <v>1.9917</v>
      </c>
      <c r="J1118" s="12">
        <v>1119.2</v>
      </c>
      <c r="K1118" s="12">
        <v>2146.8000000000002</v>
      </c>
      <c r="L1118">
        <v>3.28</v>
      </c>
      <c r="M1118">
        <v>79.09</v>
      </c>
      <c r="N1118" s="13">
        <v>3.6799999999999999E-2</v>
      </c>
      <c r="O1118" t="s">
        <v>57</v>
      </c>
      <c r="Q1118">
        <f t="shared" si="286"/>
        <v>82.373120000000128</v>
      </c>
      <c r="R1118">
        <f t="shared" si="287"/>
        <v>79.093120000000127</v>
      </c>
      <c r="S1118">
        <f t="shared" si="288"/>
        <v>2229.1106400000003</v>
      </c>
      <c r="U1118">
        <f t="shared" si="275"/>
        <v>860.22626600000001</v>
      </c>
      <c r="V1118">
        <f t="shared" si="289"/>
        <v>1650.0000008145998</v>
      </c>
      <c r="W1118">
        <f t="shared" si="276"/>
        <v>63.312653177600097</v>
      </c>
      <c r="X1118">
        <f t="shared" si="277"/>
        <v>3.3633126548068</v>
      </c>
      <c r="Y1118">
        <f t="shared" si="278"/>
        <v>59.9493405227933</v>
      </c>
      <c r="Z1118">
        <f t="shared" si="279"/>
        <v>22504.808894469403</v>
      </c>
      <c r="AB1118">
        <f t="shared" si="280"/>
        <v>1219.752585</v>
      </c>
      <c r="AC1118">
        <f t="shared" si="281"/>
        <v>2339.6074332885</v>
      </c>
      <c r="AD1118">
        <f t="shared" si="282"/>
        <v>89.773790256000126</v>
      </c>
      <c r="AE1118">
        <f t="shared" si="283"/>
        <v>4.7689886568329998</v>
      </c>
      <c r="AF1118">
        <f t="shared" si="284"/>
        <v>85.004801599167124</v>
      </c>
      <c r="AG1118">
        <f t="shared" si="274"/>
        <v>23481.079138363748</v>
      </c>
      <c r="AH1118" t="b">
        <f t="shared" si="285"/>
        <v>1</v>
      </c>
    </row>
    <row r="1119" spans="4:34" hidden="1" x14ac:dyDescent="0.4">
      <c r="D1119" t="s">
        <v>59</v>
      </c>
      <c r="E1119" t="s">
        <v>37</v>
      </c>
      <c r="F1119" s="9">
        <v>45755.125</v>
      </c>
      <c r="G1119" s="12">
        <v>80572.009999999995</v>
      </c>
      <c r="H1119" s="9">
        <v>45757.625</v>
      </c>
      <c r="I1119" s="12">
        <v>80821.990000000005</v>
      </c>
      <c r="J1119">
        <v>0.12531999999999999</v>
      </c>
      <c r="K1119" s="12">
        <v>10097.64</v>
      </c>
      <c r="L1119">
        <v>15.17</v>
      </c>
      <c r="M1119">
        <v>16.16</v>
      </c>
      <c r="N1119" s="13">
        <v>1.6000000000000001E-3</v>
      </c>
      <c r="O1119" t="s">
        <v>57</v>
      </c>
      <c r="Q1119">
        <f t="shared" si="286"/>
        <v>31.327493600001311</v>
      </c>
      <c r="R1119">
        <f t="shared" si="287"/>
        <v>16.15749360000131</v>
      </c>
      <c r="S1119">
        <f t="shared" si="288"/>
        <v>10128.6117868</v>
      </c>
      <c r="U1119">
        <f t="shared" si="275"/>
        <v>2.0479000000000001E-2</v>
      </c>
      <c r="V1119">
        <f t="shared" si="289"/>
        <v>1650.0341927899999</v>
      </c>
      <c r="W1119">
        <f t="shared" si="276"/>
        <v>5.1193404200002144</v>
      </c>
      <c r="X1119">
        <f t="shared" si="277"/>
        <v>3.3051877260000002</v>
      </c>
      <c r="Y1119">
        <f t="shared" si="278"/>
        <v>1.8141526940002142</v>
      </c>
      <c r="Z1119">
        <f t="shared" si="279"/>
        <v>22444.859553946608</v>
      </c>
      <c r="AB1119">
        <f t="shared" si="280"/>
        <v>2.9034000000000001E-2</v>
      </c>
      <c r="AC1119">
        <f t="shared" si="281"/>
        <v>2339.32773834</v>
      </c>
      <c r="AD1119">
        <f t="shared" si="282"/>
        <v>7.2579193200003047</v>
      </c>
      <c r="AE1119">
        <f t="shared" si="283"/>
        <v>4.6859133960000001</v>
      </c>
      <c r="AF1119">
        <f t="shared" si="284"/>
        <v>2.5720059240003046</v>
      </c>
      <c r="AG1119">
        <f t="shared" si="274"/>
        <v>23396.074336764581</v>
      </c>
      <c r="AH1119" t="b">
        <f t="shared" si="285"/>
        <v>1</v>
      </c>
    </row>
    <row r="1120" spans="4:34" hidden="1" x14ac:dyDescent="0.4">
      <c r="D1120" t="s">
        <v>58</v>
      </c>
      <c r="E1120" t="s">
        <v>37</v>
      </c>
      <c r="F1120" s="9">
        <v>45755.541666666664</v>
      </c>
      <c r="G1120">
        <v>11.78</v>
      </c>
      <c r="H1120" s="9">
        <v>45757.541666666664</v>
      </c>
      <c r="I1120">
        <v>12.4</v>
      </c>
      <c r="J1120">
        <v>584.63</v>
      </c>
      <c r="K1120" s="12">
        <v>6886.99</v>
      </c>
      <c r="L1120">
        <v>10.6</v>
      </c>
      <c r="M1120">
        <v>351.87</v>
      </c>
      <c r="N1120" s="13">
        <v>5.11E-2</v>
      </c>
      <c r="O1120" t="s">
        <v>38</v>
      </c>
      <c r="Q1120">
        <f t="shared" si="286"/>
        <v>362.47060000000056</v>
      </c>
      <c r="R1120">
        <f t="shared" si="287"/>
        <v>351.87060000000054</v>
      </c>
      <c r="S1120">
        <f t="shared" si="288"/>
        <v>7249.4120000000003</v>
      </c>
      <c r="U1120">
        <f t="shared" si="275"/>
        <v>140.06791200000001</v>
      </c>
      <c r="V1120">
        <f t="shared" si="289"/>
        <v>1650.0000033599999</v>
      </c>
      <c r="W1120">
        <f t="shared" si="276"/>
        <v>86.84210544000014</v>
      </c>
      <c r="X1120">
        <f t="shared" si="277"/>
        <v>3.3868421121600001</v>
      </c>
      <c r="Y1120">
        <f t="shared" si="278"/>
        <v>83.455263327840143</v>
      </c>
      <c r="Z1120">
        <f t="shared" si="279"/>
        <v>22443.045401252606</v>
      </c>
      <c r="AB1120">
        <f t="shared" si="280"/>
        <v>197.587232</v>
      </c>
      <c r="AC1120">
        <f t="shared" si="281"/>
        <v>2327.5775929599999</v>
      </c>
      <c r="AD1120">
        <f t="shared" si="282"/>
        <v>122.50408384000019</v>
      </c>
      <c r="AE1120">
        <f t="shared" si="283"/>
        <v>4.77765926976</v>
      </c>
      <c r="AF1120">
        <f t="shared" si="284"/>
        <v>117.7264245702402</v>
      </c>
      <c r="AG1120">
        <f t="shared" si="274"/>
        <v>23393.50233084058</v>
      </c>
      <c r="AH1120" t="b">
        <f t="shared" si="285"/>
        <v>1</v>
      </c>
    </row>
    <row r="1121" spans="4:34" hidden="1" x14ac:dyDescent="0.4">
      <c r="D1121" t="s">
        <v>52</v>
      </c>
      <c r="E1121" t="s">
        <v>37</v>
      </c>
      <c r="F1121" s="9">
        <v>45755.125</v>
      </c>
      <c r="G1121" s="12">
        <v>4.7720000000000002</v>
      </c>
      <c r="H1121" s="9">
        <v>45757.125</v>
      </c>
      <c r="I1121" s="12">
        <v>4.9409999999999998</v>
      </c>
      <c r="J1121">
        <v>479.93</v>
      </c>
      <c r="K1121" s="12">
        <v>2290.27</v>
      </c>
      <c r="L1121">
        <v>3.5</v>
      </c>
      <c r="M1121">
        <v>77.61</v>
      </c>
      <c r="N1121" s="13">
        <v>3.39E-2</v>
      </c>
      <c r="O1121" t="s">
        <v>38</v>
      </c>
      <c r="Q1121">
        <f t="shared" si="286"/>
        <v>81.108169999999802</v>
      </c>
      <c r="R1121">
        <f t="shared" si="287"/>
        <v>77.608169999999802</v>
      </c>
      <c r="S1121">
        <f t="shared" si="288"/>
        <v>2371.3341299999997</v>
      </c>
      <c r="U1121">
        <f t="shared" si="275"/>
        <v>345.766974</v>
      </c>
      <c r="V1121">
        <f t="shared" si="289"/>
        <v>1649.9999999280001</v>
      </c>
      <c r="W1121">
        <f t="shared" si="276"/>
        <v>58.434618605999859</v>
      </c>
      <c r="X1121">
        <f t="shared" si="277"/>
        <v>3.3584346184620006</v>
      </c>
      <c r="Y1121">
        <f t="shared" si="278"/>
        <v>55.07618398753786</v>
      </c>
      <c r="Z1121">
        <f t="shared" si="279"/>
        <v>22359.590137924766</v>
      </c>
      <c r="AB1121">
        <f t="shared" si="280"/>
        <v>486.13455599999998</v>
      </c>
      <c r="AC1121">
        <f t="shared" si="281"/>
        <v>2319.8341012320002</v>
      </c>
      <c r="AD1121">
        <f t="shared" si="282"/>
        <v>82.156739963999797</v>
      </c>
      <c r="AE1121">
        <f t="shared" si="283"/>
        <v>4.7218249424280003</v>
      </c>
      <c r="AF1121">
        <f t="shared" si="284"/>
        <v>77.434915021571797</v>
      </c>
      <c r="AG1121">
        <f t="shared" si="274"/>
        <v>23275.775906270341</v>
      </c>
      <c r="AH1121" t="b">
        <f t="shared" si="285"/>
        <v>1</v>
      </c>
    </row>
    <row r="1122" spans="4:34" hidden="1" x14ac:dyDescent="0.4">
      <c r="D1122" t="s">
        <v>48</v>
      </c>
      <c r="E1122" t="s">
        <v>37</v>
      </c>
      <c r="F1122" s="9">
        <v>45755.125</v>
      </c>
      <c r="G1122">
        <v>0.1216</v>
      </c>
      <c r="H1122" s="9">
        <v>45757.125</v>
      </c>
      <c r="I1122">
        <v>0.1245</v>
      </c>
      <c r="J1122" s="12">
        <v>22625.1</v>
      </c>
      <c r="K1122" s="12">
        <v>2751.22</v>
      </c>
      <c r="L1122">
        <v>4.18</v>
      </c>
      <c r="M1122">
        <v>61.44</v>
      </c>
      <c r="N1122" s="13">
        <v>2.23E-2</v>
      </c>
      <c r="O1122" t="s">
        <v>38</v>
      </c>
      <c r="Q1122">
        <f t="shared" si="286"/>
        <v>65.61278999999999</v>
      </c>
      <c r="R1122">
        <f t="shared" si="287"/>
        <v>61.43278999999999</v>
      </c>
      <c r="S1122">
        <f t="shared" si="288"/>
        <v>2816.8249499999997</v>
      </c>
      <c r="U1122">
        <f t="shared" si="275"/>
        <v>13569.078947</v>
      </c>
      <c r="V1122">
        <f t="shared" si="289"/>
        <v>1649.9999999551999</v>
      </c>
      <c r="W1122">
        <f t="shared" si="276"/>
        <v>39.350328946299996</v>
      </c>
      <c r="X1122">
        <f t="shared" si="277"/>
        <v>3.3393503288566997</v>
      </c>
      <c r="Y1122">
        <f t="shared" si="278"/>
        <v>36.0109786174433</v>
      </c>
      <c r="Z1122">
        <f t="shared" si="279"/>
        <v>22304.513953937229</v>
      </c>
      <c r="AB1122">
        <f t="shared" si="280"/>
        <v>19036.037214</v>
      </c>
      <c r="AC1122">
        <f t="shared" si="281"/>
        <v>2314.7821252223998</v>
      </c>
      <c r="AD1122">
        <f t="shared" si="282"/>
        <v>55.204507920599994</v>
      </c>
      <c r="AE1122">
        <f t="shared" si="283"/>
        <v>4.684768758365399</v>
      </c>
      <c r="AF1122">
        <f t="shared" si="284"/>
        <v>50.519739162234593</v>
      </c>
      <c r="AG1122">
        <f t="shared" si="274"/>
        <v>23198.34099124877</v>
      </c>
      <c r="AH1122" t="b">
        <f t="shared" si="285"/>
        <v>1</v>
      </c>
    </row>
    <row r="1123" spans="4:34" hidden="1" x14ac:dyDescent="0.4">
      <c r="D1123" t="s">
        <v>54</v>
      </c>
      <c r="E1123" t="s">
        <v>37</v>
      </c>
      <c r="F1123" s="9">
        <v>45755.125</v>
      </c>
      <c r="G1123">
        <v>110.99</v>
      </c>
      <c r="H1123" s="9">
        <v>45757.125</v>
      </c>
      <c r="I1123">
        <v>116.97</v>
      </c>
      <c r="J1123">
        <v>40.796999999999997</v>
      </c>
      <c r="K1123" s="12">
        <v>4528.13</v>
      </c>
      <c r="L1123">
        <v>6.98</v>
      </c>
      <c r="M1123">
        <v>236.99</v>
      </c>
      <c r="N1123" s="13">
        <v>5.2299999999999999E-2</v>
      </c>
      <c r="O1123" t="s">
        <v>38</v>
      </c>
      <c r="Q1123">
        <f t="shared" si="286"/>
        <v>243.96606000000014</v>
      </c>
      <c r="R1123">
        <f t="shared" si="287"/>
        <v>236.98606000000015</v>
      </c>
      <c r="S1123">
        <f t="shared" si="288"/>
        <v>4772.0250899999992</v>
      </c>
      <c r="U1123">
        <f t="shared" si="275"/>
        <v>14.866204</v>
      </c>
      <c r="V1123">
        <f t="shared" si="289"/>
        <v>1649.9999819599998</v>
      </c>
      <c r="W1123">
        <f t="shared" si="276"/>
        <v>88.899899920000053</v>
      </c>
      <c r="X1123">
        <f t="shared" si="277"/>
        <v>3.3888998638399999</v>
      </c>
      <c r="Y1123">
        <f t="shared" si="278"/>
        <v>85.511000056160057</v>
      </c>
      <c r="Z1123">
        <f t="shared" si="279"/>
        <v>22268.502975319785</v>
      </c>
      <c r="AB1123">
        <f t="shared" si="280"/>
        <v>20.748244</v>
      </c>
      <c r="AC1123">
        <f t="shared" si="281"/>
        <v>2302.8476015599999</v>
      </c>
      <c r="AD1123">
        <f t="shared" si="282"/>
        <v>124.07449912000008</v>
      </c>
      <c r="AE1123">
        <f t="shared" si="283"/>
        <v>4.7297697022399996</v>
      </c>
      <c r="AF1123">
        <f t="shared" si="284"/>
        <v>119.34472941776008</v>
      </c>
      <c r="AG1123">
        <f t="shared" si="274"/>
        <v>23147.821252086535</v>
      </c>
      <c r="AH1123" t="b">
        <f t="shared" si="285"/>
        <v>1</v>
      </c>
    </row>
    <row r="1124" spans="4:34" hidden="1" x14ac:dyDescent="0.4">
      <c r="D1124" t="s">
        <v>61</v>
      </c>
      <c r="E1124" t="s">
        <v>37</v>
      </c>
      <c r="F1124" s="9">
        <v>45755.125</v>
      </c>
      <c r="G1124">
        <v>0.59809999999999997</v>
      </c>
      <c r="H1124" s="9">
        <v>45757.125</v>
      </c>
      <c r="I1124">
        <v>0.621</v>
      </c>
      <c r="J1124" s="12">
        <v>13073.3</v>
      </c>
      <c r="K1124" s="12">
        <v>7819.18</v>
      </c>
      <c r="L1124">
        <v>11.95</v>
      </c>
      <c r="M1124">
        <v>287.43</v>
      </c>
      <c r="N1124" s="13">
        <v>3.6799999999999999E-2</v>
      </c>
      <c r="O1124" t="s">
        <v>38</v>
      </c>
      <c r="Q1124">
        <f t="shared" si="286"/>
        <v>299.37857000000042</v>
      </c>
      <c r="R1124">
        <f t="shared" si="287"/>
        <v>287.42857000000043</v>
      </c>
      <c r="S1124">
        <f t="shared" si="288"/>
        <v>8118.5192999999999</v>
      </c>
      <c r="U1124">
        <f t="shared" si="275"/>
        <v>2758.7359970000002</v>
      </c>
      <c r="V1124">
        <f t="shared" si="289"/>
        <v>1649.9999998057001</v>
      </c>
      <c r="W1124">
        <f t="shared" si="276"/>
        <v>63.175054331300089</v>
      </c>
      <c r="X1124">
        <f t="shared" si="277"/>
        <v>3.3631750539427006</v>
      </c>
      <c r="Y1124">
        <f t="shared" si="278"/>
        <v>59.811879277357392</v>
      </c>
      <c r="Z1124">
        <f t="shared" si="279"/>
        <v>22182.991975263623</v>
      </c>
      <c r="AB1124">
        <f t="shared" si="280"/>
        <v>3836.3652689999999</v>
      </c>
      <c r="AC1124">
        <f t="shared" si="281"/>
        <v>2294.5300673888996</v>
      </c>
      <c r="AD1124">
        <f t="shared" si="282"/>
        <v>87.852764660100121</v>
      </c>
      <c r="AE1124">
        <f t="shared" si="283"/>
        <v>4.6769128994378999</v>
      </c>
      <c r="AF1124">
        <f t="shared" si="284"/>
        <v>83.175851760662226</v>
      </c>
      <c r="AG1124">
        <f t="shared" si="274"/>
        <v>23028.476522668774</v>
      </c>
      <c r="AH1124" t="b">
        <f t="shared" si="285"/>
        <v>1</v>
      </c>
    </row>
    <row r="1125" spans="4:34" hidden="1" x14ac:dyDescent="0.4">
      <c r="D1125" t="s">
        <v>53</v>
      </c>
      <c r="E1125" t="s">
        <v>37</v>
      </c>
      <c r="F1125" s="9">
        <v>45755.125</v>
      </c>
      <c r="G1125">
        <v>562.46</v>
      </c>
      <c r="H1125" s="9">
        <v>45757.125</v>
      </c>
      <c r="I1125">
        <v>578.95000000000005</v>
      </c>
      <c r="J1125" s="12">
        <v>16.106000000000002</v>
      </c>
      <c r="K1125" s="12">
        <v>9059.42</v>
      </c>
      <c r="L1125">
        <v>13.79</v>
      </c>
      <c r="M1125">
        <v>251.8</v>
      </c>
      <c r="N1125" s="13">
        <v>2.7799999999999998E-2</v>
      </c>
      <c r="O1125" t="s">
        <v>38</v>
      </c>
      <c r="Q1125">
        <f t="shared" si="286"/>
        <v>265.58794000000017</v>
      </c>
      <c r="R1125">
        <f t="shared" si="287"/>
        <v>251.79794000000018</v>
      </c>
      <c r="S1125">
        <f t="shared" si="288"/>
        <v>9324.5687000000016</v>
      </c>
      <c r="U1125">
        <f t="shared" si="275"/>
        <v>2.9335420000000001</v>
      </c>
      <c r="V1125">
        <f t="shared" si="289"/>
        <v>1650.0000333200001</v>
      </c>
      <c r="W1125">
        <f t="shared" si="276"/>
        <v>48.374107580000029</v>
      </c>
      <c r="X1125">
        <f t="shared" si="277"/>
        <v>3.3483741742200004</v>
      </c>
      <c r="Y1125">
        <f t="shared" si="278"/>
        <v>45.025733405780031</v>
      </c>
      <c r="Z1125">
        <f t="shared" si="279"/>
        <v>22123.180095986267</v>
      </c>
      <c r="AB1125">
        <f t="shared" si="280"/>
        <v>4.0683530000000001</v>
      </c>
      <c r="AC1125">
        <f t="shared" si="281"/>
        <v>2288.2858283800001</v>
      </c>
      <c r="AD1125">
        <f t="shared" si="282"/>
        <v>67.087140970000036</v>
      </c>
      <c r="AE1125">
        <f t="shared" si="283"/>
        <v>4.6436587977300006</v>
      </c>
      <c r="AF1125">
        <f t="shared" si="284"/>
        <v>62.443482172270038</v>
      </c>
      <c r="AG1125">
        <f t="shared" si="274"/>
        <v>22945.300670908113</v>
      </c>
      <c r="AH1125" t="b">
        <f t="shared" si="285"/>
        <v>1</v>
      </c>
    </row>
    <row r="1126" spans="4:34" hidden="1" x14ac:dyDescent="0.4">
      <c r="D1126" t="s">
        <v>43</v>
      </c>
      <c r="E1126" t="s">
        <v>37</v>
      </c>
      <c r="F1126" s="9">
        <v>45754.916666666664</v>
      </c>
      <c r="G1126" s="12">
        <v>2.0608</v>
      </c>
      <c r="H1126" s="9">
        <v>45756.916666666664</v>
      </c>
      <c r="I1126" s="12">
        <v>2.2664</v>
      </c>
      <c r="J1126">
        <v>831.7</v>
      </c>
      <c r="K1126" s="12">
        <v>1714.06</v>
      </c>
      <c r="L1126">
        <v>2.7</v>
      </c>
      <c r="M1126">
        <v>168.3</v>
      </c>
      <c r="N1126" s="13">
        <v>9.8199999999999996E-2</v>
      </c>
      <c r="O1126" t="s">
        <v>38</v>
      </c>
      <c r="Q1126">
        <f t="shared" si="286"/>
        <v>170.99752000000001</v>
      </c>
      <c r="R1126">
        <f t="shared" si="287"/>
        <v>168.29752000000002</v>
      </c>
      <c r="S1126">
        <f t="shared" si="288"/>
        <v>1884.96488</v>
      </c>
      <c r="U1126">
        <f t="shared" si="275"/>
        <v>800.65993800000001</v>
      </c>
      <c r="V1126">
        <f t="shared" si="289"/>
        <v>1650.0000002304</v>
      </c>
      <c r="W1126">
        <f t="shared" si="276"/>
        <v>164.61568325280001</v>
      </c>
      <c r="X1126">
        <f t="shared" si="277"/>
        <v>3.4646156837135997</v>
      </c>
      <c r="Y1126">
        <f t="shared" si="278"/>
        <v>161.15106756908642</v>
      </c>
      <c r="Z1126">
        <f t="shared" si="279"/>
        <v>22078.154362580488</v>
      </c>
      <c r="AB1126">
        <f t="shared" si="280"/>
        <v>1099.6471340000001</v>
      </c>
      <c r="AC1126">
        <f t="shared" si="281"/>
        <v>2266.1528137472001</v>
      </c>
      <c r="AD1126">
        <f t="shared" si="282"/>
        <v>226.08745075040002</v>
      </c>
      <c r="AE1126">
        <f t="shared" si="283"/>
        <v>4.7583930782447998</v>
      </c>
      <c r="AF1126">
        <f t="shared" si="284"/>
        <v>221.32905767215522</v>
      </c>
      <c r="AG1126">
        <f t="shared" si="274"/>
        <v>22882.857188735841</v>
      </c>
      <c r="AH1126" t="b">
        <f t="shared" si="285"/>
        <v>1</v>
      </c>
    </row>
    <row r="1127" spans="4:34" hidden="1" x14ac:dyDescent="0.4">
      <c r="D1127" t="s">
        <v>55</v>
      </c>
      <c r="E1127" t="s">
        <v>37</v>
      </c>
      <c r="F1127" s="9">
        <v>45754.791666666664</v>
      </c>
      <c r="G1127">
        <v>5.6679999999999999E-5</v>
      </c>
      <c r="H1127" s="9">
        <v>45756.791666666664</v>
      </c>
      <c r="I1127">
        <v>5.8619999999999998E-5</v>
      </c>
      <c r="J1127" s="12">
        <v>103722965.7</v>
      </c>
      <c r="K1127" s="12">
        <v>5879.02</v>
      </c>
      <c r="L1127">
        <v>8.9700000000000006</v>
      </c>
      <c r="M1127">
        <v>192.25</v>
      </c>
      <c r="N1127" s="13">
        <v>3.27E-2</v>
      </c>
      <c r="O1127" t="s">
        <v>38</v>
      </c>
      <c r="Q1127">
        <f t="shared" si="286"/>
        <v>201.22255345799982</v>
      </c>
      <c r="R1127">
        <f t="shared" si="287"/>
        <v>192.25255345799982</v>
      </c>
      <c r="S1127">
        <f t="shared" si="288"/>
        <v>6080.2402493339996</v>
      </c>
      <c r="U1127">
        <f t="shared" si="275"/>
        <v>29110797.459421001</v>
      </c>
      <c r="V1127">
        <f t="shared" si="289"/>
        <v>1649.9999999999823</v>
      </c>
      <c r="W1127">
        <f t="shared" si="276"/>
        <v>56.474947071276695</v>
      </c>
      <c r="X1127">
        <f t="shared" si="277"/>
        <v>3.3564749470712414</v>
      </c>
      <c r="Y1127">
        <f t="shared" si="278"/>
        <v>53.118472124205454</v>
      </c>
      <c r="Z1127">
        <f t="shared" si="279"/>
        <v>21917.0032950114</v>
      </c>
      <c r="AB1127">
        <f t="shared" si="280"/>
        <v>39853225.037646003</v>
      </c>
      <c r="AC1127">
        <f t="shared" si="281"/>
        <v>2258.8807951337753</v>
      </c>
      <c r="AD1127">
        <f t="shared" si="282"/>
        <v>77.315256573033182</v>
      </c>
      <c r="AE1127">
        <f t="shared" si="283"/>
        <v>4.595076846840584</v>
      </c>
      <c r="AF1127">
        <f t="shared" si="284"/>
        <v>72.720179726192598</v>
      </c>
      <c r="AG1127">
        <f t="shared" si="274"/>
        <v>22661.528131063686</v>
      </c>
      <c r="AH1127" t="b">
        <f t="shared" si="285"/>
        <v>1</v>
      </c>
    </row>
    <row r="1128" spans="4:34" hidden="1" x14ac:dyDescent="0.4">
      <c r="D1128" t="s">
        <v>50</v>
      </c>
      <c r="E1128" t="s">
        <v>37</v>
      </c>
      <c r="F1128" s="9">
        <v>45754.791666666664</v>
      </c>
      <c r="G1128">
        <v>195.6</v>
      </c>
      <c r="H1128" s="9">
        <v>45756.791666666664</v>
      </c>
      <c r="I1128">
        <v>222.7</v>
      </c>
      <c r="J1128">
        <v>58.301600000000001</v>
      </c>
      <c r="K1128" s="12">
        <v>11403.8</v>
      </c>
      <c r="L1128">
        <v>18.29</v>
      </c>
      <c r="M1128" s="12">
        <v>1561.68</v>
      </c>
      <c r="N1128" s="13">
        <v>0.13689999999999999</v>
      </c>
      <c r="O1128" t="s">
        <v>38</v>
      </c>
      <c r="Q1128">
        <f t="shared" si="286"/>
        <v>1579.9733599999997</v>
      </c>
      <c r="R1128">
        <f t="shared" si="287"/>
        <v>1561.6833599999998</v>
      </c>
      <c r="S1128">
        <f t="shared" si="288"/>
        <v>12983.766319999999</v>
      </c>
      <c r="U1128">
        <f t="shared" si="275"/>
        <v>8.4355829999999994</v>
      </c>
      <c r="V1128">
        <f t="shared" si="289"/>
        <v>1650.0000347999999</v>
      </c>
      <c r="W1128">
        <f t="shared" si="276"/>
        <v>228.60429929999992</v>
      </c>
      <c r="X1128">
        <f t="shared" si="277"/>
        <v>3.5286043688999995</v>
      </c>
      <c r="Y1128">
        <f t="shared" si="278"/>
        <v>225.07569493109992</v>
      </c>
      <c r="Z1128">
        <f t="shared" si="279"/>
        <v>21863.884822887194</v>
      </c>
      <c r="AB1128">
        <f t="shared" si="280"/>
        <v>11.393058</v>
      </c>
      <c r="AC1128">
        <f t="shared" si="281"/>
        <v>2228.4821447999998</v>
      </c>
      <c r="AD1128">
        <f t="shared" si="282"/>
        <v>308.75187179999995</v>
      </c>
      <c r="AE1128">
        <f t="shared" si="283"/>
        <v>4.7657161613999994</v>
      </c>
      <c r="AF1128">
        <f t="shared" si="284"/>
        <v>303.98615563859994</v>
      </c>
      <c r="AG1128">
        <f t="shared" si="274"/>
        <v>22588.807951337494</v>
      </c>
      <c r="AH1128" t="b">
        <f t="shared" si="285"/>
        <v>1</v>
      </c>
    </row>
    <row r="1129" spans="4:34" hidden="1" x14ac:dyDescent="0.4">
      <c r="D1129" t="s">
        <v>52</v>
      </c>
      <c r="E1129" t="s">
        <v>37</v>
      </c>
      <c r="F1129" s="9">
        <v>45752.833333333336</v>
      </c>
      <c r="G1129">
        <v>4.9779999999999998</v>
      </c>
      <c r="H1129" s="9">
        <v>45754.833333333336</v>
      </c>
      <c r="I1129">
        <v>4.6040000000000001</v>
      </c>
      <c r="J1129">
        <v>463.62</v>
      </c>
      <c r="K1129" s="12">
        <v>2307.94</v>
      </c>
      <c r="L1129">
        <v>3.33</v>
      </c>
      <c r="M1129">
        <v>-176.73</v>
      </c>
      <c r="N1129" s="13">
        <v>-7.6600000000000001E-2</v>
      </c>
      <c r="O1129" t="s">
        <v>38</v>
      </c>
      <c r="Q1129">
        <f t="shared" si="286"/>
        <v>-173.39387999999985</v>
      </c>
      <c r="R1129">
        <f t="shared" si="287"/>
        <v>-176.72387999999987</v>
      </c>
      <c r="S1129">
        <f t="shared" si="288"/>
        <v>2134.50648</v>
      </c>
      <c r="U1129">
        <f t="shared" si="275"/>
        <v>331.458417</v>
      </c>
      <c r="V1129">
        <f t="shared" si="289"/>
        <v>1649.9999998259998</v>
      </c>
      <c r="W1129">
        <f t="shared" si="276"/>
        <v>-123.96544795799988</v>
      </c>
      <c r="X1129">
        <f t="shared" si="277"/>
        <v>3.1760345516939998</v>
      </c>
      <c r="Y1129">
        <f t="shared" si="278"/>
        <v>-127.14148250969389</v>
      </c>
      <c r="Z1129">
        <f t="shared" si="279"/>
        <v>21638.809127956094</v>
      </c>
      <c r="AB1129">
        <f t="shared" si="280"/>
        <v>451.14246500000002</v>
      </c>
      <c r="AC1129">
        <f t="shared" si="281"/>
        <v>2245.7871907700001</v>
      </c>
      <c r="AD1129">
        <f t="shared" si="282"/>
        <v>-168.72728190999985</v>
      </c>
      <c r="AE1129">
        <f t="shared" si="283"/>
        <v>4.3228470996300006</v>
      </c>
      <c r="AF1129">
        <f t="shared" si="284"/>
        <v>-173.05012900962984</v>
      </c>
      <c r="AG1129">
        <f t="shared" si="274"/>
        <v>22284.821795698896</v>
      </c>
      <c r="AH1129" t="b">
        <f t="shared" si="285"/>
        <v>1</v>
      </c>
    </row>
    <row r="1130" spans="4:34" hidden="1" x14ac:dyDescent="0.4">
      <c r="D1130" t="s">
        <v>55</v>
      </c>
      <c r="E1130" t="s">
        <v>37</v>
      </c>
      <c r="F1130" s="9">
        <v>45752.791666666664</v>
      </c>
      <c r="G1130">
        <v>5.8149999999999997E-5</v>
      </c>
      <c r="H1130" s="9">
        <v>45754.791666666664</v>
      </c>
      <c r="I1130">
        <v>5.6679999999999999E-5</v>
      </c>
      <c r="J1130" s="12">
        <v>101372183.14</v>
      </c>
      <c r="K1130" s="12">
        <v>5894.79</v>
      </c>
      <c r="L1130">
        <v>8.73</v>
      </c>
      <c r="M1130">
        <v>-157.75</v>
      </c>
      <c r="N1130" s="13">
        <v>-2.6800000000000001E-2</v>
      </c>
      <c r="O1130" t="s">
        <v>38</v>
      </c>
      <c r="Q1130">
        <f t="shared" si="286"/>
        <v>-149.01710921579976</v>
      </c>
      <c r="R1130">
        <f t="shared" si="287"/>
        <v>-157.74710921579975</v>
      </c>
      <c r="S1130">
        <f t="shared" si="288"/>
        <v>5745.7753403752004</v>
      </c>
      <c r="U1130">
        <f t="shared" si="275"/>
        <v>28374892.519347001</v>
      </c>
      <c r="V1130">
        <f t="shared" si="289"/>
        <v>1650.000000000028</v>
      </c>
      <c r="W1130">
        <f t="shared" si="276"/>
        <v>-41.711092003440029</v>
      </c>
      <c r="X1130">
        <f t="shared" si="277"/>
        <v>3.2582889079966164</v>
      </c>
      <c r="Y1130">
        <f t="shared" si="278"/>
        <v>-44.969380911436645</v>
      </c>
      <c r="Z1130">
        <f t="shared" si="279"/>
        <v>21765.950610465788</v>
      </c>
      <c r="AB1130">
        <f t="shared" si="280"/>
        <v>38726132.866481997</v>
      </c>
      <c r="AC1130">
        <f t="shared" si="281"/>
        <v>2251.924626185928</v>
      </c>
      <c r="AD1130">
        <f t="shared" si="282"/>
        <v>-56.927415313728453</v>
      </c>
      <c r="AE1130">
        <f t="shared" si="283"/>
        <v>4.4469218370581283</v>
      </c>
      <c r="AF1130">
        <f t="shared" si="284"/>
        <v>-61.37433715078658</v>
      </c>
      <c r="AG1130">
        <f t="shared" ref="AG1130:AG1193" si="290">AG1131*AH1130 + (1-AH1130)*AI1130+AF1130</f>
        <v>22457.871924708525</v>
      </c>
      <c r="AH1130" t="b">
        <f t="shared" si="285"/>
        <v>1</v>
      </c>
    </row>
    <row r="1131" spans="4:34" hidden="1" x14ac:dyDescent="0.4">
      <c r="D1131" t="s">
        <v>50</v>
      </c>
      <c r="E1131" t="s">
        <v>37</v>
      </c>
      <c r="F1131" s="9">
        <v>45752.75</v>
      </c>
      <c r="G1131">
        <v>215.6</v>
      </c>
      <c r="H1131" s="9">
        <v>45754.75</v>
      </c>
      <c r="I1131">
        <v>189.7</v>
      </c>
      <c r="J1131">
        <v>53.543999999999997</v>
      </c>
      <c r="K1131" s="12">
        <v>11544.1</v>
      </c>
      <c r="L1131">
        <v>16.28</v>
      </c>
      <c r="M1131" s="12">
        <v>-1403.07</v>
      </c>
      <c r="N1131" s="13">
        <v>-0.1215</v>
      </c>
      <c r="O1131" t="s">
        <v>38</v>
      </c>
      <c r="Q1131">
        <f t="shared" si="286"/>
        <v>-1386.7896000000003</v>
      </c>
      <c r="R1131">
        <f t="shared" si="287"/>
        <v>-1403.0696000000003</v>
      </c>
      <c r="S1131">
        <f t="shared" si="288"/>
        <v>10157.296799999998</v>
      </c>
      <c r="U1131">
        <f t="shared" si="275"/>
        <v>7.6530610000000001</v>
      </c>
      <c r="V1131">
        <f t="shared" si="289"/>
        <v>1649.9999516</v>
      </c>
      <c r="W1131">
        <f t="shared" si="276"/>
        <v>-198.21427990000004</v>
      </c>
      <c r="X1131">
        <f t="shared" si="277"/>
        <v>3.1017856232999996</v>
      </c>
      <c r="Y1131">
        <f t="shared" si="278"/>
        <v>-201.31606552330004</v>
      </c>
      <c r="Z1131">
        <f t="shared" si="279"/>
        <v>21810.919991377225</v>
      </c>
      <c r="AB1131">
        <f t="shared" si="280"/>
        <v>10.573931999999999</v>
      </c>
      <c r="AC1131">
        <f t="shared" si="281"/>
        <v>2279.7397391999998</v>
      </c>
      <c r="AD1131">
        <f t="shared" si="282"/>
        <v>-273.86483880000003</v>
      </c>
      <c r="AE1131">
        <f t="shared" si="283"/>
        <v>4.2856146395999994</v>
      </c>
      <c r="AF1131">
        <f t="shared" si="284"/>
        <v>-278.15045343960003</v>
      </c>
      <c r="AG1131">
        <f t="shared" si="290"/>
        <v>22519.246261859313</v>
      </c>
      <c r="AH1131" t="b">
        <f t="shared" si="285"/>
        <v>1</v>
      </c>
    </row>
    <row r="1132" spans="4:34" hidden="1" x14ac:dyDescent="0.4">
      <c r="D1132" t="s">
        <v>59</v>
      </c>
      <c r="E1132" t="s">
        <v>37</v>
      </c>
      <c r="F1132" s="9">
        <v>45751.625</v>
      </c>
      <c r="G1132" s="12">
        <v>83318</v>
      </c>
      <c r="H1132" s="9">
        <v>45754.125</v>
      </c>
      <c r="I1132" s="12">
        <v>79092.009999999995</v>
      </c>
      <c r="J1132">
        <v>0.12182</v>
      </c>
      <c r="K1132" s="12">
        <v>10150.6</v>
      </c>
      <c r="L1132">
        <v>14.84</v>
      </c>
      <c r="M1132">
        <v>-529.65</v>
      </c>
      <c r="N1132" s="13">
        <v>-5.2200000000000003E-2</v>
      </c>
      <c r="O1132" t="s">
        <v>57</v>
      </c>
      <c r="Q1132">
        <f t="shared" si="286"/>
        <v>-514.81010180000067</v>
      </c>
      <c r="R1132">
        <f t="shared" si="287"/>
        <v>-529.6501018000007</v>
      </c>
      <c r="S1132">
        <f t="shared" si="288"/>
        <v>9634.9886581999999</v>
      </c>
      <c r="U1132">
        <f t="shared" si="275"/>
        <v>1.9803999999999999E-2</v>
      </c>
      <c r="V1132">
        <f t="shared" si="289"/>
        <v>1650.0296719999999</v>
      </c>
      <c r="W1132">
        <f t="shared" si="276"/>
        <v>-83.6915059600001</v>
      </c>
      <c r="X1132">
        <f t="shared" si="277"/>
        <v>3.2163678380399996</v>
      </c>
      <c r="Y1132">
        <f t="shared" si="278"/>
        <v>-86.9078737980401</v>
      </c>
      <c r="Z1132">
        <f t="shared" si="279"/>
        <v>22012.236056900525</v>
      </c>
      <c r="AB1132">
        <f t="shared" si="280"/>
        <v>2.7507E-2</v>
      </c>
      <c r="AC1132">
        <f t="shared" si="281"/>
        <v>2291.8282260000001</v>
      </c>
      <c r="AD1132">
        <f t="shared" si="282"/>
        <v>-116.24430693000015</v>
      </c>
      <c r="AE1132">
        <f t="shared" si="283"/>
        <v>4.46741214507</v>
      </c>
      <c r="AF1132">
        <f t="shared" si="284"/>
        <v>-120.71171907507015</v>
      </c>
      <c r="AG1132">
        <f t="shared" si="290"/>
        <v>22797.396715298913</v>
      </c>
      <c r="AH1132" t="b">
        <f t="shared" si="285"/>
        <v>1</v>
      </c>
    </row>
    <row r="1133" spans="4:34" hidden="1" x14ac:dyDescent="0.4">
      <c r="D1133" t="s">
        <v>58</v>
      </c>
      <c r="E1133" t="s">
        <v>37</v>
      </c>
      <c r="F1133" s="9">
        <v>45751.708333333336</v>
      </c>
      <c r="G1133">
        <v>12.74</v>
      </c>
      <c r="H1133" s="9">
        <v>45753.708333333336</v>
      </c>
      <c r="I1133">
        <v>12.32</v>
      </c>
      <c r="J1133" s="12">
        <v>542.44000000000005</v>
      </c>
      <c r="K1133" s="12">
        <v>6910.8</v>
      </c>
      <c r="L1133">
        <v>10.199999999999999</v>
      </c>
      <c r="M1133">
        <v>-238.02</v>
      </c>
      <c r="N1133" s="13">
        <v>-3.44E-2</v>
      </c>
      <c r="O1133" t="s">
        <v>38</v>
      </c>
      <c r="Q1133">
        <f t="shared" si="286"/>
        <v>-227.82479999999998</v>
      </c>
      <c r="R1133">
        <f t="shared" si="287"/>
        <v>-238.02479999999997</v>
      </c>
      <c r="S1133">
        <f t="shared" si="288"/>
        <v>6682.8608000000004</v>
      </c>
      <c r="U1133">
        <f t="shared" si="275"/>
        <v>129.51334399999999</v>
      </c>
      <c r="V1133">
        <f t="shared" si="289"/>
        <v>1650.00000256</v>
      </c>
      <c r="W1133">
        <f t="shared" si="276"/>
        <v>-54.395604479999989</v>
      </c>
      <c r="X1133">
        <f t="shared" si="277"/>
        <v>3.24560440064</v>
      </c>
      <c r="Y1133">
        <f t="shared" si="278"/>
        <v>-57.641208880639986</v>
      </c>
      <c r="Z1133">
        <f t="shared" si="279"/>
        <v>22099.143930698567</v>
      </c>
      <c r="AB1133">
        <f t="shared" si="280"/>
        <v>180.52159599999999</v>
      </c>
      <c r="AC1133">
        <f t="shared" si="281"/>
        <v>2299.8451330399998</v>
      </c>
      <c r="AD1133">
        <f t="shared" si="282"/>
        <v>-75.81907031999998</v>
      </c>
      <c r="AE1133">
        <f t="shared" si="283"/>
        <v>4.52387119576</v>
      </c>
      <c r="AF1133">
        <f t="shared" si="284"/>
        <v>-80.342941515759975</v>
      </c>
      <c r="AG1133">
        <f t="shared" si="290"/>
        <v>22918.108434373982</v>
      </c>
      <c r="AH1133" t="b">
        <f t="shared" si="285"/>
        <v>1</v>
      </c>
    </row>
    <row r="1134" spans="4:34" hidden="1" x14ac:dyDescent="0.4">
      <c r="D1134" t="s">
        <v>54</v>
      </c>
      <c r="E1134" t="s">
        <v>37</v>
      </c>
      <c r="F1134" s="9">
        <v>45751.625</v>
      </c>
      <c r="G1134">
        <v>116.35</v>
      </c>
      <c r="H1134" s="9">
        <v>45753.625</v>
      </c>
      <c r="I1134">
        <v>114.65</v>
      </c>
      <c r="J1134">
        <v>38.979999999999997</v>
      </c>
      <c r="K1134" s="12">
        <v>4535.43</v>
      </c>
      <c r="L1134">
        <v>6.75</v>
      </c>
      <c r="M1134">
        <v>-73.02</v>
      </c>
      <c r="N1134" s="13">
        <v>-1.61E-2</v>
      </c>
      <c r="O1134" t="s">
        <v>38</v>
      </c>
      <c r="Q1134">
        <f t="shared" si="286"/>
        <v>-66.265999999999551</v>
      </c>
      <c r="R1134">
        <f t="shared" si="287"/>
        <v>-73.015999999999551</v>
      </c>
      <c r="S1134">
        <f t="shared" si="288"/>
        <v>4469.0569999999998</v>
      </c>
      <c r="U1134">
        <f t="shared" si="275"/>
        <v>14.181349000000001</v>
      </c>
      <c r="V1134">
        <f t="shared" si="289"/>
        <v>1649.9999561500001</v>
      </c>
      <c r="W1134">
        <f t="shared" si="276"/>
        <v>-24.10829329999984</v>
      </c>
      <c r="X1134">
        <f t="shared" si="277"/>
        <v>3.2758916190000003</v>
      </c>
      <c r="Y1134">
        <f t="shared" si="278"/>
        <v>-27.384184918999839</v>
      </c>
      <c r="Z1134">
        <f t="shared" si="279"/>
        <v>22156.785139579206</v>
      </c>
      <c r="AB1134">
        <f t="shared" si="280"/>
        <v>19.799471</v>
      </c>
      <c r="AC1134">
        <f t="shared" si="281"/>
        <v>2303.6684508499998</v>
      </c>
      <c r="AD1134">
        <f t="shared" si="282"/>
        <v>-33.659100699999776</v>
      </c>
      <c r="AE1134">
        <f t="shared" si="283"/>
        <v>4.5736778010000005</v>
      </c>
      <c r="AF1134">
        <f t="shared" si="284"/>
        <v>-38.232778500999778</v>
      </c>
      <c r="AG1134">
        <f t="shared" si="290"/>
        <v>22998.451375889741</v>
      </c>
      <c r="AH1134" t="b">
        <f t="shared" si="285"/>
        <v>1</v>
      </c>
    </row>
    <row r="1135" spans="4:34" hidden="1" x14ac:dyDescent="0.4">
      <c r="D1135" t="s">
        <v>56</v>
      </c>
      <c r="E1135" t="s">
        <v>37</v>
      </c>
      <c r="F1135" s="9">
        <v>45751.625</v>
      </c>
      <c r="G1135" s="12">
        <v>1801.57</v>
      </c>
      <c r="H1135" s="9">
        <v>45753.625</v>
      </c>
      <c r="I1135" s="12">
        <v>1751.46</v>
      </c>
      <c r="J1135">
        <v>2.8595999999999999</v>
      </c>
      <c r="K1135" s="12">
        <v>5151.79</v>
      </c>
      <c r="L1135">
        <v>7.62</v>
      </c>
      <c r="M1135">
        <v>-150.91</v>
      </c>
      <c r="N1135" s="13">
        <v>-2.93E-2</v>
      </c>
      <c r="O1135" t="s">
        <v>49</v>
      </c>
      <c r="Q1135">
        <f t="shared" si="286"/>
        <v>-143.29455599999972</v>
      </c>
      <c r="R1135">
        <f t="shared" si="287"/>
        <v>-150.91455599999972</v>
      </c>
      <c r="S1135">
        <f t="shared" si="288"/>
        <v>5008.4750160000003</v>
      </c>
      <c r="U1135">
        <f t="shared" si="275"/>
        <v>0.91586800000000002</v>
      </c>
      <c r="V1135">
        <f t="shared" si="289"/>
        <v>1650.00031276</v>
      </c>
      <c r="W1135">
        <f t="shared" si="276"/>
        <v>-45.894145479999906</v>
      </c>
      <c r="X1135">
        <f t="shared" si="277"/>
        <v>3.2541064800399999</v>
      </c>
      <c r="Y1135">
        <f t="shared" si="278"/>
        <v>-49.148251960039907</v>
      </c>
      <c r="Z1135">
        <f t="shared" si="279"/>
        <v>22184.169324498205</v>
      </c>
      <c r="AB1135">
        <f t="shared" si="280"/>
        <v>1.282521</v>
      </c>
      <c r="AC1135">
        <f t="shared" si="281"/>
        <v>2310.55135797</v>
      </c>
      <c r="AD1135">
        <f t="shared" si="282"/>
        <v>-64.267127309999879</v>
      </c>
      <c r="AE1135">
        <f t="shared" si="283"/>
        <v>4.5568355886299994</v>
      </c>
      <c r="AF1135">
        <f t="shared" si="284"/>
        <v>-68.823962898629873</v>
      </c>
      <c r="AG1135">
        <f t="shared" si="290"/>
        <v>23036.684154390739</v>
      </c>
      <c r="AH1135" t="b">
        <f t="shared" si="285"/>
        <v>1</v>
      </c>
    </row>
    <row r="1136" spans="4:34" hidden="1" x14ac:dyDescent="0.4">
      <c r="D1136" t="s">
        <v>61</v>
      </c>
      <c r="E1136" t="s">
        <v>37</v>
      </c>
      <c r="F1136" s="9">
        <v>45751.625</v>
      </c>
      <c r="G1136" s="12">
        <v>0.64780000000000004</v>
      </c>
      <c r="H1136" s="9">
        <v>45753.625</v>
      </c>
      <c r="I1136" s="12">
        <v>0.61980000000000002</v>
      </c>
      <c r="J1136" s="12">
        <v>12124.5</v>
      </c>
      <c r="K1136" s="12">
        <v>7854.28</v>
      </c>
      <c r="L1136">
        <v>11.53</v>
      </c>
      <c r="M1136">
        <v>-351.01</v>
      </c>
      <c r="N1136" s="13">
        <v>-4.4699999999999997E-2</v>
      </c>
      <c r="O1136" t="s">
        <v>38</v>
      </c>
      <c r="Q1136">
        <f t="shared" si="286"/>
        <v>-339.48600000000027</v>
      </c>
      <c r="R1136">
        <f t="shared" si="287"/>
        <v>-351.01600000000025</v>
      </c>
      <c r="S1136">
        <f t="shared" si="288"/>
        <v>7514.7651000000005</v>
      </c>
      <c r="U1136">
        <f t="shared" si="275"/>
        <v>2547.082433</v>
      </c>
      <c r="V1136">
        <f t="shared" si="289"/>
        <v>1650.0000000974001</v>
      </c>
      <c r="W1136">
        <f t="shared" si="276"/>
        <v>-71.318308124000069</v>
      </c>
      <c r="X1136">
        <f t="shared" si="277"/>
        <v>3.2286816920708001</v>
      </c>
      <c r="Y1136">
        <f t="shared" si="278"/>
        <v>-74.546989816070862</v>
      </c>
      <c r="Z1136">
        <f t="shared" si="279"/>
        <v>22233.317576458245</v>
      </c>
      <c r="AB1136">
        <f t="shared" si="280"/>
        <v>3582.9534680000002</v>
      </c>
      <c r="AC1136">
        <f t="shared" si="281"/>
        <v>2321.0372565704001</v>
      </c>
      <c r="AD1136">
        <f t="shared" si="282"/>
        <v>-100.3226971040001</v>
      </c>
      <c r="AE1136">
        <f t="shared" si="283"/>
        <v>4.5417518160368004</v>
      </c>
      <c r="AF1136">
        <f t="shared" si="284"/>
        <v>-104.86444892003689</v>
      </c>
      <c r="AG1136">
        <f t="shared" si="290"/>
        <v>23105.50811728937</v>
      </c>
      <c r="AH1136" t="b">
        <f t="shared" si="285"/>
        <v>1</v>
      </c>
    </row>
    <row r="1137" spans="4:34" hidden="1" x14ac:dyDescent="0.4">
      <c r="D1137" t="s">
        <v>53</v>
      </c>
      <c r="E1137" t="s">
        <v>37</v>
      </c>
      <c r="F1137" s="9">
        <v>45751.625</v>
      </c>
      <c r="G1137">
        <v>592.75</v>
      </c>
      <c r="H1137" s="9">
        <v>45753.625</v>
      </c>
      <c r="I1137">
        <v>580</v>
      </c>
      <c r="J1137" s="12">
        <v>15.318</v>
      </c>
      <c r="K1137" s="12">
        <v>9080.2900000000009</v>
      </c>
      <c r="L1137">
        <v>13.47</v>
      </c>
      <c r="M1137">
        <v>-208.78</v>
      </c>
      <c r="N1137" s="13">
        <v>-2.3E-2</v>
      </c>
      <c r="O1137" t="s">
        <v>38</v>
      </c>
      <c r="Q1137">
        <f t="shared" si="286"/>
        <v>-195.30449999999999</v>
      </c>
      <c r="R1137">
        <f t="shared" si="287"/>
        <v>-208.77449999999999</v>
      </c>
      <c r="S1137">
        <f t="shared" si="288"/>
        <v>8884.44</v>
      </c>
      <c r="U1137">
        <f t="shared" si="275"/>
        <v>2.783636</v>
      </c>
      <c r="V1137">
        <f t="shared" si="289"/>
        <v>1650.000239</v>
      </c>
      <c r="W1137">
        <f t="shared" si="276"/>
        <v>-35.491359000000003</v>
      </c>
      <c r="X1137">
        <f t="shared" si="277"/>
        <v>3.264509119</v>
      </c>
      <c r="Y1137">
        <f t="shared" si="278"/>
        <v>-38.755868119000006</v>
      </c>
      <c r="Z1137">
        <f t="shared" si="279"/>
        <v>22307.864566274315</v>
      </c>
      <c r="AB1137">
        <f t="shared" si="280"/>
        <v>3.9249290000000001</v>
      </c>
      <c r="AC1137">
        <f t="shared" si="281"/>
        <v>2326.5016647500001</v>
      </c>
      <c r="AD1137">
        <f t="shared" si="282"/>
        <v>-50.04284475</v>
      </c>
      <c r="AE1137">
        <f t="shared" si="283"/>
        <v>4.6029604847499996</v>
      </c>
      <c r="AF1137">
        <f t="shared" si="284"/>
        <v>-54.64580523475</v>
      </c>
      <c r="AG1137">
        <f t="shared" si="290"/>
        <v>23210.372566209408</v>
      </c>
      <c r="AH1137" t="b">
        <f t="shared" si="285"/>
        <v>1</v>
      </c>
    </row>
    <row r="1138" spans="4:34" hidden="1" x14ac:dyDescent="0.4">
      <c r="D1138" t="s">
        <v>60</v>
      </c>
      <c r="E1138" t="s">
        <v>37</v>
      </c>
      <c r="F1138" s="9">
        <v>45750.708333333336</v>
      </c>
      <c r="G1138">
        <v>2.0051000000000001</v>
      </c>
      <c r="H1138" s="9">
        <v>45753.208333333336</v>
      </c>
      <c r="I1138">
        <v>2.1294</v>
      </c>
      <c r="J1138" s="12">
        <v>1064.2</v>
      </c>
      <c r="K1138" s="12">
        <v>2133.91</v>
      </c>
      <c r="L1138">
        <v>3.3</v>
      </c>
      <c r="M1138">
        <v>128.97999999999999</v>
      </c>
      <c r="N1138" s="13">
        <v>6.0400000000000002E-2</v>
      </c>
      <c r="O1138" t="s">
        <v>57</v>
      </c>
      <c r="Q1138">
        <f t="shared" si="286"/>
        <v>132.28005999999985</v>
      </c>
      <c r="R1138">
        <f t="shared" si="287"/>
        <v>128.98005999999984</v>
      </c>
      <c r="S1138">
        <f t="shared" si="288"/>
        <v>2266.1074800000001</v>
      </c>
      <c r="U1138">
        <f t="shared" si="275"/>
        <v>822.90160100000003</v>
      </c>
      <c r="V1138">
        <f t="shared" si="289"/>
        <v>1650.0000001651001</v>
      </c>
      <c r="W1138">
        <f t="shared" si="276"/>
        <v>102.28666900429988</v>
      </c>
      <c r="X1138">
        <f t="shared" si="277"/>
        <v>3.4022866693345004</v>
      </c>
      <c r="Y1138">
        <f t="shared" si="278"/>
        <v>98.88438233496538</v>
      </c>
      <c r="Z1138">
        <f t="shared" si="279"/>
        <v>22346.620434393313</v>
      </c>
      <c r="AB1138">
        <f t="shared" si="280"/>
        <v>1153.3799759999999</v>
      </c>
      <c r="AC1138">
        <f t="shared" si="281"/>
        <v>2312.6421898776002</v>
      </c>
      <c r="AD1138">
        <f t="shared" si="282"/>
        <v>143.36513101679984</v>
      </c>
      <c r="AE1138">
        <f t="shared" si="283"/>
        <v>4.7686495107719997</v>
      </c>
      <c r="AF1138">
        <f t="shared" si="284"/>
        <v>138.59648150602783</v>
      </c>
      <c r="AG1138">
        <f t="shared" si="290"/>
        <v>23265.018371444159</v>
      </c>
      <c r="AH1138" t="b">
        <f t="shared" si="285"/>
        <v>1</v>
      </c>
    </row>
    <row r="1139" spans="4:34" hidden="1" x14ac:dyDescent="0.4">
      <c r="D1139" t="s">
        <v>52</v>
      </c>
      <c r="E1139" t="s">
        <v>37</v>
      </c>
      <c r="F1139" s="9">
        <v>45750.625</v>
      </c>
      <c r="G1139">
        <v>5.0460000000000003</v>
      </c>
      <c r="H1139" s="9">
        <v>45752.625</v>
      </c>
      <c r="I1139">
        <v>4.9790000000000001</v>
      </c>
      <c r="J1139">
        <v>458.05</v>
      </c>
      <c r="K1139" s="12">
        <v>2311.35</v>
      </c>
      <c r="L1139">
        <v>3.44</v>
      </c>
      <c r="M1139">
        <v>-34.130000000000003</v>
      </c>
      <c r="N1139" s="13">
        <v>-1.4800000000000001E-2</v>
      </c>
      <c r="O1139" t="s">
        <v>38</v>
      </c>
      <c r="Q1139">
        <f t="shared" si="286"/>
        <v>-30.689350000000079</v>
      </c>
      <c r="R1139">
        <f t="shared" si="287"/>
        <v>-34.12935000000008</v>
      </c>
      <c r="S1139">
        <f t="shared" si="288"/>
        <v>2280.6309500000002</v>
      </c>
      <c r="U1139">
        <f t="shared" si="275"/>
        <v>326.99167699999998</v>
      </c>
      <c r="V1139">
        <f t="shared" si="289"/>
        <v>1650.0000021420001</v>
      </c>
      <c r="W1139">
        <f t="shared" si="276"/>
        <v>-21.908442359000055</v>
      </c>
      <c r="X1139">
        <f t="shared" si="277"/>
        <v>3.2780915619250002</v>
      </c>
      <c r="Y1139">
        <f t="shared" si="278"/>
        <v>-25.186533920925054</v>
      </c>
      <c r="Z1139">
        <f t="shared" si="279"/>
        <v>22247.736052058346</v>
      </c>
      <c r="AB1139">
        <f t="shared" si="280"/>
        <v>459.012631</v>
      </c>
      <c r="AC1139">
        <f t="shared" si="281"/>
        <v>2316.1777360260003</v>
      </c>
      <c r="AD1139">
        <f t="shared" si="282"/>
        <v>-30.753846277000079</v>
      </c>
      <c r="AE1139">
        <f t="shared" si="283"/>
        <v>4.6016016257750003</v>
      </c>
      <c r="AF1139">
        <f t="shared" si="284"/>
        <v>-35.355447902775083</v>
      </c>
      <c r="AG1139">
        <f t="shared" si="290"/>
        <v>23126.42188993813</v>
      </c>
      <c r="AH1139" t="b">
        <f t="shared" si="285"/>
        <v>1</v>
      </c>
    </row>
    <row r="1140" spans="4:34" hidden="1" x14ac:dyDescent="0.4">
      <c r="D1140" t="s">
        <v>55</v>
      </c>
      <c r="E1140" t="s">
        <v>37</v>
      </c>
      <c r="F1140" s="9">
        <v>45750.625</v>
      </c>
      <c r="G1140">
        <v>5.7299999999999997E-5</v>
      </c>
      <c r="H1140" s="9">
        <v>45752.625</v>
      </c>
      <c r="I1140">
        <v>5.7930000000000003E-5</v>
      </c>
      <c r="J1140" s="12">
        <v>102778458.01000001</v>
      </c>
      <c r="K1140" s="12">
        <v>5889.21</v>
      </c>
      <c r="L1140">
        <v>8.8800000000000008</v>
      </c>
      <c r="M1140">
        <v>55.87</v>
      </c>
      <c r="N1140" s="13">
        <v>9.4999999999999998E-3</v>
      </c>
      <c r="O1140" t="s">
        <v>38</v>
      </c>
      <c r="Q1140">
        <f t="shared" si="286"/>
        <v>64.750428546300597</v>
      </c>
      <c r="R1140">
        <f t="shared" si="287"/>
        <v>55.870428546300595</v>
      </c>
      <c r="S1140">
        <f t="shared" si="288"/>
        <v>5953.9560725193005</v>
      </c>
      <c r="U1140">
        <f t="shared" si="275"/>
        <v>28795811.518325001</v>
      </c>
      <c r="V1140">
        <f t="shared" si="289"/>
        <v>1650.0000000000225</v>
      </c>
      <c r="W1140">
        <f t="shared" si="276"/>
        <v>18.141361256544918</v>
      </c>
      <c r="X1140">
        <f t="shared" si="277"/>
        <v>3.3181413612565898</v>
      </c>
      <c r="Y1140">
        <f t="shared" si="278"/>
        <v>14.823219895288329</v>
      </c>
      <c r="Z1140">
        <f t="shared" si="279"/>
        <v>22272.922585979271</v>
      </c>
      <c r="AB1140">
        <f t="shared" si="280"/>
        <v>40385668.424617998</v>
      </c>
      <c r="AC1140">
        <f t="shared" si="281"/>
        <v>2314.0988007306114</v>
      </c>
      <c r="AD1140">
        <f t="shared" si="282"/>
        <v>25.442971107509575</v>
      </c>
      <c r="AE1140">
        <f t="shared" si="283"/>
        <v>4.6536405725687313</v>
      </c>
      <c r="AF1140">
        <f t="shared" si="284"/>
        <v>20.789330534940845</v>
      </c>
      <c r="AG1140">
        <f t="shared" si="290"/>
        <v>23161.777337840904</v>
      </c>
      <c r="AH1140" t="b">
        <f t="shared" si="285"/>
        <v>1</v>
      </c>
    </row>
    <row r="1141" spans="4:34" hidden="1" x14ac:dyDescent="0.4">
      <c r="D1141" t="s">
        <v>50</v>
      </c>
      <c r="E1141" t="s">
        <v>37</v>
      </c>
      <c r="F1141" s="9">
        <v>45750.625</v>
      </c>
      <c r="G1141">
        <v>203.4</v>
      </c>
      <c r="H1141" s="9">
        <v>45752.625</v>
      </c>
      <c r="I1141">
        <v>215.1</v>
      </c>
      <c r="J1141">
        <v>56.439700000000002</v>
      </c>
      <c r="K1141" s="12">
        <v>11479.84</v>
      </c>
      <c r="L1141">
        <v>17.72</v>
      </c>
      <c r="M1141">
        <v>642.63</v>
      </c>
      <c r="N1141" s="13">
        <v>5.6000000000000001E-2</v>
      </c>
      <c r="O1141" t="s">
        <v>38</v>
      </c>
      <c r="Q1141">
        <f t="shared" si="286"/>
        <v>660.34448999999938</v>
      </c>
      <c r="R1141">
        <f t="shared" si="287"/>
        <v>642.62448999999935</v>
      </c>
      <c r="S1141">
        <f t="shared" si="288"/>
        <v>12140.179470000001</v>
      </c>
      <c r="U1141">
        <f t="shared" si="275"/>
        <v>8.1120940000000008</v>
      </c>
      <c r="V1141">
        <f t="shared" si="289"/>
        <v>1649.9999196000001</v>
      </c>
      <c r="W1141">
        <f t="shared" si="276"/>
        <v>94.911499799999916</v>
      </c>
      <c r="X1141">
        <f t="shared" si="277"/>
        <v>3.3949113390000001</v>
      </c>
      <c r="Y1141">
        <f t="shared" si="278"/>
        <v>91.516588460999913</v>
      </c>
      <c r="Z1141">
        <f t="shared" si="279"/>
        <v>22258.099366083981</v>
      </c>
      <c r="AB1141">
        <f t="shared" si="280"/>
        <v>11.314329000000001</v>
      </c>
      <c r="AC1141">
        <f t="shared" si="281"/>
        <v>2301.3345186000001</v>
      </c>
      <c r="AD1141">
        <f t="shared" si="282"/>
        <v>132.37764929999989</v>
      </c>
      <c r="AE1141">
        <f t="shared" si="283"/>
        <v>4.7350466865000005</v>
      </c>
      <c r="AF1141">
        <f t="shared" si="284"/>
        <v>127.64260261349989</v>
      </c>
      <c r="AG1141">
        <f t="shared" si="290"/>
        <v>23140.988007305961</v>
      </c>
      <c r="AH1141" t="b">
        <f t="shared" si="285"/>
        <v>1</v>
      </c>
    </row>
    <row r="1142" spans="4:34" hidden="1" x14ac:dyDescent="0.4">
      <c r="D1142" t="s">
        <v>60</v>
      </c>
      <c r="E1142" t="s">
        <v>37</v>
      </c>
      <c r="F1142" s="9">
        <v>45748.166666666664</v>
      </c>
      <c r="G1142">
        <v>2.1097999999999999</v>
      </c>
      <c r="H1142" s="9">
        <v>45750.666666666664</v>
      </c>
      <c r="I1142">
        <v>1.9682999999999999</v>
      </c>
      <c r="J1142" s="12">
        <v>1018.4</v>
      </c>
      <c r="K1142" s="12">
        <v>2148.63</v>
      </c>
      <c r="L1142">
        <v>3.11</v>
      </c>
      <c r="M1142">
        <v>-147.22</v>
      </c>
      <c r="N1142" s="13">
        <v>-6.8500000000000005E-2</v>
      </c>
      <c r="O1142" t="s">
        <v>57</v>
      </c>
      <c r="Q1142">
        <f t="shared" si="286"/>
        <v>-144.10359999999994</v>
      </c>
      <c r="R1142">
        <f t="shared" si="287"/>
        <v>-147.21359999999996</v>
      </c>
      <c r="S1142">
        <f t="shared" si="288"/>
        <v>2004.5167199999999</v>
      </c>
      <c r="U1142">
        <f t="shared" si="275"/>
        <v>782.06465100000003</v>
      </c>
      <c r="V1142">
        <f t="shared" si="289"/>
        <v>1650.0000006798</v>
      </c>
      <c r="W1142">
        <f t="shared" si="276"/>
        <v>-110.66214811649998</v>
      </c>
      <c r="X1142">
        <f t="shared" si="277"/>
        <v>3.1893378532431003</v>
      </c>
      <c r="Y1142">
        <f t="shared" si="278"/>
        <v>-113.85148596974308</v>
      </c>
      <c r="Z1142">
        <f t="shared" si="279"/>
        <v>22166.582777622982</v>
      </c>
      <c r="AB1142">
        <f t="shared" si="280"/>
        <v>1098.3620659999999</v>
      </c>
      <c r="AC1142">
        <f t="shared" si="281"/>
        <v>2317.3242868467996</v>
      </c>
      <c r="AD1142">
        <f t="shared" si="282"/>
        <v>-155.41823233899996</v>
      </c>
      <c r="AE1142">
        <f t="shared" si="283"/>
        <v>4.4792303413546</v>
      </c>
      <c r="AF1142">
        <f t="shared" si="284"/>
        <v>-159.89746268035455</v>
      </c>
      <c r="AG1142">
        <f t="shared" si="290"/>
        <v>23013.34540469246</v>
      </c>
      <c r="AH1142" t="b">
        <f t="shared" si="285"/>
        <v>1</v>
      </c>
    </row>
    <row r="1143" spans="4:34" hidden="1" x14ac:dyDescent="0.4">
      <c r="D1143" t="s">
        <v>59</v>
      </c>
      <c r="E1143" t="s">
        <v>37</v>
      </c>
      <c r="F1143" s="9">
        <v>45748.083333333336</v>
      </c>
      <c r="G1143" s="12">
        <v>82641.7</v>
      </c>
      <c r="H1143" s="9">
        <v>45750.583333333336</v>
      </c>
      <c r="I1143" s="12">
        <v>81932.009999999995</v>
      </c>
      <c r="J1143" s="12">
        <v>0.12295</v>
      </c>
      <c r="K1143" s="12">
        <v>10160.85</v>
      </c>
      <c r="L1143">
        <v>15.18</v>
      </c>
      <c r="M1143">
        <v>-102.43</v>
      </c>
      <c r="N1143" s="13">
        <v>-1.01E-2</v>
      </c>
      <c r="O1143" t="s">
        <v>57</v>
      </c>
      <c r="Q1143">
        <f t="shared" si="286"/>
        <v>-87.256385500000292</v>
      </c>
      <c r="R1143">
        <f t="shared" si="287"/>
        <v>-102.43638550000028</v>
      </c>
      <c r="S1143">
        <f t="shared" si="288"/>
        <v>10073.540629499999</v>
      </c>
      <c r="U1143">
        <f t="shared" si="275"/>
        <v>1.9966000000000001E-2</v>
      </c>
      <c r="V1143">
        <f t="shared" si="289"/>
        <v>1650.0241822</v>
      </c>
      <c r="W1143">
        <f t="shared" si="276"/>
        <v>-14.169670540000046</v>
      </c>
      <c r="X1143">
        <f t="shared" si="277"/>
        <v>3.2858786938600004</v>
      </c>
      <c r="Y1143">
        <f t="shared" si="278"/>
        <v>-17.455549233860047</v>
      </c>
      <c r="Z1143">
        <f t="shared" si="279"/>
        <v>22280.434263592724</v>
      </c>
      <c r="AB1143">
        <f t="shared" si="280"/>
        <v>2.8070000000000001E-2</v>
      </c>
      <c r="AC1143">
        <f t="shared" si="281"/>
        <v>2319.7525190000001</v>
      </c>
      <c r="AD1143">
        <f t="shared" si="282"/>
        <v>-19.920998300000065</v>
      </c>
      <c r="AE1143">
        <f t="shared" si="283"/>
        <v>4.6195840397000003</v>
      </c>
      <c r="AF1143">
        <f t="shared" si="284"/>
        <v>-24.540582339700066</v>
      </c>
      <c r="AG1143">
        <f t="shared" si="290"/>
        <v>23173.242867372814</v>
      </c>
      <c r="AH1143" t="b">
        <f t="shared" si="285"/>
        <v>1</v>
      </c>
    </row>
    <row r="1144" spans="4:34" hidden="1" x14ac:dyDescent="0.4">
      <c r="D1144" t="s">
        <v>43</v>
      </c>
      <c r="E1144" t="s">
        <v>37</v>
      </c>
      <c r="F1144" s="9">
        <v>45748.166666666664</v>
      </c>
      <c r="G1144">
        <v>2.3378000000000001</v>
      </c>
      <c r="H1144" s="9">
        <v>45750.166666666664</v>
      </c>
      <c r="I1144">
        <v>2.4348999999999998</v>
      </c>
      <c r="J1144" s="12">
        <v>730.2</v>
      </c>
      <c r="K1144" s="12">
        <v>1707.23</v>
      </c>
      <c r="L1144">
        <v>2.61</v>
      </c>
      <c r="M1144">
        <v>68.290000000000006</v>
      </c>
      <c r="N1144" s="13">
        <v>0.04</v>
      </c>
      <c r="O1144" t="s">
        <v>38</v>
      </c>
      <c r="Q1144">
        <f t="shared" si="286"/>
        <v>70.902419999999822</v>
      </c>
      <c r="R1144">
        <f t="shared" si="287"/>
        <v>68.292419999999822</v>
      </c>
      <c r="S1144">
        <f t="shared" si="288"/>
        <v>1777.96398</v>
      </c>
      <c r="U1144">
        <f t="shared" si="275"/>
        <v>705.79177000000004</v>
      </c>
      <c r="V1144">
        <f t="shared" si="289"/>
        <v>1649.9999999060001</v>
      </c>
      <c r="W1144">
        <f t="shared" si="276"/>
        <v>68.532380866999816</v>
      </c>
      <c r="X1144">
        <f t="shared" si="277"/>
        <v>3.3685323806790004</v>
      </c>
      <c r="Y1144">
        <f t="shared" si="278"/>
        <v>65.163848486320816</v>
      </c>
      <c r="Z1144">
        <f t="shared" si="279"/>
        <v>22297.889812826583</v>
      </c>
      <c r="AB1144">
        <f t="shared" si="280"/>
        <v>988.38772700000004</v>
      </c>
      <c r="AC1144">
        <f t="shared" si="281"/>
        <v>2310.6528281806004</v>
      </c>
      <c r="AD1144">
        <f t="shared" si="282"/>
        <v>95.972448291699749</v>
      </c>
      <c r="AE1144">
        <f t="shared" si="283"/>
        <v>4.7172781046529009</v>
      </c>
      <c r="AF1144">
        <f t="shared" si="284"/>
        <v>91.255170187046843</v>
      </c>
      <c r="AG1144">
        <f t="shared" si="290"/>
        <v>23197.783449712515</v>
      </c>
      <c r="AH1144" t="b">
        <f t="shared" si="285"/>
        <v>1</v>
      </c>
    </row>
    <row r="1145" spans="4:34" hidden="1" x14ac:dyDescent="0.4">
      <c r="D1145" t="s">
        <v>54</v>
      </c>
      <c r="E1145" t="s">
        <v>37</v>
      </c>
      <c r="F1145" s="9">
        <v>45748.166666666664</v>
      </c>
      <c r="G1145" s="12">
        <v>126.21</v>
      </c>
      <c r="H1145" s="9">
        <v>45750.166666666664</v>
      </c>
      <c r="I1145" s="12">
        <v>120.8</v>
      </c>
      <c r="J1145">
        <v>36.094999999999999</v>
      </c>
      <c r="K1145" s="12">
        <v>4555.63</v>
      </c>
      <c r="L1145">
        <v>6.69</v>
      </c>
      <c r="M1145">
        <v>-201.96</v>
      </c>
      <c r="N1145" s="13">
        <v>-4.4299999999999999E-2</v>
      </c>
      <c r="O1145" t="s">
        <v>38</v>
      </c>
      <c r="Q1145">
        <f t="shared" si="286"/>
        <v>-195.27394999999987</v>
      </c>
      <c r="R1145">
        <f t="shared" si="287"/>
        <v>-201.96394999999987</v>
      </c>
      <c r="S1145">
        <f t="shared" si="288"/>
        <v>4360.2759999999998</v>
      </c>
      <c r="U1145">
        <f t="shared" si="275"/>
        <v>13.073449</v>
      </c>
      <c r="V1145">
        <f t="shared" si="289"/>
        <v>1649.9999982899999</v>
      </c>
      <c r="W1145">
        <f t="shared" si="276"/>
        <v>-70.72735908999995</v>
      </c>
      <c r="X1145">
        <f t="shared" si="277"/>
        <v>3.2292726374900003</v>
      </c>
      <c r="Y1145">
        <f t="shared" si="278"/>
        <v>-73.956631727489949</v>
      </c>
      <c r="Z1145">
        <f t="shared" si="279"/>
        <v>22232.725964340261</v>
      </c>
      <c r="AB1145">
        <f t="shared" si="280"/>
        <v>18.390431</v>
      </c>
      <c r="AC1145">
        <f t="shared" si="281"/>
        <v>2321.0562965099998</v>
      </c>
      <c r="AD1145">
        <f t="shared" si="282"/>
        <v>-99.492231709999942</v>
      </c>
      <c r="AE1145">
        <f t="shared" si="283"/>
        <v>4.54262036131</v>
      </c>
      <c r="AF1145">
        <f t="shared" si="284"/>
        <v>-104.03485207130994</v>
      </c>
      <c r="AG1145">
        <f t="shared" si="290"/>
        <v>23106.528279525468</v>
      </c>
      <c r="AH1145" t="b">
        <f t="shared" si="285"/>
        <v>1</v>
      </c>
    </row>
    <row r="1146" spans="4:34" hidden="1" x14ac:dyDescent="0.4">
      <c r="D1146" t="s">
        <v>61</v>
      </c>
      <c r="E1146" t="s">
        <v>37</v>
      </c>
      <c r="F1146" s="9">
        <v>45748.166666666664</v>
      </c>
      <c r="G1146">
        <v>0.66979999999999995</v>
      </c>
      <c r="H1146" s="9">
        <v>45750.166666666664</v>
      </c>
      <c r="I1146">
        <v>0.65580000000000005</v>
      </c>
      <c r="J1146" s="12">
        <v>11752.6</v>
      </c>
      <c r="K1146" s="12">
        <v>7871.9</v>
      </c>
      <c r="L1146">
        <v>11.68</v>
      </c>
      <c r="M1146">
        <v>-176.22</v>
      </c>
      <c r="N1146" s="13">
        <v>-2.24E-2</v>
      </c>
      <c r="O1146" t="s">
        <v>38</v>
      </c>
      <c r="Q1146">
        <f t="shared" si="286"/>
        <v>-164.53639999999885</v>
      </c>
      <c r="R1146">
        <f t="shared" si="287"/>
        <v>-176.21639999999886</v>
      </c>
      <c r="S1146">
        <f t="shared" si="288"/>
        <v>7707.3550800000012</v>
      </c>
      <c r="U1146">
        <f t="shared" si="275"/>
        <v>2463.4219170000001</v>
      </c>
      <c r="V1146">
        <f t="shared" si="289"/>
        <v>1650.0000000066</v>
      </c>
      <c r="W1146">
        <f t="shared" si="276"/>
        <v>-34.487906837999759</v>
      </c>
      <c r="X1146">
        <f t="shared" si="277"/>
        <v>3.2655120931752006</v>
      </c>
      <c r="Y1146">
        <f t="shared" si="278"/>
        <v>-37.753418931174963</v>
      </c>
      <c r="Z1146">
        <f t="shared" si="279"/>
        <v>22306.682596067752</v>
      </c>
      <c r="AB1146">
        <f t="shared" si="280"/>
        <v>3473.2446540000001</v>
      </c>
      <c r="AC1146">
        <f t="shared" si="281"/>
        <v>2326.3792692491998</v>
      </c>
      <c r="AD1146">
        <f t="shared" si="282"/>
        <v>-48.625425155999658</v>
      </c>
      <c r="AE1146">
        <f t="shared" si="283"/>
        <v>4.6041331133424004</v>
      </c>
      <c r="AF1146">
        <f t="shared" si="284"/>
        <v>-53.229558269342057</v>
      </c>
      <c r="AG1146">
        <f t="shared" si="290"/>
        <v>23210.563131596777</v>
      </c>
      <c r="AH1146" t="b">
        <f t="shared" si="285"/>
        <v>1</v>
      </c>
    </row>
    <row r="1147" spans="4:34" hidden="1" x14ac:dyDescent="0.4">
      <c r="D1147" t="s">
        <v>50</v>
      </c>
      <c r="E1147" t="s">
        <v>37</v>
      </c>
      <c r="F1147" s="9">
        <v>45748.166666666664</v>
      </c>
      <c r="G1147" s="12">
        <v>227.3</v>
      </c>
      <c r="H1147" s="9">
        <v>45750.166666666664</v>
      </c>
      <c r="I1147" s="12">
        <v>218.1</v>
      </c>
      <c r="J1147">
        <v>50.7179</v>
      </c>
      <c r="K1147" s="12">
        <v>11528.19</v>
      </c>
      <c r="L1147">
        <v>16.940000000000001</v>
      </c>
      <c r="M1147">
        <v>-483.55</v>
      </c>
      <c r="N1147" s="13">
        <v>-4.19E-2</v>
      </c>
      <c r="O1147" t="s">
        <v>38</v>
      </c>
      <c r="Q1147">
        <f t="shared" si="286"/>
        <v>-466.60468000000088</v>
      </c>
      <c r="R1147">
        <f t="shared" si="287"/>
        <v>-483.54468000000088</v>
      </c>
      <c r="S1147">
        <f t="shared" si="288"/>
        <v>11061.573989999999</v>
      </c>
      <c r="U1147">
        <f t="shared" si="275"/>
        <v>7.2591289999999997</v>
      </c>
      <c r="V1147">
        <f t="shared" si="289"/>
        <v>1650.0000216999999</v>
      </c>
      <c r="W1147">
        <f t="shared" si="276"/>
        <v>-66.783986800000122</v>
      </c>
      <c r="X1147">
        <f t="shared" si="277"/>
        <v>3.2332160565999994</v>
      </c>
      <c r="Y1147">
        <f t="shared" si="278"/>
        <v>-70.017202856600122</v>
      </c>
      <c r="Z1147">
        <f t="shared" si="279"/>
        <v>22344.436014998926</v>
      </c>
      <c r="AB1147">
        <f t="shared" si="280"/>
        <v>10.278457</v>
      </c>
      <c r="AC1147">
        <f t="shared" si="281"/>
        <v>2336.2932761000002</v>
      </c>
      <c r="AD1147">
        <f t="shared" si="282"/>
        <v>-94.56180440000017</v>
      </c>
      <c r="AE1147">
        <f t="shared" si="283"/>
        <v>4.5780247477999998</v>
      </c>
      <c r="AF1147">
        <f t="shared" si="284"/>
        <v>-99.139829147800171</v>
      </c>
      <c r="AG1147">
        <f t="shared" si="290"/>
        <v>23263.792689866117</v>
      </c>
      <c r="AH1147" t="b">
        <f t="shared" si="285"/>
        <v>1</v>
      </c>
    </row>
    <row r="1148" spans="4:34" hidden="1" x14ac:dyDescent="0.4">
      <c r="D1148" t="s">
        <v>52</v>
      </c>
      <c r="E1148" t="s">
        <v>37</v>
      </c>
      <c r="F1148" s="9">
        <v>45748.083333333336</v>
      </c>
      <c r="G1148">
        <v>5.3209999999999997</v>
      </c>
      <c r="H1148" s="9">
        <v>45750.083333333336</v>
      </c>
      <c r="I1148">
        <v>5.1310000000000002</v>
      </c>
      <c r="J1148">
        <v>436</v>
      </c>
      <c r="K1148" s="12">
        <v>2319.98</v>
      </c>
      <c r="L1148">
        <v>3.42</v>
      </c>
      <c r="M1148">
        <v>-86.26</v>
      </c>
      <c r="N1148" s="13">
        <v>-3.7199999999999997E-2</v>
      </c>
      <c r="O1148" t="s">
        <v>38</v>
      </c>
      <c r="Q1148">
        <f t="shared" si="286"/>
        <v>-82.839999999999776</v>
      </c>
      <c r="R1148">
        <f t="shared" si="287"/>
        <v>-86.259999999999778</v>
      </c>
      <c r="S1148">
        <f t="shared" si="288"/>
        <v>2237.116</v>
      </c>
      <c r="U1148">
        <f t="shared" si="275"/>
        <v>310.09208799999999</v>
      </c>
      <c r="V1148">
        <f t="shared" si="289"/>
        <v>1650.0000002479999</v>
      </c>
      <c r="W1148">
        <f t="shared" si="276"/>
        <v>-58.917496719999846</v>
      </c>
      <c r="X1148">
        <f t="shared" si="277"/>
        <v>3.2410825037759996</v>
      </c>
      <c r="Y1148">
        <f t="shared" si="278"/>
        <v>-62.158579223775845</v>
      </c>
      <c r="Z1148">
        <f t="shared" si="279"/>
        <v>22414.453217855527</v>
      </c>
      <c r="AB1148">
        <f t="shared" si="280"/>
        <v>440.73064900000003</v>
      </c>
      <c r="AC1148">
        <f t="shared" si="281"/>
        <v>2345.1277833290001</v>
      </c>
      <c r="AD1148">
        <f t="shared" si="282"/>
        <v>-83.738823309999788</v>
      </c>
      <c r="AE1148">
        <f t="shared" si="283"/>
        <v>4.6065167433480001</v>
      </c>
      <c r="AF1148">
        <f t="shared" si="284"/>
        <v>-88.345340053347783</v>
      </c>
      <c r="AG1148">
        <f t="shared" si="290"/>
        <v>23362.932519013917</v>
      </c>
      <c r="AH1148" t="b">
        <f t="shared" si="285"/>
        <v>1</v>
      </c>
    </row>
    <row r="1149" spans="4:34" hidden="1" x14ac:dyDescent="0.4">
      <c r="D1149" t="s">
        <v>48</v>
      </c>
      <c r="E1149" t="s">
        <v>37</v>
      </c>
      <c r="F1149" s="9">
        <v>45748.083333333336</v>
      </c>
      <c r="G1149">
        <v>0.16439999999999999</v>
      </c>
      <c r="H1149" s="9">
        <v>45750.083333333336</v>
      </c>
      <c r="I1149">
        <v>0.14460000000000001</v>
      </c>
      <c r="J1149" s="12">
        <v>16941.3</v>
      </c>
      <c r="K1149" s="12">
        <v>2785.16</v>
      </c>
      <c r="L1149">
        <v>3.93</v>
      </c>
      <c r="M1149">
        <v>-339.36</v>
      </c>
      <c r="N1149" s="13">
        <v>-0.12180000000000001</v>
      </c>
      <c r="O1149" t="s">
        <v>38</v>
      </c>
      <c r="Q1149">
        <f t="shared" si="286"/>
        <v>-335.43773999999974</v>
      </c>
      <c r="R1149">
        <f t="shared" si="287"/>
        <v>-339.36773999999974</v>
      </c>
      <c r="S1149">
        <f t="shared" si="288"/>
        <v>2449.71198</v>
      </c>
      <c r="U1149">
        <f t="shared" si="275"/>
        <v>10036.496349999999</v>
      </c>
      <c r="V1149">
        <f t="shared" si="289"/>
        <v>1649.9999999399997</v>
      </c>
      <c r="W1149">
        <f t="shared" si="276"/>
        <v>-198.72262772999983</v>
      </c>
      <c r="X1149">
        <f t="shared" si="277"/>
        <v>3.1012773721500002</v>
      </c>
      <c r="Y1149">
        <f t="shared" si="278"/>
        <v>-201.82390510214984</v>
      </c>
      <c r="Z1149">
        <f t="shared" si="279"/>
        <v>22476.611797079302</v>
      </c>
      <c r="AB1149">
        <f t="shared" si="280"/>
        <v>14441.411313000001</v>
      </c>
      <c r="AC1149">
        <f t="shared" si="281"/>
        <v>2374.1680198571999</v>
      </c>
      <c r="AD1149">
        <f t="shared" si="282"/>
        <v>-285.93994399739978</v>
      </c>
      <c r="AE1149">
        <f t="shared" si="283"/>
        <v>4.4623960957170006</v>
      </c>
      <c r="AF1149">
        <f t="shared" si="284"/>
        <v>-290.40234009311678</v>
      </c>
      <c r="AG1149">
        <f t="shared" si="290"/>
        <v>23451.277859067264</v>
      </c>
      <c r="AH1149" t="b">
        <f t="shared" si="285"/>
        <v>1</v>
      </c>
    </row>
    <row r="1150" spans="4:34" hidden="1" x14ac:dyDescent="0.4">
      <c r="D1150" t="s">
        <v>55</v>
      </c>
      <c r="E1150" t="s">
        <v>37</v>
      </c>
      <c r="F1150" s="9">
        <v>45748.083333333336</v>
      </c>
      <c r="G1150">
        <v>6.0069999999999999E-5</v>
      </c>
      <c r="H1150" s="9">
        <v>45750.083333333336</v>
      </c>
      <c r="I1150">
        <v>6.05E-5</v>
      </c>
      <c r="J1150" s="12">
        <v>97983658.870000005</v>
      </c>
      <c r="K1150" s="12">
        <v>5885.88</v>
      </c>
      <c r="L1150">
        <v>8.86</v>
      </c>
      <c r="M1150">
        <v>33.270000000000003</v>
      </c>
      <c r="N1150" s="13">
        <v>5.7000000000000002E-3</v>
      </c>
      <c r="O1150" t="s">
        <v>38</v>
      </c>
      <c r="Q1150">
        <f t="shared" si="286"/>
        <v>42.132973314100099</v>
      </c>
      <c r="R1150">
        <f t="shared" si="287"/>
        <v>33.272973314100099</v>
      </c>
      <c r="S1150">
        <f t="shared" si="288"/>
        <v>5928.011361635</v>
      </c>
      <c r="U1150">
        <f t="shared" si="275"/>
        <v>27467954.053603999</v>
      </c>
      <c r="V1150">
        <f t="shared" si="289"/>
        <v>1649.9999999999923</v>
      </c>
      <c r="W1150">
        <f t="shared" si="276"/>
        <v>11.811220243049746</v>
      </c>
      <c r="X1150">
        <f t="shared" si="277"/>
        <v>3.3118112202430341</v>
      </c>
      <c r="Y1150">
        <f t="shared" si="278"/>
        <v>8.499409022806713</v>
      </c>
      <c r="Z1150">
        <f t="shared" si="279"/>
        <v>22678.43570218145</v>
      </c>
      <c r="AB1150">
        <f t="shared" si="280"/>
        <v>39503007.796667002</v>
      </c>
      <c r="AC1150">
        <f t="shared" si="281"/>
        <v>2372.9456783457867</v>
      </c>
      <c r="AD1150">
        <f t="shared" si="282"/>
        <v>16.98629335256685</v>
      </c>
      <c r="AE1150">
        <f t="shared" si="283"/>
        <v>4.7628776500441408</v>
      </c>
      <c r="AF1150">
        <f t="shared" si="284"/>
        <v>12.223415702522709</v>
      </c>
      <c r="AG1150">
        <f t="shared" si="290"/>
        <v>23741.680199160382</v>
      </c>
      <c r="AH1150" t="b">
        <f t="shared" si="285"/>
        <v>1</v>
      </c>
    </row>
    <row r="1151" spans="4:34" hidden="1" x14ac:dyDescent="0.4">
      <c r="D1151" t="s">
        <v>53</v>
      </c>
      <c r="E1151" t="s">
        <v>37</v>
      </c>
      <c r="F1151" s="9">
        <v>45748.083333333336</v>
      </c>
      <c r="G1151">
        <v>607</v>
      </c>
      <c r="H1151" s="9">
        <v>45750.083333333336</v>
      </c>
      <c r="I1151">
        <v>596.76</v>
      </c>
      <c r="J1151">
        <v>14.986000000000001</v>
      </c>
      <c r="K1151" s="12">
        <v>9096.99</v>
      </c>
      <c r="L1151">
        <v>13.53</v>
      </c>
      <c r="M1151">
        <v>-166.99</v>
      </c>
      <c r="N1151" s="13">
        <v>-1.84E-2</v>
      </c>
      <c r="O1151" t="s">
        <v>38</v>
      </c>
      <c r="Q1151">
        <f t="shared" si="286"/>
        <v>-153.45664000000014</v>
      </c>
      <c r="R1151">
        <f t="shared" si="287"/>
        <v>-166.98664000000014</v>
      </c>
      <c r="S1151">
        <f t="shared" si="288"/>
        <v>8943.0453600000001</v>
      </c>
      <c r="U1151">
        <f t="shared" si="275"/>
        <v>2.7182870000000001</v>
      </c>
      <c r="V1151">
        <f t="shared" si="289"/>
        <v>1650.000209</v>
      </c>
      <c r="W1151">
        <f t="shared" si="276"/>
        <v>-27.835258880000026</v>
      </c>
      <c r="X1151">
        <f t="shared" si="277"/>
        <v>3.2721651591200001</v>
      </c>
      <c r="Y1151">
        <f t="shared" si="278"/>
        <v>-31.107424039120026</v>
      </c>
      <c r="Z1151">
        <f t="shared" si="279"/>
        <v>22669.936293158644</v>
      </c>
      <c r="AB1151">
        <f t="shared" si="280"/>
        <v>3.9166850000000002</v>
      </c>
      <c r="AC1151">
        <f t="shared" si="281"/>
        <v>2377.4277950000001</v>
      </c>
      <c r="AD1151">
        <f t="shared" si="282"/>
        <v>-40.106854400000039</v>
      </c>
      <c r="AE1151">
        <f t="shared" si="283"/>
        <v>4.7147487355999997</v>
      </c>
      <c r="AF1151">
        <f t="shared" si="284"/>
        <v>-44.821603135600036</v>
      </c>
      <c r="AG1151">
        <f t="shared" si="290"/>
        <v>23729.456783457859</v>
      </c>
      <c r="AH1151" t="b">
        <f t="shared" si="285"/>
        <v>1</v>
      </c>
    </row>
    <row r="1152" spans="4:34" hidden="1" x14ac:dyDescent="0.4">
      <c r="D1152" t="s">
        <v>56</v>
      </c>
      <c r="E1152" t="s">
        <v>37</v>
      </c>
      <c r="F1152" s="9">
        <v>45748.083333333336</v>
      </c>
      <c r="G1152" s="12">
        <v>1831.78</v>
      </c>
      <c r="H1152" s="9">
        <v>45750</v>
      </c>
      <c r="I1152" s="12">
        <v>1790.32</v>
      </c>
      <c r="J1152">
        <v>2.8191999999999999</v>
      </c>
      <c r="K1152" s="12">
        <v>5164.24</v>
      </c>
      <c r="L1152">
        <v>7.66</v>
      </c>
      <c r="M1152">
        <v>-124.56</v>
      </c>
      <c r="N1152" s="13">
        <v>-2.41E-2</v>
      </c>
      <c r="O1152" t="s">
        <v>49</v>
      </c>
      <c r="Q1152">
        <f t="shared" si="286"/>
        <v>-116.8840320000001</v>
      </c>
      <c r="R1152">
        <f t="shared" si="287"/>
        <v>-124.5440320000001</v>
      </c>
      <c r="S1152">
        <f t="shared" si="288"/>
        <v>5047.2701440000001</v>
      </c>
      <c r="U1152">
        <f t="shared" si="275"/>
        <v>0.90076299999999998</v>
      </c>
      <c r="V1152">
        <f t="shared" si="289"/>
        <v>1649.9996481399999</v>
      </c>
      <c r="W1152">
        <f t="shared" si="276"/>
        <v>-37.345633980000031</v>
      </c>
      <c r="X1152">
        <f t="shared" si="277"/>
        <v>3.2626536623</v>
      </c>
      <c r="Y1152">
        <f t="shared" si="278"/>
        <v>-40.608287642300027</v>
      </c>
      <c r="Z1152">
        <f t="shared" si="279"/>
        <v>22701.043717197765</v>
      </c>
      <c r="AB1152">
        <f t="shared" si="280"/>
        <v>1.3010809999999999</v>
      </c>
      <c r="AC1152">
        <f t="shared" si="281"/>
        <v>2383.2941541799996</v>
      </c>
      <c r="AD1152">
        <f t="shared" si="282"/>
        <v>-53.942818260000045</v>
      </c>
      <c r="AE1152">
        <f t="shared" si="283"/>
        <v>4.7126454900999999</v>
      </c>
      <c r="AF1152">
        <f t="shared" si="284"/>
        <v>-58.655463750100047</v>
      </c>
      <c r="AG1152">
        <f t="shared" si="290"/>
        <v>23774.278386593458</v>
      </c>
      <c r="AH1152" t="b">
        <f t="shared" si="285"/>
        <v>1</v>
      </c>
    </row>
    <row r="1153" spans="4:34" hidden="1" x14ac:dyDescent="0.4">
      <c r="D1153" t="s">
        <v>43</v>
      </c>
      <c r="E1153" t="s">
        <v>37</v>
      </c>
      <c r="F1153" s="9">
        <v>45743.875</v>
      </c>
      <c r="G1153">
        <v>2.7852999999999999</v>
      </c>
      <c r="H1153" s="9">
        <v>45745.875</v>
      </c>
      <c r="I1153">
        <v>2.2656999999999998</v>
      </c>
      <c r="J1153">
        <v>624.6</v>
      </c>
      <c r="K1153" s="12">
        <v>1739.92</v>
      </c>
      <c r="L1153">
        <v>2.37</v>
      </c>
      <c r="M1153" s="12">
        <v>-326.91000000000003</v>
      </c>
      <c r="N1153" s="13">
        <v>-0.18790000000000001</v>
      </c>
      <c r="O1153" t="s">
        <v>38</v>
      </c>
      <c r="Q1153">
        <f t="shared" si="286"/>
        <v>-324.54216000000002</v>
      </c>
      <c r="R1153">
        <f t="shared" si="287"/>
        <v>-326.91216000000003</v>
      </c>
      <c r="S1153">
        <f t="shared" si="288"/>
        <v>1415.1562199999998</v>
      </c>
      <c r="U1153">
        <f t="shared" si="275"/>
        <v>592.39579200000003</v>
      </c>
      <c r="V1153">
        <f t="shared" si="289"/>
        <v>1649.9999994576001</v>
      </c>
      <c r="W1153">
        <f t="shared" si="276"/>
        <v>-307.80885352320007</v>
      </c>
      <c r="X1153">
        <f t="shared" si="277"/>
        <v>2.9921911453920003</v>
      </c>
      <c r="Y1153">
        <f t="shared" si="278"/>
        <v>-310.80104466859206</v>
      </c>
      <c r="Z1153">
        <f t="shared" si="279"/>
        <v>22741.652004840063</v>
      </c>
      <c r="AB1153">
        <f t="shared" si="280"/>
        <v>872.09563400000002</v>
      </c>
      <c r="AC1153">
        <f t="shared" si="281"/>
        <v>2429.0479693801999</v>
      </c>
      <c r="AD1153">
        <f t="shared" si="282"/>
        <v>-453.14089142640006</v>
      </c>
      <c r="AE1153">
        <f t="shared" si="283"/>
        <v>4.404955047334</v>
      </c>
      <c r="AF1153">
        <f t="shared" si="284"/>
        <v>-457.54584647373406</v>
      </c>
      <c r="AG1153">
        <f t="shared" si="290"/>
        <v>23832.933850343557</v>
      </c>
      <c r="AH1153" t="b">
        <f t="shared" si="285"/>
        <v>1</v>
      </c>
    </row>
    <row r="1154" spans="4:34" hidden="1" x14ac:dyDescent="0.4">
      <c r="D1154" t="s">
        <v>53</v>
      </c>
      <c r="E1154" t="s">
        <v>37</v>
      </c>
      <c r="F1154" s="9">
        <v>45743.291666666664</v>
      </c>
      <c r="G1154" s="12">
        <v>634.38</v>
      </c>
      <c r="H1154" s="9">
        <v>45745.291666666664</v>
      </c>
      <c r="I1154" s="12">
        <v>607.32000000000005</v>
      </c>
      <c r="J1154">
        <v>14.403</v>
      </c>
      <c r="K1154" s="12">
        <v>9137.31</v>
      </c>
      <c r="L1154">
        <v>13.41</v>
      </c>
      <c r="M1154">
        <v>-403.16</v>
      </c>
      <c r="N1154" s="13">
        <v>-4.41E-2</v>
      </c>
      <c r="O1154" t="s">
        <v>38</v>
      </c>
      <c r="Q1154">
        <f t="shared" si="286"/>
        <v>-389.74517999999921</v>
      </c>
      <c r="R1154">
        <f t="shared" si="287"/>
        <v>-403.15517999999923</v>
      </c>
      <c r="S1154">
        <f t="shared" si="288"/>
        <v>8747.2299600000006</v>
      </c>
      <c r="U1154">
        <f t="shared" si="275"/>
        <v>2.600965</v>
      </c>
      <c r="V1154">
        <f t="shared" si="289"/>
        <v>1650.0001766999999</v>
      </c>
      <c r="W1154">
        <f t="shared" si="276"/>
        <v>-70.382112899999854</v>
      </c>
      <c r="X1154">
        <f t="shared" si="277"/>
        <v>3.2296182405000002</v>
      </c>
      <c r="Y1154">
        <f t="shared" si="278"/>
        <v>-73.611731140499856</v>
      </c>
      <c r="Z1154">
        <f t="shared" si="279"/>
        <v>23052.453049508655</v>
      </c>
      <c r="AB1154">
        <f t="shared" si="280"/>
        <v>3.8461699999999999</v>
      </c>
      <c r="AC1154">
        <f t="shared" si="281"/>
        <v>2439.9333246000001</v>
      </c>
      <c r="AD1154">
        <f t="shared" si="282"/>
        <v>-104.07736019999979</v>
      </c>
      <c r="AE1154">
        <f t="shared" si="283"/>
        <v>4.7757892889999995</v>
      </c>
      <c r="AF1154">
        <f t="shared" si="284"/>
        <v>-108.85314948899979</v>
      </c>
      <c r="AG1154">
        <f t="shared" si="290"/>
        <v>24290.479696817292</v>
      </c>
      <c r="AH1154" t="b">
        <f t="shared" si="285"/>
        <v>1</v>
      </c>
    </row>
    <row r="1155" spans="4:34" hidden="1" x14ac:dyDescent="0.4">
      <c r="D1155" t="s">
        <v>55</v>
      </c>
      <c r="E1155" t="s">
        <v>37</v>
      </c>
      <c r="F1155" s="9">
        <v>45742.875</v>
      </c>
      <c r="G1155">
        <v>6.6340000000000005E-5</v>
      </c>
      <c r="H1155" s="9">
        <v>45744.875</v>
      </c>
      <c r="I1155">
        <v>6.1400000000000002E-5</v>
      </c>
      <c r="J1155" s="12">
        <v>89401556.659999996</v>
      </c>
      <c r="K1155" s="12">
        <v>5930.9</v>
      </c>
      <c r="L1155">
        <v>8.57</v>
      </c>
      <c r="M1155">
        <v>-450.21</v>
      </c>
      <c r="N1155" s="13">
        <v>-7.5899999999999995E-2</v>
      </c>
      <c r="O1155" t="s">
        <v>38</v>
      </c>
      <c r="Q1155">
        <f t="shared" si="286"/>
        <v>-441.64368990040032</v>
      </c>
      <c r="R1155">
        <f t="shared" si="287"/>
        <v>-450.21368990040031</v>
      </c>
      <c r="S1155">
        <f t="shared" si="288"/>
        <v>5489.2555789239996</v>
      </c>
      <c r="U1155">
        <f t="shared" si="275"/>
        <v>24871872.173650999</v>
      </c>
      <c r="V1155">
        <f t="shared" si="289"/>
        <v>1650.0000000000073</v>
      </c>
      <c r="W1155">
        <f t="shared" si="276"/>
        <v>-122.86704853783603</v>
      </c>
      <c r="X1155">
        <f t="shared" si="277"/>
        <v>3.1771329514621787</v>
      </c>
      <c r="Y1155">
        <f t="shared" si="278"/>
        <v>-126.04418148929821</v>
      </c>
      <c r="Z1155">
        <f t="shared" si="279"/>
        <v>23126.064780649154</v>
      </c>
      <c r="AB1155">
        <f t="shared" si="280"/>
        <v>37062338.16691</v>
      </c>
      <c r="AC1155">
        <f t="shared" si="281"/>
        <v>2458.7155139928095</v>
      </c>
      <c r="AD1155">
        <f t="shared" si="282"/>
        <v>-183.08795054453554</v>
      </c>
      <c r="AE1155">
        <f t="shared" si="283"/>
        <v>4.7343430774410837</v>
      </c>
      <c r="AF1155">
        <f t="shared" si="284"/>
        <v>-187.82229362197663</v>
      </c>
      <c r="AG1155">
        <f t="shared" si="290"/>
        <v>24399.332846306294</v>
      </c>
      <c r="AH1155" t="b">
        <f t="shared" si="285"/>
        <v>1</v>
      </c>
    </row>
    <row r="1156" spans="4:34" hidden="1" x14ac:dyDescent="0.4">
      <c r="D1156" t="s">
        <v>58</v>
      </c>
      <c r="E1156" t="s">
        <v>37</v>
      </c>
      <c r="F1156" s="9">
        <v>45742.208333333336</v>
      </c>
      <c r="G1156">
        <v>15.51</v>
      </c>
      <c r="H1156" s="9">
        <v>45744.208333333336</v>
      </c>
      <c r="I1156">
        <v>14.89</v>
      </c>
      <c r="J1156" s="12">
        <v>447.42</v>
      </c>
      <c r="K1156" s="12">
        <v>6939.56</v>
      </c>
      <c r="L1156">
        <v>10.199999999999999</v>
      </c>
      <c r="M1156">
        <v>-287.60000000000002</v>
      </c>
      <c r="N1156" s="13">
        <v>-4.1399999999999999E-2</v>
      </c>
      <c r="O1156" t="s">
        <v>38</v>
      </c>
      <c r="Q1156">
        <f t="shared" si="286"/>
        <v>-277.40039999999965</v>
      </c>
      <c r="R1156">
        <f t="shared" si="287"/>
        <v>-287.60039999999964</v>
      </c>
      <c r="S1156">
        <f t="shared" si="288"/>
        <v>6662.0838000000003</v>
      </c>
      <c r="U1156">
        <f t="shared" si="275"/>
        <v>106.38297900000001</v>
      </c>
      <c r="V1156">
        <f t="shared" si="289"/>
        <v>1650.0000042900001</v>
      </c>
      <c r="W1156">
        <f t="shared" si="276"/>
        <v>-65.957446979999915</v>
      </c>
      <c r="X1156">
        <f t="shared" si="277"/>
        <v>3.2340425616000004</v>
      </c>
      <c r="Y1156">
        <f t="shared" si="278"/>
        <v>-69.191489541599921</v>
      </c>
      <c r="Z1156">
        <f t="shared" si="279"/>
        <v>23252.108962138453</v>
      </c>
      <c r="AB1156">
        <f t="shared" si="280"/>
        <v>159.192093</v>
      </c>
      <c r="AC1156">
        <f t="shared" si="281"/>
        <v>2469.0693624300002</v>
      </c>
      <c r="AD1156">
        <f t="shared" si="282"/>
        <v>-98.699097659999879</v>
      </c>
      <c r="AE1156">
        <f t="shared" si="283"/>
        <v>4.8394396272</v>
      </c>
      <c r="AF1156">
        <f t="shared" si="284"/>
        <v>-103.53853728719987</v>
      </c>
      <c r="AG1156">
        <f t="shared" si="290"/>
        <v>24587.155139928269</v>
      </c>
      <c r="AH1156" t="b">
        <f t="shared" si="285"/>
        <v>1</v>
      </c>
    </row>
    <row r="1157" spans="4:34" hidden="1" x14ac:dyDescent="0.4">
      <c r="D1157" t="s">
        <v>50</v>
      </c>
      <c r="E1157" t="s">
        <v>37</v>
      </c>
      <c r="F1157" s="9">
        <v>45742.208333333336</v>
      </c>
      <c r="G1157">
        <v>269.2</v>
      </c>
      <c r="H1157" s="9">
        <v>45744.208333333336</v>
      </c>
      <c r="I1157">
        <v>258.10000000000002</v>
      </c>
      <c r="J1157">
        <v>43.0075</v>
      </c>
      <c r="K1157" s="12">
        <v>11577.63</v>
      </c>
      <c r="L1157">
        <v>17.010000000000002</v>
      </c>
      <c r="M1157">
        <v>-494.39</v>
      </c>
      <c r="N1157" s="13">
        <v>-4.2700000000000002E-2</v>
      </c>
      <c r="O1157" t="s">
        <v>38</v>
      </c>
      <c r="Q1157">
        <f t="shared" si="286"/>
        <v>-477.38324999999855</v>
      </c>
      <c r="R1157">
        <f t="shared" si="287"/>
        <v>-494.39324999999855</v>
      </c>
      <c r="S1157">
        <f t="shared" si="288"/>
        <v>11100.235750000002</v>
      </c>
      <c r="U1157">
        <f t="shared" si="275"/>
        <v>6.1292720000000003</v>
      </c>
      <c r="V1157">
        <f t="shared" si="289"/>
        <v>1650.0000224</v>
      </c>
      <c r="W1157">
        <f t="shared" si="276"/>
        <v>-68.034919199999791</v>
      </c>
      <c r="X1157">
        <f t="shared" si="277"/>
        <v>3.2319651255999999</v>
      </c>
      <c r="Y1157">
        <f t="shared" si="278"/>
        <v>-71.26688432559979</v>
      </c>
      <c r="Z1157">
        <f t="shared" si="279"/>
        <v>23321.300451680054</v>
      </c>
      <c r="AB1157">
        <f t="shared" si="280"/>
        <v>9.2116640000000007</v>
      </c>
      <c r="AC1157">
        <f t="shared" si="281"/>
        <v>2479.7799488000001</v>
      </c>
      <c r="AD1157">
        <f t="shared" si="282"/>
        <v>-102.24947039999969</v>
      </c>
      <c r="AE1157">
        <f t="shared" si="283"/>
        <v>4.8573104272000007</v>
      </c>
      <c r="AF1157">
        <f t="shared" si="284"/>
        <v>-107.1067808271997</v>
      </c>
      <c r="AG1157">
        <f t="shared" si="290"/>
        <v>24690.69367721547</v>
      </c>
      <c r="AH1157" t="b">
        <f t="shared" si="285"/>
        <v>1</v>
      </c>
    </row>
    <row r="1158" spans="4:34" hidden="1" x14ac:dyDescent="0.4">
      <c r="D1158" t="s">
        <v>60</v>
      </c>
      <c r="E1158" t="s">
        <v>37</v>
      </c>
      <c r="F1158" s="9">
        <v>45741.583333333336</v>
      </c>
      <c r="G1158" s="12">
        <v>2.4411</v>
      </c>
      <c r="H1158" s="9">
        <v>45744.083333333336</v>
      </c>
      <c r="I1158" s="12">
        <v>2.3285</v>
      </c>
      <c r="J1158">
        <v>884.3</v>
      </c>
      <c r="K1158" s="12">
        <v>2158.9</v>
      </c>
      <c r="L1158">
        <v>3.16</v>
      </c>
      <c r="M1158">
        <v>-102.74</v>
      </c>
      <c r="N1158" s="13">
        <v>-4.7600000000000003E-2</v>
      </c>
      <c r="O1158" t="s">
        <v>57</v>
      </c>
      <c r="Q1158">
        <f t="shared" si="286"/>
        <v>-99.572180000000031</v>
      </c>
      <c r="R1158">
        <f t="shared" si="287"/>
        <v>-102.73218000000003</v>
      </c>
      <c r="S1158">
        <f t="shared" si="288"/>
        <v>2059.0925499999998</v>
      </c>
      <c r="U1158">
        <f t="shared" si="275"/>
        <v>675.92478800000004</v>
      </c>
      <c r="V1158">
        <f t="shared" si="289"/>
        <v>1649.9999999868</v>
      </c>
      <c r="W1158">
        <f t="shared" si="276"/>
        <v>-76.10913112880003</v>
      </c>
      <c r="X1158">
        <f t="shared" si="277"/>
        <v>3.2238908688448005</v>
      </c>
      <c r="Y1158">
        <f t="shared" si="278"/>
        <v>-79.333021997644835</v>
      </c>
      <c r="Z1158">
        <f t="shared" si="279"/>
        <v>23392.567336005653</v>
      </c>
      <c r="AB1158">
        <f t="shared" si="280"/>
        <v>1020.753179</v>
      </c>
      <c r="AC1158">
        <f t="shared" si="281"/>
        <v>2491.7605852569</v>
      </c>
      <c r="AD1158">
        <f t="shared" si="282"/>
        <v>-114.93680795540004</v>
      </c>
      <c r="AE1158">
        <f t="shared" si="283"/>
        <v>4.8685843625584004</v>
      </c>
      <c r="AF1158">
        <f t="shared" si="284"/>
        <v>-119.80539231795844</v>
      </c>
      <c r="AG1158">
        <f t="shared" si="290"/>
        <v>24797.800458042668</v>
      </c>
      <c r="AH1158" t="b">
        <f t="shared" si="285"/>
        <v>1</v>
      </c>
    </row>
    <row r="1159" spans="4:34" hidden="1" x14ac:dyDescent="0.4">
      <c r="D1159" t="s">
        <v>59</v>
      </c>
      <c r="E1159" t="s">
        <v>37</v>
      </c>
      <c r="F1159" s="9">
        <v>45741.583333333336</v>
      </c>
      <c r="G1159" s="12">
        <v>87617.98</v>
      </c>
      <c r="H1159" s="9">
        <v>45744.083333333336</v>
      </c>
      <c r="I1159" s="12">
        <v>87223.11</v>
      </c>
      <c r="J1159">
        <v>0.11602999999999999</v>
      </c>
      <c r="K1159" s="12">
        <v>10166.950000000001</v>
      </c>
      <c r="L1159">
        <v>15.22</v>
      </c>
      <c r="M1159">
        <v>-61.03</v>
      </c>
      <c r="N1159" s="13">
        <v>-6.0000000000000001E-3</v>
      </c>
      <c r="O1159" t="s">
        <v>57</v>
      </c>
      <c r="Q1159">
        <f t="shared" si="286"/>
        <v>-45.816766099999455</v>
      </c>
      <c r="R1159">
        <f t="shared" si="287"/>
        <v>-61.036766099999454</v>
      </c>
      <c r="S1159">
        <f t="shared" si="288"/>
        <v>10120.4974533</v>
      </c>
      <c r="U1159">
        <f t="shared" si="275"/>
        <v>1.8832000000000002E-2</v>
      </c>
      <c r="V1159">
        <f t="shared" si="289"/>
        <v>1650.0217993600002</v>
      </c>
      <c r="W1159">
        <f t="shared" si="276"/>
        <v>-7.4361918399999132</v>
      </c>
      <c r="X1159">
        <f t="shared" si="277"/>
        <v>3.2926074068800006</v>
      </c>
      <c r="Y1159">
        <f t="shared" si="278"/>
        <v>-10.728799246879914</v>
      </c>
      <c r="Z1159">
        <f t="shared" si="279"/>
        <v>23471.900358003299</v>
      </c>
      <c r="AB1159">
        <f t="shared" si="280"/>
        <v>2.8457E-2</v>
      </c>
      <c r="AC1159">
        <f t="shared" si="281"/>
        <v>2493.3448568599997</v>
      </c>
      <c r="AD1159">
        <f t="shared" si="282"/>
        <v>-11.236815589999868</v>
      </c>
      <c r="AE1159">
        <f t="shared" si="283"/>
        <v>4.9754528981300004</v>
      </c>
      <c r="AF1159">
        <f t="shared" si="284"/>
        <v>-16.212268488129869</v>
      </c>
      <c r="AG1159">
        <f t="shared" si="290"/>
        <v>24917.605850360625</v>
      </c>
      <c r="AH1159" t="b">
        <f t="shared" si="285"/>
        <v>1</v>
      </c>
    </row>
    <row r="1160" spans="4:34" hidden="1" x14ac:dyDescent="0.4">
      <c r="D1160" t="s">
        <v>54</v>
      </c>
      <c r="E1160" t="s">
        <v>37</v>
      </c>
      <c r="F1160" s="9">
        <v>45742.041666666664</v>
      </c>
      <c r="G1160">
        <v>144.19999999999999</v>
      </c>
      <c r="H1160" s="9">
        <v>45744.041666666664</v>
      </c>
      <c r="I1160">
        <v>137.82</v>
      </c>
      <c r="J1160">
        <v>31.736999999999998</v>
      </c>
      <c r="K1160" s="12">
        <v>4576.55</v>
      </c>
      <c r="L1160">
        <v>6.71</v>
      </c>
      <c r="M1160">
        <v>-209.19</v>
      </c>
      <c r="N1160" s="13">
        <v>-4.5699999999999998E-2</v>
      </c>
      <c r="O1160" t="s">
        <v>38</v>
      </c>
      <c r="Q1160">
        <f t="shared" si="286"/>
        <v>-202.48205999999985</v>
      </c>
      <c r="R1160">
        <f t="shared" si="287"/>
        <v>-209.19205999999986</v>
      </c>
      <c r="S1160">
        <f t="shared" si="288"/>
        <v>4373.99334</v>
      </c>
      <c r="U1160">
        <f t="shared" si="275"/>
        <v>11.442441000000001</v>
      </c>
      <c r="V1160">
        <f t="shared" si="289"/>
        <v>1649.9999922</v>
      </c>
      <c r="W1160">
        <f t="shared" si="276"/>
        <v>-73.002773579999953</v>
      </c>
      <c r="X1160">
        <f t="shared" si="277"/>
        <v>3.22699721082</v>
      </c>
      <c r="Y1160">
        <f t="shared" si="278"/>
        <v>-76.229770790819956</v>
      </c>
      <c r="Z1160">
        <f t="shared" si="279"/>
        <v>23482.62915725018</v>
      </c>
      <c r="AB1160">
        <f t="shared" si="280"/>
        <v>17.371392</v>
      </c>
      <c r="AC1160">
        <f t="shared" si="281"/>
        <v>2504.9547263999998</v>
      </c>
      <c r="AD1160">
        <f t="shared" si="282"/>
        <v>-110.82948095999993</v>
      </c>
      <c r="AE1160">
        <f t="shared" si="283"/>
        <v>4.89907997184</v>
      </c>
      <c r="AF1160">
        <f t="shared" si="284"/>
        <v>-115.72856093183992</v>
      </c>
      <c r="AG1160">
        <f t="shared" si="290"/>
        <v>24933.818118848754</v>
      </c>
      <c r="AH1160" t="b">
        <f t="shared" si="285"/>
        <v>1</v>
      </c>
    </row>
    <row r="1161" spans="4:34" hidden="1" x14ac:dyDescent="0.4">
      <c r="D1161" t="s">
        <v>43</v>
      </c>
      <c r="E1161" t="s">
        <v>37</v>
      </c>
      <c r="F1161" s="9">
        <v>45741.833333333336</v>
      </c>
      <c r="G1161">
        <v>2.4645999999999999</v>
      </c>
      <c r="H1161" s="9">
        <v>45743.833333333336</v>
      </c>
      <c r="I1161">
        <v>2.7652999999999999</v>
      </c>
      <c r="J1161">
        <v>697.5</v>
      </c>
      <c r="K1161" s="12">
        <v>1719.22</v>
      </c>
      <c r="L1161">
        <v>2.74</v>
      </c>
      <c r="M1161">
        <v>207</v>
      </c>
      <c r="N1161" s="13">
        <v>0.12039999999999999</v>
      </c>
      <c r="O1161" t="s">
        <v>38</v>
      </c>
      <c r="Q1161">
        <f t="shared" si="286"/>
        <v>209.73824999999997</v>
      </c>
      <c r="R1161">
        <f t="shared" si="287"/>
        <v>206.99824999999996</v>
      </c>
      <c r="S1161">
        <f t="shared" si="288"/>
        <v>1928.79675</v>
      </c>
      <c r="U1161">
        <f t="shared" si="275"/>
        <v>669.47983399999998</v>
      </c>
      <c r="V1161">
        <f t="shared" si="289"/>
        <v>1649.9999988763998</v>
      </c>
      <c r="W1161">
        <f t="shared" si="276"/>
        <v>201.31258608379997</v>
      </c>
      <c r="X1161">
        <f t="shared" si="277"/>
        <v>3.5013125838365999</v>
      </c>
      <c r="Y1161">
        <f t="shared" si="278"/>
        <v>197.81127349996336</v>
      </c>
      <c r="Z1161">
        <f t="shared" si="279"/>
        <v>23558.858928040998</v>
      </c>
      <c r="AB1161">
        <f t="shared" si="280"/>
        <v>1004.333208</v>
      </c>
      <c r="AC1161">
        <f t="shared" si="281"/>
        <v>2475.2796244368001</v>
      </c>
      <c r="AD1161">
        <f t="shared" si="282"/>
        <v>302.00299564559998</v>
      </c>
      <c r="AE1161">
        <f t="shared" si="283"/>
        <v>5.2525622445191997</v>
      </c>
      <c r="AF1161">
        <f t="shared" si="284"/>
        <v>296.75043340108078</v>
      </c>
      <c r="AG1161">
        <f t="shared" si="290"/>
        <v>25049.546679780593</v>
      </c>
      <c r="AH1161" t="b">
        <f t="shared" si="285"/>
        <v>1</v>
      </c>
    </row>
    <row r="1162" spans="4:34" hidden="1" x14ac:dyDescent="0.4">
      <c r="D1162" t="s">
        <v>48</v>
      </c>
      <c r="E1162" t="s">
        <v>37</v>
      </c>
      <c r="F1162" s="9">
        <v>45741.041666666664</v>
      </c>
      <c r="G1162">
        <v>0.20880000000000001</v>
      </c>
      <c r="H1162" s="9">
        <v>45743.041666666664</v>
      </c>
      <c r="I1162">
        <v>0.2072</v>
      </c>
      <c r="J1162" s="12">
        <v>13351.1</v>
      </c>
      <c r="K1162" s="12">
        <v>2787.71</v>
      </c>
      <c r="L1162">
        <v>4.17</v>
      </c>
      <c r="M1162">
        <v>-25.53</v>
      </c>
      <c r="N1162" s="13">
        <v>-9.1999999999999998E-3</v>
      </c>
      <c r="O1162" t="s">
        <v>38</v>
      </c>
      <c r="Q1162">
        <f t="shared" si="286"/>
        <v>-21.361760000000242</v>
      </c>
      <c r="R1162">
        <f t="shared" si="287"/>
        <v>-25.53176000000024</v>
      </c>
      <c r="S1162">
        <f t="shared" si="288"/>
        <v>2766.3479200000002</v>
      </c>
      <c r="U1162">
        <f t="shared" si="275"/>
        <v>7902.2988509999996</v>
      </c>
      <c r="V1162">
        <f t="shared" si="289"/>
        <v>1650.0000000888001</v>
      </c>
      <c r="W1162">
        <f t="shared" si="276"/>
        <v>-12.643678161600143</v>
      </c>
      <c r="X1162">
        <f t="shared" si="277"/>
        <v>3.287356322016</v>
      </c>
      <c r="Y1162">
        <f t="shared" si="278"/>
        <v>-15.931034483616143</v>
      </c>
      <c r="Z1162">
        <f t="shared" si="279"/>
        <v>23361.047654541035</v>
      </c>
      <c r="AB1162">
        <f t="shared" si="280"/>
        <v>11866.244538000001</v>
      </c>
      <c r="AC1162">
        <f t="shared" si="281"/>
        <v>2477.6718595344005</v>
      </c>
      <c r="AD1162">
        <f t="shared" si="282"/>
        <v>-18.985991260800215</v>
      </c>
      <c r="AE1162">
        <f t="shared" si="283"/>
        <v>4.9363577278080006</v>
      </c>
      <c r="AF1162">
        <f t="shared" si="284"/>
        <v>-23.922348988608217</v>
      </c>
      <c r="AG1162">
        <f t="shared" si="290"/>
        <v>24752.796246379512</v>
      </c>
      <c r="AH1162" t="b">
        <f t="shared" si="285"/>
        <v>1</v>
      </c>
    </row>
    <row r="1163" spans="4:34" hidden="1" x14ac:dyDescent="0.4">
      <c r="D1163" t="s">
        <v>61</v>
      </c>
      <c r="E1163" t="s">
        <v>37</v>
      </c>
      <c r="F1163" s="9">
        <v>45741.041666666664</v>
      </c>
      <c r="G1163">
        <v>0.73780000000000001</v>
      </c>
      <c r="H1163" s="9">
        <v>45743.041666666664</v>
      </c>
      <c r="I1163">
        <v>0.73480000000000001</v>
      </c>
      <c r="J1163" s="12">
        <v>10675.3</v>
      </c>
      <c r="K1163" s="12">
        <v>7876.29</v>
      </c>
      <c r="L1163">
        <v>11.79</v>
      </c>
      <c r="M1163">
        <v>-43.82</v>
      </c>
      <c r="N1163" s="13">
        <v>-5.5999999999999999E-3</v>
      </c>
      <c r="O1163" t="s">
        <v>38</v>
      </c>
      <c r="Q1163">
        <f t="shared" si="286"/>
        <v>-32.025900000000028</v>
      </c>
      <c r="R1163">
        <f t="shared" si="287"/>
        <v>-43.815900000000028</v>
      </c>
      <c r="S1163">
        <f t="shared" si="288"/>
        <v>7844.2104399999998</v>
      </c>
      <c r="U1163">
        <f t="shared" si="275"/>
        <v>2236.3784219999998</v>
      </c>
      <c r="V1163">
        <f t="shared" si="289"/>
        <v>1649.9999997515999</v>
      </c>
      <c r="W1163">
        <f t="shared" si="276"/>
        <v>-6.709135266000005</v>
      </c>
      <c r="X1163">
        <f t="shared" si="277"/>
        <v>3.2932908642371994</v>
      </c>
      <c r="Y1163">
        <f t="shared" si="278"/>
        <v>-10.002426130237204</v>
      </c>
      <c r="Z1163">
        <f t="shared" si="279"/>
        <v>23376.978689024651</v>
      </c>
      <c r="AB1163">
        <f t="shared" si="280"/>
        <v>3360.2260150000002</v>
      </c>
      <c r="AC1163">
        <f t="shared" si="281"/>
        <v>2479.1747538670002</v>
      </c>
      <c r="AD1163">
        <f t="shared" si="282"/>
        <v>-10.08067804500001</v>
      </c>
      <c r="AE1163">
        <f t="shared" si="283"/>
        <v>4.9482688296889998</v>
      </c>
      <c r="AF1163">
        <f t="shared" si="284"/>
        <v>-15.028946874689009</v>
      </c>
      <c r="AG1163">
        <f t="shared" si="290"/>
        <v>24776.718595368122</v>
      </c>
      <c r="AH1163" t="b">
        <f t="shared" si="285"/>
        <v>1</v>
      </c>
    </row>
    <row r="1164" spans="4:34" hidden="1" x14ac:dyDescent="0.4">
      <c r="D1164" t="s">
        <v>56</v>
      </c>
      <c r="E1164" t="s">
        <v>37</v>
      </c>
      <c r="F1164" s="9">
        <v>45741.291666666664</v>
      </c>
      <c r="G1164" s="12">
        <v>2056.35</v>
      </c>
      <c r="H1164" s="9">
        <v>45742.625</v>
      </c>
      <c r="I1164" s="12">
        <v>2023.05</v>
      </c>
      <c r="J1164">
        <v>2.5158</v>
      </c>
      <c r="K1164" s="12">
        <v>5173.3900000000003</v>
      </c>
      <c r="L1164">
        <v>7.7</v>
      </c>
      <c r="M1164">
        <v>-91.47</v>
      </c>
      <c r="N1164" s="13">
        <v>-1.77E-2</v>
      </c>
      <c r="O1164" t="s">
        <v>49</v>
      </c>
      <c r="Q1164">
        <f t="shared" si="286"/>
        <v>-83.776139999999884</v>
      </c>
      <c r="R1164">
        <f t="shared" si="287"/>
        <v>-91.476139999999887</v>
      </c>
      <c r="S1164">
        <f t="shared" si="288"/>
        <v>5089.5891899999997</v>
      </c>
      <c r="U1164">
        <f t="shared" si="275"/>
        <v>0.80239300000000002</v>
      </c>
      <c r="V1164">
        <f t="shared" si="289"/>
        <v>1650.0008455499999</v>
      </c>
      <c r="W1164">
        <f t="shared" si="276"/>
        <v>-26.719686899999964</v>
      </c>
      <c r="X1164">
        <f t="shared" si="277"/>
        <v>3.2732820041999999</v>
      </c>
      <c r="Y1164">
        <f t="shared" si="278"/>
        <v>-29.992968904199962</v>
      </c>
      <c r="Z1164">
        <f t="shared" si="279"/>
        <v>23386.981115154889</v>
      </c>
      <c r="AB1164">
        <f t="shared" si="280"/>
        <v>1.2078150000000001</v>
      </c>
      <c r="AC1164">
        <f t="shared" si="281"/>
        <v>2483.6903752500002</v>
      </c>
      <c r="AD1164">
        <f t="shared" si="282"/>
        <v>-40.220239499999948</v>
      </c>
      <c r="AE1164">
        <f t="shared" si="283"/>
        <v>4.9271605110000003</v>
      </c>
      <c r="AF1164">
        <f t="shared" si="284"/>
        <v>-45.147400010999945</v>
      </c>
      <c r="AG1164">
        <f t="shared" si="290"/>
        <v>24791.747542242811</v>
      </c>
      <c r="AH1164" t="b">
        <f t="shared" si="285"/>
        <v>1</v>
      </c>
    </row>
    <row r="1165" spans="4:34" hidden="1" x14ac:dyDescent="0.4">
      <c r="D1165" t="s">
        <v>55</v>
      </c>
      <c r="E1165" t="s">
        <v>37</v>
      </c>
      <c r="F1165" s="9">
        <v>45740.541666666664</v>
      </c>
      <c r="G1165">
        <v>6.5469999999999995E-5</v>
      </c>
      <c r="H1165" s="9">
        <v>45742.541666666664</v>
      </c>
      <c r="I1165">
        <v>6.7769999999999997E-5</v>
      </c>
      <c r="J1165" s="12">
        <v>90286171.969999999</v>
      </c>
      <c r="K1165" s="12">
        <v>5911.04</v>
      </c>
      <c r="L1165">
        <v>9.02</v>
      </c>
      <c r="M1165">
        <v>198.64</v>
      </c>
      <c r="N1165" s="13">
        <v>3.3599999999999998E-2</v>
      </c>
      <c r="O1165" t="s">
        <v>38</v>
      </c>
      <c r="Q1165">
        <f t="shared" si="286"/>
        <v>207.65819553100016</v>
      </c>
      <c r="R1165">
        <f t="shared" si="287"/>
        <v>198.63819553100015</v>
      </c>
      <c r="S1165">
        <f t="shared" si="288"/>
        <v>6118.6938744068993</v>
      </c>
      <c r="U1165">
        <f t="shared" ref="U1165:U1228" si="291">ROUND(($Q$2)/G1165,6)</f>
        <v>25202382.770734999</v>
      </c>
      <c r="V1165">
        <f t="shared" si="289"/>
        <v>1650.0000000000202</v>
      </c>
      <c r="W1165">
        <f t="shared" ref="W1165:W1228" si="292">U1165*(I1165-G1165)</f>
        <v>57.965480372690543</v>
      </c>
      <c r="X1165">
        <f t="shared" ref="X1165:X1228" si="293">(G1165+I1165)*$R$2*U1165</f>
        <v>3.357965480372731</v>
      </c>
      <c r="Y1165">
        <f t="shared" ref="Y1165:Y1228" si="294">W1165-X1165</f>
        <v>54.607514892317809</v>
      </c>
      <c r="Z1165">
        <f t="shared" ref="Z1165:Z1228" si="295">Z1166+Y1165</f>
        <v>23416.974084059089</v>
      </c>
      <c r="AB1165">
        <f t="shared" ref="AB1165:AB1228" si="296">ROUND(((AH1165*AG1166 +(1-AH1165)*AI1165)/$P$2)/G1165,6)</f>
        <v>37811161.189300999</v>
      </c>
      <c r="AC1165">
        <f t="shared" ref="AC1165:AC1228" si="297">AB1165*G1165</f>
        <v>2475.4967230635361</v>
      </c>
      <c r="AD1165">
        <f t="shared" ref="AD1165:AD1228" si="298">AB1165*(I1165-G1165)</f>
        <v>86.965670735392365</v>
      </c>
      <c r="AE1165">
        <f t="shared" ref="AE1165:AE1228" si="299">(G1165+I1165)*$R$2*AB1165</f>
        <v>5.0379591168624644</v>
      </c>
      <c r="AF1165">
        <f t="shared" ref="AF1165:AF1228" si="300">AD1165-AE1165</f>
        <v>81.927711618529898</v>
      </c>
      <c r="AG1165">
        <f t="shared" si="290"/>
        <v>24836.89494225381</v>
      </c>
      <c r="AH1165" t="b">
        <f t="shared" ref="AH1165:AH1228" si="301">ISBLANK(AI1165)</f>
        <v>1</v>
      </c>
    </row>
    <row r="1166" spans="4:34" hidden="1" x14ac:dyDescent="0.4">
      <c r="D1166" t="s">
        <v>52</v>
      </c>
      <c r="E1166" t="s">
        <v>37</v>
      </c>
      <c r="F1166" s="9">
        <v>45740.375</v>
      </c>
      <c r="G1166">
        <v>6.048</v>
      </c>
      <c r="H1166" s="9">
        <v>45742.375</v>
      </c>
      <c r="I1166">
        <v>6.3150000000000004</v>
      </c>
      <c r="J1166" s="12">
        <v>381.96</v>
      </c>
      <c r="K1166" s="12">
        <v>2310.13</v>
      </c>
      <c r="L1166">
        <v>3.54</v>
      </c>
      <c r="M1166">
        <v>98.44</v>
      </c>
      <c r="N1166" s="13">
        <v>4.2599999999999999E-2</v>
      </c>
      <c r="O1166" t="s">
        <v>38</v>
      </c>
      <c r="Q1166">
        <f t="shared" ref="Q1166:Q1229" si="302">(I1166-G1166)*J1166</f>
        <v>101.98332000000013</v>
      </c>
      <c r="R1166">
        <f t="shared" ref="R1166:R1229" si="303">Q1166-L1166</f>
        <v>98.443320000000128</v>
      </c>
      <c r="S1166">
        <f t="shared" ref="S1166:S1229" si="304">I1166*J1166</f>
        <v>2412.0774000000001</v>
      </c>
      <c r="U1166">
        <f t="shared" si="291"/>
        <v>272.81745999999998</v>
      </c>
      <c r="V1166">
        <f t="shared" ref="V1166:V1229" si="305">U1166*G1166</f>
        <v>1649.9999980799998</v>
      </c>
      <c r="W1166">
        <f t="shared" si="292"/>
        <v>72.84226182000009</v>
      </c>
      <c r="X1166">
        <f t="shared" si="293"/>
        <v>3.3728422579799995</v>
      </c>
      <c r="Y1166">
        <f t="shared" si="294"/>
        <v>69.469419562020093</v>
      </c>
      <c r="Z1166">
        <f t="shared" si="295"/>
        <v>23362.36656916677</v>
      </c>
      <c r="AB1166">
        <f t="shared" si="296"/>
        <v>407.59224799999998</v>
      </c>
      <c r="AC1166">
        <f t="shared" si="297"/>
        <v>2465.1179159039998</v>
      </c>
      <c r="AD1166">
        <f t="shared" si="298"/>
        <v>108.82713021600014</v>
      </c>
      <c r="AE1166">
        <f t="shared" si="299"/>
        <v>5.0390629620239995</v>
      </c>
      <c r="AF1166">
        <f t="shared" si="300"/>
        <v>103.78806725397614</v>
      </c>
      <c r="AG1166">
        <f t="shared" si="290"/>
        <v>24754.96723063528</v>
      </c>
      <c r="AH1166" t="b">
        <f t="shared" si="301"/>
        <v>1</v>
      </c>
    </row>
    <row r="1167" spans="4:34" hidden="1" x14ac:dyDescent="0.4">
      <c r="D1167" t="s">
        <v>53</v>
      </c>
      <c r="E1167" t="s">
        <v>37</v>
      </c>
      <c r="F1167" s="9">
        <v>45740.166666666664</v>
      </c>
      <c r="G1167" s="12">
        <v>623.22</v>
      </c>
      <c r="H1167" s="9">
        <v>45742.166666666664</v>
      </c>
      <c r="I1167" s="12">
        <v>628.37</v>
      </c>
      <c r="J1167">
        <v>14.651</v>
      </c>
      <c r="K1167" s="12">
        <v>9131.14</v>
      </c>
      <c r="L1167">
        <v>13.75</v>
      </c>
      <c r="M1167">
        <v>61.7</v>
      </c>
      <c r="N1167" s="13">
        <v>6.7999999999999996E-3</v>
      </c>
      <c r="O1167" t="s">
        <v>38</v>
      </c>
      <c r="Q1167">
        <f t="shared" si="302"/>
        <v>75.452649999999664</v>
      </c>
      <c r="R1167">
        <f t="shared" si="303"/>
        <v>61.702649999999664</v>
      </c>
      <c r="S1167">
        <f t="shared" si="304"/>
        <v>9206.2488699999994</v>
      </c>
      <c r="U1167">
        <f t="shared" si="291"/>
        <v>2.6475399999999998</v>
      </c>
      <c r="V1167">
        <f t="shared" si="305"/>
        <v>1649.9998788</v>
      </c>
      <c r="W1167">
        <f t="shared" si="292"/>
        <v>13.634830999999938</v>
      </c>
      <c r="X1167">
        <f t="shared" si="293"/>
        <v>3.3136345886000003</v>
      </c>
      <c r="Y1167">
        <f t="shared" si="294"/>
        <v>10.321196411399939</v>
      </c>
      <c r="Z1167">
        <f t="shared" si="295"/>
        <v>23292.897149604749</v>
      </c>
      <c r="AB1167">
        <f t="shared" si="296"/>
        <v>3.9529809999999999</v>
      </c>
      <c r="AC1167">
        <f t="shared" si="297"/>
        <v>2463.57681882</v>
      </c>
      <c r="AD1167">
        <f t="shared" si="298"/>
        <v>20.357852149999911</v>
      </c>
      <c r="AE1167">
        <f t="shared" si="299"/>
        <v>4.947511489790001</v>
      </c>
      <c r="AF1167">
        <f t="shared" si="300"/>
        <v>15.41034066020991</v>
      </c>
      <c r="AG1167">
        <f t="shared" si="290"/>
        <v>24651.179163381305</v>
      </c>
      <c r="AH1167" t="b">
        <f t="shared" si="301"/>
        <v>1</v>
      </c>
    </row>
    <row r="1168" spans="4:34" hidden="1" x14ac:dyDescent="0.4">
      <c r="D1168" t="s">
        <v>58</v>
      </c>
      <c r="E1168" t="s">
        <v>37</v>
      </c>
      <c r="F1168" s="9">
        <v>45740.125</v>
      </c>
      <c r="G1168">
        <v>14.35</v>
      </c>
      <c r="H1168" s="9">
        <v>45742.125</v>
      </c>
      <c r="I1168">
        <v>15.32</v>
      </c>
      <c r="J1168">
        <v>480.41</v>
      </c>
      <c r="K1168" s="12">
        <v>6894.03</v>
      </c>
      <c r="L1168">
        <v>10.69</v>
      </c>
      <c r="M1168">
        <v>455.31</v>
      </c>
      <c r="N1168" s="13">
        <v>6.6000000000000003E-2</v>
      </c>
      <c r="O1168" t="s">
        <v>38</v>
      </c>
      <c r="Q1168">
        <f t="shared" si="302"/>
        <v>465.99770000000035</v>
      </c>
      <c r="R1168">
        <f t="shared" si="303"/>
        <v>455.30770000000035</v>
      </c>
      <c r="S1168">
        <f t="shared" si="304"/>
        <v>7359.8812000000007</v>
      </c>
      <c r="U1168">
        <f t="shared" si="291"/>
        <v>114.982578</v>
      </c>
      <c r="V1168">
        <f t="shared" si="305"/>
        <v>1649.9999943</v>
      </c>
      <c r="W1168">
        <f t="shared" si="292"/>
        <v>111.53310066000007</v>
      </c>
      <c r="X1168">
        <f t="shared" si="293"/>
        <v>3.4115330892600002</v>
      </c>
      <c r="Y1168">
        <f t="shared" si="294"/>
        <v>108.12156757074007</v>
      </c>
      <c r="Z1168">
        <f t="shared" si="295"/>
        <v>23282.575953193347</v>
      </c>
      <c r="AB1168">
        <f t="shared" si="296"/>
        <v>170.560181</v>
      </c>
      <c r="AC1168">
        <f t="shared" si="297"/>
        <v>2447.5385973500001</v>
      </c>
      <c r="AD1168">
        <f t="shared" si="298"/>
        <v>165.44337557000011</v>
      </c>
      <c r="AE1168">
        <f t="shared" si="299"/>
        <v>5.0605205702700005</v>
      </c>
      <c r="AF1168">
        <f t="shared" si="300"/>
        <v>160.38285499973011</v>
      </c>
      <c r="AG1168">
        <f t="shared" si="290"/>
        <v>24635.768822721093</v>
      </c>
      <c r="AH1168" t="b">
        <f t="shared" si="301"/>
        <v>1</v>
      </c>
    </row>
    <row r="1169" spans="4:34" hidden="1" x14ac:dyDescent="0.4">
      <c r="D1169" t="s">
        <v>50</v>
      </c>
      <c r="E1169" t="s">
        <v>37</v>
      </c>
      <c r="F1169" s="9">
        <v>45740.125</v>
      </c>
      <c r="G1169">
        <v>256.3</v>
      </c>
      <c r="H1169" s="9">
        <v>45742.125</v>
      </c>
      <c r="I1169">
        <v>266</v>
      </c>
      <c r="J1169" s="12">
        <v>45.008699999999997</v>
      </c>
      <c r="K1169" s="12">
        <v>11535.74</v>
      </c>
      <c r="L1169">
        <v>17.63</v>
      </c>
      <c r="M1169">
        <v>418.95</v>
      </c>
      <c r="N1169" s="13">
        <v>3.6299999999999999E-2</v>
      </c>
      <c r="O1169" t="s">
        <v>38</v>
      </c>
      <c r="Q1169">
        <f t="shared" si="302"/>
        <v>436.58438999999947</v>
      </c>
      <c r="R1169">
        <f t="shared" si="303"/>
        <v>418.95438999999948</v>
      </c>
      <c r="S1169">
        <f t="shared" si="304"/>
        <v>11972.314199999999</v>
      </c>
      <c r="U1169">
        <f t="shared" si="291"/>
        <v>6.4377680000000002</v>
      </c>
      <c r="V1169">
        <f t="shared" si="305"/>
        <v>1649.9999384</v>
      </c>
      <c r="W1169">
        <f t="shared" si="292"/>
        <v>62.446349599999927</v>
      </c>
      <c r="X1169">
        <f t="shared" si="293"/>
        <v>3.3624462263999999</v>
      </c>
      <c r="Y1169">
        <f t="shared" si="294"/>
        <v>59.083903373599924</v>
      </c>
      <c r="Z1169">
        <f t="shared" si="295"/>
        <v>23174.454385622608</v>
      </c>
      <c r="AB1169">
        <f t="shared" si="296"/>
        <v>9.5154340000000008</v>
      </c>
      <c r="AC1169">
        <f t="shared" si="297"/>
        <v>2438.8057342000002</v>
      </c>
      <c r="AD1169">
        <f t="shared" si="298"/>
        <v>92.299709799999903</v>
      </c>
      <c r="AE1169">
        <f t="shared" si="299"/>
        <v>4.9699111782000003</v>
      </c>
      <c r="AF1169">
        <f t="shared" si="300"/>
        <v>87.32979862179991</v>
      </c>
      <c r="AG1169">
        <f t="shared" si="290"/>
        <v>24475.385967721362</v>
      </c>
      <c r="AH1169" t="b">
        <f t="shared" si="301"/>
        <v>1</v>
      </c>
    </row>
    <row r="1170" spans="4:34" hidden="1" x14ac:dyDescent="0.4">
      <c r="D1170" t="s">
        <v>54</v>
      </c>
      <c r="E1170" t="s">
        <v>37</v>
      </c>
      <c r="F1170" s="9">
        <v>45739.916666666664</v>
      </c>
      <c r="G1170">
        <v>131.11000000000001</v>
      </c>
      <c r="H1170" s="9">
        <v>45741.916666666664</v>
      </c>
      <c r="I1170">
        <v>143.72999999999999</v>
      </c>
      <c r="J1170">
        <v>34.578000000000003</v>
      </c>
      <c r="K1170" s="12">
        <v>4533.62</v>
      </c>
      <c r="L1170">
        <v>7.13</v>
      </c>
      <c r="M1170">
        <v>429.25</v>
      </c>
      <c r="N1170" s="13">
        <v>9.4700000000000006E-2</v>
      </c>
      <c r="O1170" t="s">
        <v>38</v>
      </c>
      <c r="Q1170">
        <f t="shared" si="302"/>
        <v>436.37435999999923</v>
      </c>
      <c r="R1170">
        <f t="shared" si="303"/>
        <v>429.24435999999923</v>
      </c>
      <c r="S1170">
        <f t="shared" si="304"/>
        <v>4969.8959400000003</v>
      </c>
      <c r="U1170">
        <f t="shared" si="291"/>
        <v>12.584852</v>
      </c>
      <c r="V1170">
        <f t="shared" si="305"/>
        <v>1649.9999457200001</v>
      </c>
      <c r="W1170">
        <f t="shared" si="292"/>
        <v>158.8208322399997</v>
      </c>
      <c r="X1170">
        <f t="shared" si="293"/>
        <v>3.4588207236800002</v>
      </c>
      <c r="Y1170">
        <f t="shared" si="294"/>
        <v>155.36201151631971</v>
      </c>
      <c r="Z1170">
        <f t="shared" si="295"/>
        <v>23115.370482249007</v>
      </c>
      <c r="AB1170">
        <f t="shared" si="296"/>
        <v>18.427703999999999</v>
      </c>
      <c r="AC1170">
        <f t="shared" si="297"/>
        <v>2416.0562714400003</v>
      </c>
      <c r="AD1170">
        <f t="shared" si="298"/>
        <v>232.55762447999953</v>
      </c>
      <c r="AE1170">
        <f t="shared" si="299"/>
        <v>5.0646701673600001</v>
      </c>
      <c r="AF1170">
        <f t="shared" si="300"/>
        <v>227.49295431263954</v>
      </c>
      <c r="AG1170">
        <f t="shared" si="290"/>
        <v>24388.056169099564</v>
      </c>
      <c r="AH1170" t="b">
        <f t="shared" si="301"/>
        <v>1</v>
      </c>
    </row>
    <row r="1171" spans="4:34" hidden="1" x14ac:dyDescent="0.4">
      <c r="D1171" t="s">
        <v>43</v>
      </c>
      <c r="E1171" t="s">
        <v>37</v>
      </c>
      <c r="F1171" s="9">
        <v>45739.583333333336</v>
      </c>
      <c r="G1171">
        <v>2.2831999999999999</v>
      </c>
      <c r="H1171" s="9">
        <v>45741.583333333336</v>
      </c>
      <c r="I1171">
        <v>2.4222000000000001</v>
      </c>
      <c r="J1171">
        <v>748.5</v>
      </c>
      <c r="K1171" s="12">
        <v>1709.08</v>
      </c>
      <c r="L1171">
        <v>2.64</v>
      </c>
      <c r="M1171">
        <v>101.4</v>
      </c>
      <c r="N1171" s="13">
        <v>5.9299999999999999E-2</v>
      </c>
      <c r="O1171" t="s">
        <v>38</v>
      </c>
      <c r="Q1171">
        <f t="shared" si="302"/>
        <v>104.04150000000017</v>
      </c>
      <c r="R1171">
        <f t="shared" si="303"/>
        <v>101.40150000000017</v>
      </c>
      <c r="S1171">
        <f t="shared" si="304"/>
        <v>1813.0167000000001</v>
      </c>
      <c r="U1171">
        <f t="shared" si="291"/>
        <v>722.669937</v>
      </c>
      <c r="V1171">
        <f t="shared" si="305"/>
        <v>1650.0000001583999</v>
      </c>
      <c r="W1171">
        <f t="shared" si="292"/>
        <v>100.45112124300017</v>
      </c>
      <c r="X1171">
        <f t="shared" si="293"/>
        <v>3.4004511215598003</v>
      </c>
      <c r="Y1171">
        <f t="shared" si="294"/>
        <v>97.050670121440376</v>
      </c>
      <c r="Z1171">
        <f t="shared" si="295"/>
        <v>22960.008470732686</v>
      </c>
      <c r="AB1171">
        <f t="shared" si="296"/>
        <v>1052.000927</v>
      </c>
      <c r="AC1171">
        <f t="shared" si="297"/>
        <v>2401.9285165264</v>
      </c>
      <c r="AD1171">
        <f t="shared" si="298"/>
        <v>146.22812885300024</v>
      </c>
      <c r="AE1171">
        <f t="shared" si="299"/>
        <v>4.9500851619058004</v>
      </c>
      <c r="AF1171">
        <f t="shared" si="300"/>
        <v>141.27804369109444</v>
      </c>
      <c r="AG1171">
        <f t="shared" si="290"/>
        <v>24160.563214786926</v>
      </c>
      <c r="AH1171" t="b">
        <f t="shared" si="301"/>
        <v>1</v>
      </c>
    </row>
    <row r="1172" spans="4:34" hidden="1" x14ac:dyDescent="0.4">
      <c r="D1172" t="s">
        <v>60</v>
      </c>
      <c r="E1172" t="s">
        <v>37</v>
      </c>
      <c r="F1172" s="9">
        <v>45739.041666666664</v>
      </c>
      <c r="G1172">
        <v>2.3740999999999999</v>
      </c>
      <c r="H1172" s="9">
        <v>45741.541666666664</v>
      </c>
      <c r="I1172">
        <v>2.4319999999999999</v>
      </c>
      <c r="J1172">
        <v>907.2</v>
      </c>
      <c r="K1172" s="12">
        <v>2153.9699999999998</v>
      </c>
      <c r="L1172">
        <v>3.27</v>
      </c>
      <c r="M1172">
        <v>49.26</v>
      </c>
      <c r="N1172" s="13">
        <v>2.29E-2</v>
      </c>
      <c r="O1172" t="s">
        <v>57</v>
      </c>
      <c r="Q1172">
        <f t="shared" si="302"/>
        <v>52.526880000000062</v>
      </c>
      <c r="R1172">
        <f t="shared" si="303"/>
        <v>49.256880000000059</v>
      </c>
      <c r="S1172">
        <f t="shared" si="304"/>
        <v>2206.3103999999998</v>
      </c>
      <c r="U1172">
        <f t="shared" si="291"/>
        <v>695.00021100000004</v>
      </c>
      <c r="V1172">
        <f t="shared" si="305"/>
        <v>1650.0000009350999</v>
      </c>
      <c r="W1172">
        <f t="shared" si="292"/>
        <v>40.240512216900044</v>
      </c>
      <c r="X1172">
        <f t="shared" si="293"/>
        <v>3.3402405140871001</v>
      </c>
      <c r="Y1172">
        <f t="shared" si="294"/>
        <v>36.900271702812944</v>
      </c>
      <c r="Z1172">
        <f t="shared" si="295"/>
        <v>22862.957800611246</v>
      </c>
      <c r="AB1172">
        <f t="shared" si="296"/>
        <v>1009.464167</v>
      </c>
      <c r="AC1172">
        <f t="shared" si="297"/>
        <v>2396.5688788746997</v>
      </c>
      <c r="AD1172">
        <f t="shared" si="298"/>
        <v>58.447975269300059</v>
      </c>
      <c r="AE1172">
        <f t="shared" si="299"/>
        <v>4.8515857330187</v>
      </c>
      <c r="AF1172">
        <f t="shared" si="300"/>
        <v>53.596389536281357</v>
      </c>
      <c r="AG1172">
        <f t="shared" si="290"/>
        <v>24019.285171095831</v>
      </c>
      <c r="AH1172" t="b">
        <f t="shared" si="301"/>
        <v>1</v>
      </c>
    </row>
    <row r="1173" spans="4:34" hidden="1" x14ac:dyDescent="0.4">
      <c r="D1173" t="s">
        <v>59</v>
      </c>
      <c r="E1173" t="s">
        <v>37</v>
      </c>
      <c r="F1173" s="9">
        <v>45739.041666666664</v>
      </c>
      <c r="G1173" s="12">
        <v>83993.43</v>
      </c>
      <c r="H1173" s="9">
        <v>45741.541666666664</v>
      </c>
      <c r="I1173" s="12">
        <v>87099.13</v>
      </c>
      <c r="J1173">
        <v>0.12060999999999999</v>
      </c>
      <c r="K1173" s="12">
        <v>10131.040000000001</v>
      </c>
      <c r="L1173">
        <v>15.48</v>
      </c>
      <c r="M1173">
        <v>359.1</v>
      </c>
      <c r="N1173" s="13">
        <v>3.5400000000000001E-2</v>
      </c>
      <c r="O1173" t="s">
        <v>57</v>
      </c>
      <c r="Q1173">
        <f t="shared" si="302"/>
        <v>374.57847700000139</v>
      </c>
      <c r="R1173">
        <f t="shared" si="303"/>
        <v>359.09847700000137</v>
      </c>
      <c r="S1173">
        <f t="shared" si="304"/>
        <v>10505.0260693</v>
      </c>
      <c r="U1173">
        <f t="shared" si="291"/>
        <v>1.9643999999999998E-2</v>
      </c>
      <c r="V1173">
        <f t="shared" si="305"/>
        <v>1649.9669389199996</v>
      </c>
      <c r="W1173">
        <f t="shared" si="292"/>
        <v>61.008370800000222</v>
      </c>
      <c r="X1173">
        <f t="shared" si="293"/>
        <v>3.3609422486399994</v>
      </c>
      <c r="Y1173">
        <f t="shared" si="294"/>
        <v>57.647428551360221</v>
      </c>
      <c r="Z1173">
        <f t="shared" si="295"/>
        <v>22826.057528908434</v>
      </c>
      <c r="AB1173">
        <f t="shared" si="296"/>
        <v>2.8433E-2</v>
      </c>
      <c r="AC1173">
        <f t="shared" si="297"/>
        <v>2388.1851951899998</v>
      </c>
      <c r="AD1173">
        <f t="shared" si="298"/>
        <v>88.304368100000332</v>
      </c>
      <c r="AE1173">
        <f t="shared" si="299"/>
        <v>4.8646747584799996</v>
      </c>
      <c r="AF1173">
        <f t="shared" si="300"/>
        <v>83.439693341520325</v>
      </c>
      <c r="AG1173">
        <f t="shared" si="290"/>
        <v>23965.688781559551</v>
      </c>
      <c r="AH1173" t="b">
        <f t="shared" si="301"/>
        <v>1</v>
      </c>
    </row>
    <row r="1174" spans="4:34" hidden="1" x14ac:dyDescent="0.4">
      <c r="D1174" t="s">
        <v>56</v>
      </c>
      <c r="E1174" t="s">
        <v>37</v>
      </c>
      <c r="F1174" s="9">
        <v>45740.666666666664</v>
      </c>
      <c r="G1174" s="12">
        <v>2089.8000000000002</v>
      </c>
      <c r="H1174" s="9">
        <v>45741.166666666664</v>
      </c>
      <c r="I1174" s="12">
        <v>2056</v>
      </c>
      <c r="J1174">
        <v>2.4799000000000002</v>
      </c>
      <c r="K1174" s="12">
        <v>5182.54</v>
      </c>
      <c r="L1174">
        <v>7.71</v>
      </c>
      <c r="M1174">
        <v>-91.54</v>
      </c>
      <c r="N1174" s="13">
        <v>-1.77E-2</v>
      </c>
      <c r="O1174" t="s">
        <v>49</v>
      </c>
      <c r="Q1174">
        <f t="shared" si="302"/>
        <v>-83.82062000000046</v>
      </c>
      <c r="R1174">
        <f t="shared" si="303"/>
        <v>-91.530620000000454</v>
      </c>
      <c r="S1174">
        <f t="shared" si="304"/>
        <v>5098.6744000000008</v>
      </c>
      <c r="U1174">
        <f t="shared" si="291"/>
        <v>0.78954899999999995</v>
      </c>
      <c r="V1174">
        <f t="shared" si="305"/>
        <v>1649.9995002000001</v>
      </c>
      <c r="W1174">
        <f t="shared" si="292"/>
        <v>-26.686756200000143</v>
      </c>
      <c r="X1174">
        <f t="shared" si="293"/>
        <v>3.2733122442</v>
      </c>
      <c r="Y1174">
        <f t="shared" si="294"/>
        <v>-29.960068444200143</v>
      </c>
      <c r="Z1174">
        <f t="shared" si="295"/>
        <v>22768.410100357072</v>
      </c>
      <c r="AB1174">
        <f t="shared" si="296"/>
        <v>1.1448799999999999</v>
      </c>
      <c r="AC1174">
        <f t="shared" si="297"/>
        <v>2392.5702240000001</v>
      </c>
      <c r="AD1174">
        <f t="shared" si="298"/>
        <v>-38.696944000000208</v>
      </c>
      <c r="AE1174">
        <f t="shared" si="299"/>
        <v>4.7464435040000001</v>
      </c>
      <c r="AF1174">
        <f t="shared" si="300"/>
        <v>-43.443387504000206</v>
      </c>
      <c r="AG1174">
        <f t="shared" si="290"/>
        <v>23882.249088218032</v>
      </c>
      <c r="AH1174" t="b">
        <f t="shared" si="301"/>
        <v>1</v>
      </c>
    </row>
    <row r="1175" spans="4:34" hidden="1" x14ac:dyDescent="0.4">
      <c r="D1175" t="s">
        <v>48</v>
      </c>
      <c r="E1175" t="s">
        <v>37</v>
      </c>
      <c r="F1175" s="9">
        <v>45739.041666666664</v>
      </c>
      <c r="G1175">
        <v>0.20050000000000001</v>
      </c>
      <c r="H1175" s="9">
        <v>45741.041666666664</v>
      </c>
      <c r="I1175">
        <v>0.20880000000000001</v>
      </c>
      <c r="J1175" s="12">
        <v>13848.5</v>
      </c>
      <c r="K1175" s="12">
        <v>2776.64</v>
      </c>
      <c r="L1175">
        <v>4.25</v>
      </c>
      <c r="M1175">
        <v>110.69</v>
      </c>
      <c r="N1175" s="13">
        <v>3.9899999999999998E-2</v>
      </c>
      <c r="O1175" t="s">
        <v>38</v>
      </c>
      <c r="Q1175">
        <f t="shared" si="302"/>
        <v>114.94255000000003</v>
      </c>
      <c r="R1175">
        <f t="shared" si="303"/>
        <v>110.69255000000003</v>
      </c>
      <c r="S1175">
        <f t="shared" si="304"/>
        <v>2891.5668000000001</v>
      </c>
      <c r="U1175">
        <f t="shared" si="291"/>
        <v>8229.4264340000009</v>
      </c>
      <c r="V1175">
        <f t="shared" si="305"/>
        <v>1650.0000000170003</v>
      </c>
      <c r="W1175">
        <f t="shared" si="292"/>
        <v>68.304239402200025</v>
      </c>
      <c r="X1175">
        <f t="shared" si="293"/>
        <v>3.3683042394362004</v>
      </c>
      <c r="Y1175">
        <f t="shared" si="294"/>
        <v>64.935935162763826</v>
      </c>
      <c r="Z1175">
        <f t="shared" si="295"/>
        <v>22798.370168801273</v>
      </c>
      <c r="AB1175">
        <f t="shared" si="296"/>
        <v>11886.235291000001</v>
      </c>
      <c r="AC1175">
        <f t="shared" si="297"/>
        <v>2383.1901758455001</v>
      </c>
      <c r="AD1175">
        <f t="shared" si="298"/>
        <v>98.655752915300027</v>
      </c>
      <c r="AE1175">
        <f t="shared" si="299"/>
        <v>4.8650361046063004</v>
      </c>
      <c r="AF1175">
        <f t="shared" si="300"/>
        <v>93.790716810693723</v>
      </c>
      <c r="AG1175">
        <f t="shared" si="290"/>
        <v>23925.692475722033</v>
      </c>
      <c r="AH1175" t="b">
        <f t="shared" si="301"/>
        <v>1</v>
      </c>
    </row>
    <row r="1176" spans="4:34" hidden="1" x14ac:dyDescent="0.4">
      <c r="D1176" t="s">
        <v>61</v>
      </c>
      <c r="E1176" t="s">
        <v>37</v>
      </c>
      <c r="F1176" s="9">
        <v>45739.041666666664</v>
      </c>
      <c r="G1176">
        <v>0.70279999999999998</v>
      </c>
      <c r="H1176" s="9">
        <v>45741.041666666664</v>
      </c>
      <c r="I1176">
        <v>0.73780000000000001</v>
      </c>
      <c r="J1176" s="12">
        <v>11153.1</v>
      </c>
      <c r="K1176" s="12">
        <v>7838.45</v>
      </c>
      <c r="L1176">
        <v>12.05</v>
      </c>
      <c r="M1176">
        <v>378.31</v>
      </c>
      <c r="N1176" s="13">
        <v>4.8300000000000003E-2</v>
      </c>
      <c r="O1176" t="s">
        <v>38</v>
      </c>
      <c r="Q1176">
        <f t="shared" si="302"/>
        <v>390.35850000000033</v>
      </c>
      <c r="R1176">
        <f t="shared" si="303"/>
        <v>378.30850000000032</v>
      </c>
      <c r="S1176">
        <f t="shared" si="304"/>
        <v>8228.7571800000005</v>
      </c>
      <c r="U1176">
        <f t="shared" si="291"/>
        <v>2347.7518500000001</v>
      </c>
      <c r="V1176">
        <f t="shared" si="305"/>
        <v>1650.0000001799999</v>
      </c>
      <c r="W1176">
        <f t="shared" si="292"/>
        <v>82.171314750000079</v>
      </c>
      <c r="X1176">
        <f t="shared" si="293"/>
        <v>3.3821713151100004</v>
      </c>
      <c r="Y1176">
        <f t="shared" si="294"/>
        <v>78.789143434890079</v>
      </c>
      <c r="Z1176">
        <f t="shared" si="295"/>
        <v>22733.434233638509</v>
      </c>
      <c r="AB1176">
        <f t="shared" si="296"/>
        <v>3374.8780419999998</v>
      </c>
      <c r="AC1176">
        <f t="shared" si="297"/>
        <v>2371.8642879176</v>
      </c>
      <c r="AD1176">
        <f t="shared" si="298"/>
        <v>118.12073147000009</v>
      </c>
      <c r="AE1176">
        <f t="shared" si="299"/>
        <v>4.8618493073051994</v>
      </c>
      <c r="AF1176">
        <f t="shared" si="300"/>
        <v>113.2588821626949</v>
      </c>
      <c r="AG1176">
        <f t="shared" si="290"/>
        <v>23831.901758911339</v>
      </c>
      <c r="AH1176" t="b">
        <f t="shared" si="301"/>
        <v>1</v>
      </c>
    </row>
    <row r="1177" spans="4:34" hidden="1" x14ac:dyDescent="0.4">
      <c r="D1177" t="s">
        <v>56</v>
      </c>
      <c r="E1177" t="s">
        <v>37</v>
      </c>
      <c r="F1177" s="9">
        <v>45738.041666666664</v>
      </c>
      <c r="G1177" s="12">
        <v>1979.95</v>
      </c>
      <c r="H1177" s="9">
        <v>45740.541666666664</v>
      </c>
      <c r="I1177" s="12">
        <v>2083.88</v>
      </c>
      <c r="J1177" s="12">
        <v>2.6042000000000001</v>
      </c>
      <c r="K1177" s="12">
        <v>5156.2700000000004</v>
      </c>
      <c r="L1177">
        <v>7.94</v>
      </c>
      <c r="M1177">
        <v>262.72000000000003</v>
      </c>
      <c r="N1177" s="13">
        <v>5.0999999999999997E-2</v>
      </c>
      <c r="O1177" t="s">
        <v>57</v>
      </c>
      <c r="Q1177">
        <f t="shared" si="302"/>
        <v>270.6545060000002</v>
      </c>
      <c r="R1177">
        <f t="shared" si="303"/>
        <v>262.7145060000002</v>
      </c>
      <c r="S1177">
        <f t="shared" si="304"/>
        <v>5426.8402960000003</v>
      </c>
      <c r="U1177">
        <f t="shared" si="291"/>
        <v>0.83335400000000004</v>
      </c>
      <c r="V1177">
        <f t="shared" si="305"/>
        <v>1649.9992523000001</v>
      </c>
      <c r="W1177">
        <f t="shared" si="292"/>
        <v>86.610481220000054</v>
      </c>
      <c r="X1177">
        <f t="shared" si="293"/>
        <v>3.3866089858200006</v>
      </c>
      <c r="Y1177">
        <f t="shared" si="294"/>
        <v>83.22387223418005</v>
      </c>
      <c r="Z1177">
        <f t="shared" si="295"/>
        <v>22654.645090203619</v>
      </c>
      <c r="AB1177">
        <f t="shared" si="296"/>
        <v>1.1919299999999999</v>
      </c>
      <c r="AC1177">
        <f t="shared" si="297"/>
        <v>2359.9618034999999</v>
      </c>
      <c r="AD1177">
        <f t="shared" si="298"/>
        <v>123.87728490000006</v>
      </c>
      <c r="AE1177">
        <f t="shared" si="299"/>
        <v>4.8438008919</v>
      </c>
      <c r="AF1177">
        <f t="shared" si="300"/>
        <v>119.03348400810006</v>
      </c>
      <c r="AG1177">
        <f t="shared" si="290"/>
        <v>23718.642876748643</v>
      </c>
      <c r="AH1177" t="b">
        <f t="shared" si="301"/>
        <v>1</v>
      </c>
    </row>
    <row r="1178" spans="4:34" hidden="1" x14ac:dyDescent="0.4">
      <c r="D1178" t="s">
        <v>52</v>
      </c>
      <c r="E1178" t="s">
        <v>37</v>
      </c>
      <c r="F1178" s="9">
        <v>45738.166666666664</v>
      </c>
      <c r="G1178">
        <v>5.6550000000000002</v>
      </c>
      <c r="H1178" s="9">
        <v>45740.166666666664</v>
      </c>
      <c r="I1178">
        <v>5.8680000000000003</v>
      </c>
      <c r="J1178">
        <v>407.04</v>
      </c>
      <c r="K1178" s="12">
        <v>2301.8200000000002</v>
      </c>
      <c r="L1178">
        <v>3.52</v>
      </c>
      <c r="M1178">
        <v>83.18</v>
      </c>
      <c r="N1178" s="13">
        <v>3.61E-2</v>
      </c>
      <c r="O1178" t="s">
        <v>38</v>
      </c>
      <c r="Q1178">
        <f t="shared" si="302"/>
        <v>86.699520000000035</v>
      </c>
      <c r="R1178">
        <f t="shared" si="303"/>
        <v>83.179520000000039</v>
      </c>
      <c r="S1178">
        <f t="shared" si="304"/>
        <v>2388.5107200000002</v>
      </c>
      <c r="U1178">
        <f t="shared" si="291"/>
        <v>291.77718800000002</v>
      </c>
      <c r="V1178">
        <f t="shared" si="305"/>
        <v>1649.9999981400001</v>
      </c>
      <c r="W1178">
        <f t="shared" si="292"/>
        <v>62.148541044000027</v>
      </c>
      <c r="X1178">
        <f t="shared" si="293"/>
        <v>3.3621485373240003</v>
      </c>
      <c r="Y1178">
        <f t="shared" si="294"/>
        <v>58.786392506676023</v>
      </c>
      <c r="Z1178">
        <f t="shared" si="295"/>
        <v>22571.42121796944</v>
      </c>
      <c r="AB1178">
        <f t="shared" si="296"/>
        <v>415.84132499999998</v>
      </c>
      <c r="AC1178">
        <f t="shared" si="297"/>
        <v>2351.5826928749998</v>
      </c>
      <c r="AD1178">
        <f t="shared" si="298"/>
        <v>88.574202225000036</v>
      </c>
      <c r="AE1178">
        <f t="shared" si="299"/>
        <v>4.791739587975</v>
      </c>
      <c r="AF1178">
        <f t="shared" si="300"/>
        <v>83.782462637025034</v>
      </c>
      <c r="AG1178">
        <f t="shared" si="290"/>
        <v>23599.609392740542</v>
      </c>
      <c r="AH1178" t="b">
        <f t="shared" si="301"/>
        <v>1</v>
      </c>
    </row>
    <row r="1179" spans="4:34" hidden="1" x14ac:dyDescent="0.4">
      <c r="D1179" t="s">
        <v>55</v>
      </c>
      <c r="E1179" t="s">
        <v>37</v>
      </c>
      <c r="F1179" s="9">
        <v>45738.041666666664</v>
      </c>
      <c r="G1179">
        <v>6.3819999999999995E-5</v>
      </c>
      <c r="H1179" s="9">
        <v>45740.041666666664</v>
      </c>
      <c r="I1179">
        <v>6.3529999999999997E-5</v>
      </c>
      <c r="J1179" s="12">
        <v>92676409.75</v>
      </c>
      <c r="K1179" s="12">
        <v>5914.61</v>
      </c>
      <c r="L1179">
        <v>8.85</v>
      </c>
      <c r="M1179" s="12">
        <v>-35.729999999999997</v>
      </c>
      <c r="N1179" s="13">
        <v>-6.0000000000000001E-3</v>
      </c>
      <c r="O1179" t="s">
        <v>38</v>
      </c>
      <c r="Q1179">
        <f t="shared" si="302"/>
        <v>-26.8761588274999</v>
      </c>
      <c r="R1179">
        <f t="shared" si="303"/>
        <v>-35.726158827499901</v>
      </c>
      <c r="S1179">
        <f t="shared" si="304"/>
        <v>5887.7323114174997</v>
      </c>
      <c r="U1179">
        <f t="shared" si="291"/>
        <v>25853964.274521999</v>
      </c>
      <c r="V1179">
        <f t="shared" si="305"/>
        <v>1649.9999999999939</v>
      </c>
      <c r="W1179">
        <f t="shared" si="292"/>
        <v>-7.4976496396113514</v>
      </c>
      <c r="X1179">
        <f t="shared" si="293"/>
        <v>3.2925023503603761</v>
      </c>
      <c r="Y1179">
        <f t="shared" si="294"/>
        <v>-10.790151989971728</v>
      </c>
      <c r="Z1179">
        <f t="shared" si="295"/>
        <v>22512.634825462763</v>
      </c>
      <c r="AB1179">
        <f t="shared" si="296"/>
        <v>36871223.966508999</v>
      </c>
      <c r="AC1179">
        <f t="shared" si="297"/>
        <v>2353.1215135426041</v>
      </c>
      <c r="AD1179">
        <f t="shared" si="298"/>
        <v>-10.692654950287571</v>
      </c>
      <c r="AE1179">
        <f t="shared" si="299"/>
        <v>4.695550372134921</v>
      </c>
      <c r="AF1179">
        <f t="shared" si="300"/>
        <v>-15.388205322422492</v>
      </c>
      <c r="AG1179">
        <f t="shared" si="290"/>
        <v>23515.826930103518</v>
      </c>
      <c r="AH1179" t="b">
        <f t="shared" si="301"/>
        <v>1</v>
      </c>
    </row>
    <row r="1180" spans="4:34" hidden="1" x14ac:dyDescent="0.4">
      <c r="D1180" t="s">
        <v>58</v>
      </c>
      <c r="E1180" t="s">
        <v>37</v>
      </c>
      <c r="F1180" s="9">
        <v>45738.041666666664</v>
      </c>
      <c r="G1180">
        <v>14.06</v>
      </c>
      <c r="H1180" s="9">
        <v>45740.041666666664</v>
      </c>
      <c r="I1180">
        <v>14.48</v>
      </c>
      <c r="J1180">
        <v>488.94</v>
      </c>
      <c r="K1180" s="12">
        <v>6874.54</v>
      </c>
      <c r="L1180">
        <v>10.47</v>
      </c>
      <c r="M1180">
        <v>194.89</v>
      </c>
      <c r="N1180" s="13">
        <v>2.8299999999999999E-2</v>
      </c>
      <c r="O1180" t="s">
        <v>38</v>
      </c>
      <c r="Q1180">
        <f t="shared" si="302"/>
        <v>205.35479999999995</v>
      </c>
      <c r="R1180">
        <f t="shared" si="303"/>
        <v>194.88479999999996</v>
      </c>
      <c r="S1180">
        <f t="shared" si="304"/>
        <v>7079.8512000000001</v>
      </c>
      <c r="U1180">
        <f t="shared" si="291"/>
        <v>117.354196</v>
      </c>
      <c r="V1180">
        <f t="shared" si="305"/>
        <v>1649.99999576</v>
      </c>
      <c r="W1180">
        <f t="shared" si="292"/>
        <v>49.288762319999989</v>
      </c>
      <c r="X1180">
        <f t="shared" si="293"/>
        <v>3.3492887538399998</v>
      </c>
      <c r="Y1180">
        <f t="shared" si="294"/>
        <v>45.93947356615999</v>
      </c>
      <c r="Z1180">
        <f t="shared" si="295"/>
        <v>22523.424977452734</v>
      </c>
      <c r="AB1180">
        <f t="shared" si="296"/>
        <v>166.89815899999999</v>
      </c>
      <c r="AC1180">
        <f t="shared" si="297"/>
        <v>2346.5881155399998</v>
      </c>
      <c r="AD1180">
        <f t="shared" si="298"/>
        <v>70.097226779999986</v>
      </c>
      <c r="AE1180">
        <f t="shared" si="299"/>
        <v>4.7632734578599996</v>
      </c>
      <c r="AF1180">
        <f t="shared" si="300"/>
        <v>65.33395332213999</v>
      </c>
      <c r="AG1180">
        <f t="shared" si="290"/>
        <v>23531.21513542594</v>
      </c>
      <c r="AH1180" t="b">
        <f t="shared" si="301"/>
        <v>1</v>
      </c>
    </row>
    <row r="1181" spans="4:34" hidden="1" x14ac:dyDescent="0.4">
      <c r="D1181" t="s">
        <v>50</v>
      </c>
      <c r="E1181" t="s">
        <v>37</v>
      </c>
      <c r="F1181" s="9">
        <v>45738.041666666664</v>
      </c>
      <c r="G1181" s="12">
        <v>249.3</v>
      </c>
      <c r="H1181" s="9">
        <v>45740.041666666664</v>
      </c>
      <c r="I1181" s="12">
        <v>256.10000000000002</v>
      </c>
      <c r="J1181">
        <v>46.153599999999997</v>
      </c>
      <c r="K1181" s="12">
        <v>11506.1</v>
      </c>
      <c r="L1181">
        <v>17.489999999999998</v>
      </c>
      <c r="M1181">
        <v>296.35000000000002</v>
      </c>
      <c r="N1181" s="13">
        <v>2.58E-2</v>
      </c>
      <c r="O1181" t="s">
        <v>38</v>
      </c>
      <c r="Q1181">
        <f t="shared" si="302"/>
        <v>313.84448000000049</v>
      </c>
      <c r="R1181">
        <f t="shared" si="303"/>
        <v>296.35448000000048</v>
      </c>
      <c r="S1181">
        <f t="shared" si="304"/>
        <v>11819.936960000001</v>
      </c>
      <c r="U1181">
        <f t="shared" si="291"/>
        <v>6.6185320000000001</v>
      </c>
      <c r="V1181">
        <f t="shared" si="305"/>
        <v>1650.0000276000001</v>
      </c>
      <c r="W1181">
        <f t="shared" si="292"/>
        <v>45.006017600000078</v>
      </c>
      <c r="X1181">
        <f t="shared" si="293"/>
        <v>3.3450060728000004</v>
      </c>
      <c r="Y1181">
        <f t="shared" si="294"/>
        <v>41.661011527200074</v>
      </c>
      <c r="Z1181">
        <f t="shared" si="295"/>
        <v>22477.485503886575</v>
      </c>
      <c r="AB1181">
        <f t="shared" si="296"/>
        <v>9.3890019999999996</v>
      </c>
      <c r="AC1181">
        <f t="shared" si="297"/>
        <v>2340.6781986000001</v>
      </c>
      <c r="AD1181">
        <f t="shared" si="298"/>
        <v>63.845213600000108</v>
      </c>
      <c r="AE1181">
        <f t="shared" si="299"/>
        <v>4.7452016108000006</v>
      </c>
      <c r="AF1181">
        <f t="shared" si="300"/>
        <v>59.100011989200105</v>
      </c>
      <c r="AG1181">
        <f t="shared" si="290"/>
        <v>23465.8811821038</v>
      </c>
      <c r="AH1181" t="b">
        <f t="shared" si="301"/>
        <v>1</v>
      </c>
    </row>
    <row r="1182" spans="4:34" hidden="1" x14ac:dyDescent="0.4">
      <c r="D1182" t="s">
        <v>54</v>
      </c>
      <c r="E1182" t="s">
        <v>37</v>
      </c>
      <c r="F1182" s="9">
        <v>45737.583333333336</v>
      </c>
      <c r="G1182">
        <v>127.16</v>
      </c>
      <c r="H1182" s="9">
        <v>45739.583333333336</v>
      </c>
      <c r="I1182">
        <v>133.59</v>
      </c>
      <c r="J1182">
        <v>35.478000000000002</v>
      </c>
      <c r="K1182" s="12">
        <v>4511.5</v>
      </c>
      <c r="L1182">
        <v>6.94</v>
      </c>
      <c r="M1182">
        <v>221.19</v>
      </c>
      <c r="N1182" s="13">
        <v>4.9000000000000002E-2</v>
      </c>
      <c r="O1182" t="s">
        <v>38</v>
      </c>
      <c r="Q1182">
        <f t="shared" si="302"/>
        <v>228.12354000000025</v>
      </c>
      <c r="R1182">
        <f t="shared" si="303"/>
        <v>221.18354000000025</v>
      </c>
      <c r="S1182">
        <f t="shared" si="304"/>
        <v>4739.5060200000007</v>
      </c>
      <c r="U1182">
        <f t="shared" si="291"/>
        <v>12.975778999999999</v>
      </c>
      <c r="V1182">
        <f t="shared" si="305"/>
        <v>1650.0000576399998</v>
      </c>
      <c r="W1182">
        <f t="shared" si="292"/>
        <v>83.434258970000087</v>
      </c>
      <c r="X1182">
        <f t="shared" si="293"/>
        <v>3.3834343742499997</v>
      </c>
      <c r="Y1182">
        <f t="shared" si="294"/>
        <v>80.050824595750086</v>
      </c>
      <c r="Z1182">
        <f t="shared" si="295"/>
        <v>22435.824492359374</v>
      </c>
      <c r="AB1182">
        <f t="shared" si="296"/>
        <v>18.318473000000001</v>
      </c>
      <c r="AC1182">
        <f t="shared" si="297"/>
        <v>2329.3770266800002</v>
      </c>
      <c r="AD1182">
        <f t="shared" si="298"/>
        <v>117.78778139000013</v>
      </c>
      <c r="AE1182">
        <f t="shared" si="299"/>
        <v>4.7765418347499997</v>
      </c>
      <c r="AF1182">
        <f t="shared" si="300"/>
        <v>113.01123955525013</v>
      </c>
      <c r="AG1182">
        <f t="shared" si="290"/>
        <v>23406.781170114598</v>
      </c>
      <c r="AH1182" t="b">
        <f t="shared" si="301"/>
        <v>1</v>
      </c>
    </row>
    <row r="1183" spans="4:34" hidden="1" x14ac:dyDescent="0.4">
      <c r="D1183" t="s">
        <v>53</v>
      </c>
      <c r="E1183" t="s">
        <v>37</v>
      </c>
      <c r="F1183" s="9">
        <v>45736.791666666664</v>
      </c>
      <c r="G1183">
        <v>624.86</v>
      </c>
      <c r="H1183" s="9">
        <v>45738.791666666664</v>
      </c>
      <c r="I1183">
        <v>626.12</v>
      </c>
      <c r="J1183">
        <v>14.612</v>
      </c>
      <c r="K1183" s="12">
        <v>9130.67</v>
      </c>
      <c r="L1183">
        <v>13.71</v>
      </c>
      <c r="M1183">
        <v>4.7</v>
      </c>
      <c r="N1183" s="13">
        <v>5.0000000000000001E-4</v>
      </c>
      <c r="O1183" t="s">
        <v>38</v>
      </c>
      <c r="Q1183">
        <f t="shared" si="302"/>
        <v>18.411119999999869</v>
      </c>
      <c r="R1183">
        <f t="shared" si="303"/>
        <v>4.7011199999998681</v>
      </c>
      <c r="S1183">
        <f t="shared" si="304"/>
        <v>9148.8654399999996</v>
      </c>
      <c r="U1183">
        <f t="shared" si="291"/>
        <v>2.6405910000000001</v>
      </c>
      <c r="V1183">
        <f t="shared" si="305"/>
        <v>1649.9996922600001</v>
      </c>
      <c r="W1183">
        <f t="shared" si="292"/>
        <v>3.3271446599999761</v>
      </c>
      <c r="X1183">
        <f t="shared" si="293"/>
        <v>3.30332652918</v>
      </c>
      <c r="Y1183">
        <f t="shared" si="294"/>
        <v>2.381813081997608E-2</v>
      </c>
      <c r="Z1183">
        <f t="shared" si="295"/>
        <v>22355.773667763624</v>
      </c>
      <c r="AB1183">
        <f t="shared" si="296"/>
        <v>3.727833</v>
      </c>
      <c r="AC1183">
        <f t="shared" si="297"/>
        <v>2329.3737283800001</v>
      </c>
      <c r="AD1183">
        <f t="shared" si="298"/>
        <v>4.6970695799999662</v>
      </c>
      <c r="AE1183">
        <f t="shared" si="299"/>
        <v>4.6634445263400002</v>
      </c>
      <c r="AF1183">
        <f t="shared" si="300"/>
        <v>3.3625053659966042E-2</v>
      </c>
      <c r="AG1183">
        <f t="shared" si="290"/>
        <v>23293.769930559349</v>
      </c>
      <c r="AH1183" t="b">
        <f t="shared" si="301"/>
        <v>1</v>
      </c>
    </row>
    <row r="1184" spans="4:34" hidden="1" x14ac:dyDescent="0.4">
      <c r="D1184" t="s">
        <v>59</v>
      </c>
      <c r="E1184" t="s">
        <v>37</v>
      </c>
      <c r="F1184" s="9">
        <v>45736.125</v>
      </c>
      <c r="G1184" s="12">
        <v>86088.02</v>
      </c>
      <c r="H1184" s="9">
        <v>45738.625</v>
      </c>
      <c r="I1184" s="12">
        <v>83990.43</v>
      </c>
      <c r="J1184">
        <v>0.11798</v>
      </c>
      <c r="K1184" s="12">
        <v>10157.290000000001</v>
      </c>
      <c r="L1184">
        <v>15.05</v>
      </c>
      <c r="M1184">
        <v>-262.52</v>
      </c>
      <c r="N1184" s="13">
        <v>-2.58E-2</v>
      </c>
      <c r="O1184" t="s">
        <v>57</v>
      </c>
      <c r="Q1184">
        <f t="shared" si="302"/>
        <v>-247.4736682000013</v>
      </c>
      <c r="R1184">
        <f t="shared" si="303"/>
        <v>-262.52366820000128</v>
      </c>
      <c r="S1184">
        <f t="shared" si="304"/>
        <v>9909.1909313999986</v>
      </c>
      <c r="U1184">
        <f t="shared" si="291"/>
        <v>1.9165999999999999E-2</v>
      </c>
      <c r="V1184">
        <f t="shared" si="305"/>
        <v>1649.9629913199999</v>
      </c>
      <c r="W1184">
        <f t="shared" si="292"/>
        <v>-40.202409940000209</v>
      </c>
      <c r="X1184">
        <f t="shared" si="293"/>
        <v>3.2597235727</v>
      </c>
      <c r="Y1184">
        <f t="shared" si="294"/>
        <v>-43.462133512700206</v>
      </c>
      <c r="Z1184">
        <f t="shared" si="295"/>
        <v>22355.749849632804</v>
      </c>
      <c r="AB1184">
        <f t="shared" si="296"/>
        <v>2.7130000000000001E-2</v>
      </c>
      <c r="AC1184">
        <f t="shared" si="297"/>
        <v>2335.5679826000001</v>
      </c>
      <c r="AD1184">
        <f t="shared" si="298"/>
        <v>-56.907616700000304</v>
      </c>
      <c r="AE1184">
        <f t="shared" si="299"/>
        <v>4.6142283485000002</v>
      </c>
      <c r="AF1184">
        <f t="shared" si="300"/>
        <v>-61.521845048500303</v>
      </c>
      <c r="AG1184">
        <f t="shared" si="290"/>
        <v>23293.736305505689</v>
      </c>
      <c r="AH1184" t="b">
        <f t="shared" si="301"/>
        <v>1</v>
      </c>
    </row>
    <row r="1185" spans="4:34" hidden="1" x14ac:dyDescent="0.4">
      <c r="D1185" t="s">
        <v>60</v>
      </c>
      <c r="E1185" t="s">
        <v>37</v>
      </c>
      <c r="F1185" s="9">
        <v>45735.916666666664</v>
      </c>
      <c r="G1185">
        <v>2.5049000000000001</v>
      </c>
      <c r="H1185" s="9">
        <v>45738.416666666664</v>
      </c>
      <c r="I1185">
        <v>2.4047999999999998</v>
      </c>
      <c r="J1185" s="12">
        <v>863.4</v>
      </c>
      <c r="K1185" s="12">
        <v>2162.94</v>
      </c>
      <c r="L1185">
        <v>3.18</v>
      </c>
      <c r="M1185">
        <v>-89.61</v>
      </c>
      <c r="N1185" s="13">
        <v>-4.1399999999999999E-2</v>
      </c>
      <c r="O1185" t="s">
        <v>57</v>
      </c>
      <c r="Q1185">
        <f t="shared" si="302"/>
        <v>-86.426340000000252</v>
      </c>
      <c r="R1185">
        <f t="shared" si="303"/>
        <v>-89.606340000000259</v>
      </c>
      <c r="S1185">
        <f t="shared" si="304"/>
        <v>2076.3043199999997</v>
      </c>
      <c r="U1185">
        <f t="shared" si="291"/>
        <v>658.70893000000001</v>
      </c>
      <c r="V1185">
        <f t="shared" si="305"/>
        <v>1649.9999987570002</v>
      </c>
      <c r="W1185">
        <f t="shared" si="292"/>
        <v>-65.936763893000204</v>
      </c>
      <c r="X1185">
        <f t="shared" si="293"/>
        <v>3.2340632336210002</v>
      </c>
      <c r="Y1185">
        <f t="shared" si="294"/>
        <v>-69.170827126621205</v>
      </c>
      <c r="Z1185">
        <f t="shared" si="295"/>
        <v>22399.211983145506</v>
      </c>
      <c r="AB1185">
        <f t="shared" si="296"/>
        <v>936.30801899999994</v>
      </c>
      <c r="AC1185">
        <f t="shared" si="297"/>
        <v>2345.3579567931001</v>
      </c>
      <c r="AD1185">
        <f t="shared" si="298"/>
        <v>-93.72443270190027</v>
      </c>
      <c r="AE1185">
        <f t="shared" si="299"/>
        <v>4.5969914808843004</v>
      </c>
      <c r="AF1185">
        <f t="shared" si="300"/>
        <v>-98.321424182784568</v>
      </c>
      <c r="AG1185">
        <f t="shared" si="290"/>
        <v>23355.258150554189</v>
      </c>
      <c r="AH1185" t="b">
        <f t="shared" si="301"/>
        <v>1</v>
      </c>
    </row>
    <row r="1186" spans="4:34" hidden="1" x14ac:dyDescent="0.4">
      <c r="D1186" t="s">
        <v>58</v>
      </c>
      <c r="E1186" t="s">
        <v>37</v>
      </c>
      <c r="F1186" s="9">
        <v>45735.791666666664</v>
      </c>
      <c r="G1186" s="12">
        <v>14.61</v>
      </c>
      <c r="H1186" s="9">
        <v>45737.791666666664</v>
      </c>
      <c r="I1186" s="12">
        <v>14.02</v>
      </c>
      <c r="J1186">
        <v>472.51</v>
      </c>
      <c r="K1186" s="12">
        <v>6903.43</v>
      </c>
      <c r="L1186">
        <v>10.15</v>
      </c>
      <c r="M1186">
        <v>-288.93</v>
      </c>
      <c r="N1186" s="13">
        <v>-4.19E-2</v>
      </c>
      <c r="O1186" t="s">
        <v>38</v>
      </c>
      <c r="Q1186">
        <f t="shared" si="302"/>
        <v>-278.78089999999992</v>
      </c>
      <c r="R1186">
        <f t="shared" si="303"/>
        <v>-288.93089999999989</v>
      </c>
      <c r="S1186">
        <f t="shared" si="304"/>
        <v>6624.5901999999996</v>
      </c>
      <c r="U1186">
        <f t="shared" si="291"/>
        <v>112.936345</v>
      </c>
      <c r="V1186">
        <f t="shared" si="305"/>
        <v>1650.00000045</v>
      </c>
      <c r="W1186">
        <f t="shared" si="292"/>
        <v>-66.632443549999991</v>
      </c>
      <c r="X1186">
        <f t="shared" si="293"/>
        <v>3.2333675573499998</v>
      </c>
      <c r="Y1186">
        <f t="shared" si="294"/>
        <v>-69.865811107349984</v>
      </c>
      <c r="Z1186">
        <f t="shared" si="295"/>
        <v>22468.382810272127</v>
      </c>
      <c r="AB1186">
        <f t="shared" si="296"/>
        <v>161.213629</v>
      </c>
      <c r="AC1186">
        <f t="shared" si="297"/>
        <v>2355.3311196899999</v>
      </c>
      <c r="AD1186">
        <f t="shared" si="298"/>
        <v>-95.116041109999969</v>
      </c>
      <c r="AE1186">
        <f t="shared" si="299"/>
        <v>4.6155461982699997</v>
      </c>
      <c r="AF1186">
        <f t="shared" si="300"/>
        <v>-99.731587308269965</v>
      </c>
      <c r="AG1186">
        <f t="shared" si="290"/>
        <v>23453.579574736974</v>
      </c>
      <c r="AH1186" t="b">
        <f t="shared" si="301"/>
        <v>1</v>
      </c>
    </row>
    <row r="1187" spans="4:34" hidden="1" x14ac:dyDescent="0.4">
      <c r="D1187" t="s">
        <v>56</v>
      </c>
      <c r="E1187" t="s">
        <v>37</v>
      </c>
      <c r="F1187" s="9">
        <v>45736.833333333336</v>
      </c>
      <c r="G1187" s="12">
        <v>1973.95</v>
      </c>
      <c r="H1187" s="9">
        <v>45737.583333333336</v>
      </c>
      <c r="I1187" s="12">
        <v>1932.98</v>
      </c>
      <c r="J1187" s="12">
        <v>2.6179000000000001</v>
      </c>
      <c r="K1187" s="12">
        <v>5167.76</v>
      </c>
      <c r="L1187">
        <v>7.67</v>
      </c>
      <c r="M1187">
        <v>-114.91</v>
      </c>
      <c r="N1187" s="13">
        <v>-2.2200000000000001E-2</v>
      </c>
      <c r="O1187" t="s">
        <v>49</v>
      </c>
      <c r="Q1187">
        <f t="shared" si="302"/>
        <v>-107.25536300000007</v>
      </c>
      <c r="R1187">
        <f t="shared" si="303"/>
        <v>-114.92536300000008</v>
      </c>
      <c r="S1187">
        <f t="shared" si="304"/>
        <v>5060.3483420000002</v>
      </c>
      <c r="U1187">
        <f t="shared" si="291"/>
        <v>0.83588700000000005</v>
      </c>
      <c r="V1187">
        <f t="shared" si="305"/>
        <v>1649.9991436500002</v>
      </c>
      <c r="W1187">
        <f t="shared" si="292"/>
        <v>-34.246290390000027</v>
      </c>
      <c r="X1187">
        <f t="shared" si="293"/>
        <v>3.2657519969100006</v>
      </c>
      <c r="Y1187">
        <f t="shared" si="294"/>
        <v>-37.512042386910025</v>
      </c>
      <c r="Z1187">
        <f t="shared" si="295"/>
        <v>22538.248621379476</v>
      </c>
      <c r="AB1187">
        <f t="shared" si="296"/>
        <v>1.195926</v>
      </c>
      <c r="AC1187">
        <f t="shared" si="297"/>
        <v>2360.6981277</v>
      </c>
      <c r="AD1187">
        <f t="shared" si="298"/>
        <v>-48.997088220000037</v>
      </c>
      <c r="AE1187">
        <f t="shared" si="299"/>
        <v>4.6723991671800009</v>
      </c>
      <c r="AF1187">
        <f t="shared" si="300"/>
        <v>-53.669487387180041</v>
      </c>
      <c r="AG1187">
        <f t="shared" si="290"/>
        <v>23553.311162045244</v>
      </c>
      <c r="AH1187" t="b">
        <f t="shared" si="301"/>
        <v>1</v>
      </c>
    </row>
    <row r="1188" spans="4:34" hidden="1" x14ac:dyDescent="0.4">
      <c r="D1188" t="s">
        <v>52</v>
      </c>
      <c r="E1188" t="s">
        <v>37</v>
      </c>
      <c r="F1188" s="9">
        <v>45735.458333333336</v>
      </c>
      <c r="G1188">
        <v>5.8490000000000002</v>
      </c>
      <c r="H1188" s="9">
        <v>45737.458333333336</v>
      </c>
      <c r="I1188">
        <v>5.68</v>
      </c>
      <c r="J1188">
        <v>394.73</v>
      </c>
      <c r="K1188" s="12">
        <v>2308.83</v>
      </c>
      <c r="L1188">
        <v>3.41</v>
      </c>
      <c r="M1188">
        <v>-70.12</v>
      </c>
      <c r="N1188" s="13">
        <v>-3.04E-2</v>
      </c>
      <c r="O1188" t="s">
        <v>38</v>
      </c>
      <c r="Q1188">
        <f t="shared" si="302"/>
        <v>-66.709370000000192</v>
      </c>
      <c r="R1188">
        <f t="shared" si="303"/>
        <v>-70.119370000000188</v>
      </c>
      <c r="S1188">
        <f t="shared" si="304"/>
        <v>2242.0664000000002</v>
      </c>
      <c r="U1188">
        <f t="shared" si="291"/>
        <v>282.09950400000002</v>
      </c>
      <c r="V1188">
        <f t="shared" si="305"/>
        <v>1649.9999988960003</v>
      </c>
      <c r="W1188">
        <f t="shared" si="292"/>
        <v>-47.674816176000142</v>
      </c>
      <c r="X1188">
        <f t="shared" si="293"/>
        <v>3.2523251816159999</v>
      </c>
      <c r="Y1188">
        <f t="shared" si="294"/>
        <v>-50.927141357616144</v>
      </c>
      <c r="Z1188">
        <f t="shared" si="295"/>
        <v>22575.760663766385</v>
      </c>
      <c r="AB1188">
        <f t="shared" si="296"/>
        <v>404.85671100000002</v>
      </c>
      <c r="AC1188">
        <f t="shared" si="297"/>
        <v>2368.0069026390001</v>
      </c>
      <c r="AD1188">
        <f t="shared" si="298"/>
        <v>-68.420784159000192</v>
      </c>
      <c r="AE1188">
        <f t="shared" si="299"/>
        <v>4.667593021119</v>
      </c>
      <c r="AF1188">
        <f t="shared" si="300"/>
        <v>-73.088377180119195</v>
      </c>
      <c r="AG1188">
        <f t="shared" si="290"/>
        <v>23606.980649432422</v>
      </c>
      <c r="AH1188" t="b">
        <f t="shared" si="301"/>
        <v>1</v>
      </c>
    </row>
    <row r="1189" spans="4:34" hidden="1" x14ac:dyDescent="0.4">
      <c r="D1189" t="s">
        <v>48</v>
      </c>
      <c r="E1189" t="s">
        <v>37</v>
      </c>
      <c r="F1189" s="9">
        <v>45735.458333333336</v>
      </c>
      <c r="G1189">
        <v>0.2233</v>
      </c>
      <c r="H1189" s="9">
        <v>45737.458333333336</v>
      </c>
      <c r="I1189">
        <v>0.20369999999999999</v>
      </c>
      <c r="J1189" s="12">
        <v>12546.5</v>
      </c>
      <c r="K1189" s="12">
        <v>2801.64</v>
      </c>
      <c r="L1189">
        <v>4.0199999999999996</v>
      </c>
      <c r="M1189">
        <v>-249.93</v>
      </c>
      <c r="N1189" s="13">
        <v>-8.9200000000000002E-2</v>
      </c>
      <c r="O1189" t="s">
        <v>38</v>
      </c>
      <c r="Q1189">
        <f t="shared" si="302"/>
        <v>-245.91140000000007</v>
      </c>
      <c r="R1189">
        <f t="shared" si="303"/>
        <v>-249.93140000000008</v>
      </c>
      <c r="S1189">
        <f t="shared" si="304"/>
        <v>2555.7220499999999</v>
      </c>
      <c r="U1189">
        <f t="shared" si="291"/>
        <v>7389.1625620000004</v>
      </c>
      <c r="V1189">
        <f t="shared" si="305"/>
        <v>1650.0000000946002</v>
      </c>
      <c r="W1189">
        <f t="shared" si="292"/>
        <v>-144.82758621520006</v>
      </c>
      <c r="X1189">
        <f t="shared" si="293"/>
        <v>3.1551724139740003</v>
      </c>
      <c r="Y1189">
        <f t="shared" si="294"/>
        <v>-147.98275862917404</v>
      </c>
      <c r="Z1189">
        <f t="shared" si="295"/>
        <v>22626.687805124002</v>
      </c>
      <c r="AB1189">
        <f t="shared" si="296"/>
        <v>10700.568433</v>
      </c>
      <c r="AC1189">
        <f t="shared" si="297"/>
        <v>2389.4369310889001</v>
      </c>
      <c r="AD1189">
        <f t="shared" si="298"/>
        <v>-209.73114128680007</v>
      </c>
      <c r="AE1189">
        <f t="shared" si="299"/>
        <v>4.5691427208910005</v>
      </c>
      <c r="AF1189">
        <f t="shared" si="300"/>
        <v>-214.30028400769106</v>
      </c>
      <c r="AG1189">
        <f t="shared" si="290"/>
        <v>23680.069026612542</v>
      </c>
      <c r="AH1189" t="b">
        <f t="shared" si="301"/>
        <v>1</v>
      </c>
    </row>
    <row r="1190" spans="4:34" hidden="1" x14ac:dyDescent="0.4">
      <c r="D1190" t="s">
        <v>55</v>
      </c>
      <c r="E1190" t="s">
        <v>37</v>
      </c>
      <c r="F1190" s="9">
        <v>45735.458333333336</v>
      </c>
      <c r="G1190" s="12">
        <v>6.3429999999999994E-5</v>
      </c>
      <c r="H1190" s="9">
        <v>45737.458333333336</v>
      </c>
      <c r="I1190" s="12">
        <v>6.3910000000000003E-5</v>
      </c>
      <c r="J1190" s="12">
        <v>93189742.569999993</v>
      </c>
      <c r="K1190" s="12">
        <v>5911.03</v>
      </c>
      <c r="L1190">
        <v>8.9</v>
      </c>
      <c r="M1190">
        <v>35.83</v>
      </c>
      <c r="N1190" s="13">
        <v>6.1000000000000004E-3</v>
      </c>
      <c r="O1190" t="s">
        <v>38</v>
      </c>
      <c r="Q1190">
        <f t="shared" si="302"/>
        <v>44.731076433600833</v>
      </c>
      <c r="R1190">
        <f t="shared" si="303"/>
        <v>35.831076433600835</v>
      </c>
      <c r="S1190">
        <f t="shared" si="304"/>
        <v>5955.7564476486996</v>
      </c>
      <c r="U1190">
        <f t="shared" si="291"/>
        <v>26012927.636764999</v>
      </c>
      <c r="V1190">
        <f t="shared" si="305"/>
        <v>1650.0000000000039</v>
      </c>
      <c r="W1190">
        <f t="shared" si="292"/>
        <v>12.486205265647433</v>
      </c>
      <c r="X1190">
        <f t="shared" si="293"/>
        <v>3.3124862052656545</v>
      </c>
      <c r="Y1190">
        <f t="shared" si="294"/>
        <v>9.173719060381778</v>
      </c>
      <c r="Z1190">
        <f t="shared" si="295"/>
        <v>22774.670563753178</v>
      </c>
      <c r="AB1190">
        <f t="shared" si="296"/>
        <v>37649522.040324003</v>
      </c>
      <c r="AC1190">
        <f t="shared" si="297"/>
        <v>2388.1091830177511</v>
      </c>
      <c r="AD1190">
        <f t="shared" si="298"/>
        <v>18.07177057935586</v>
      </c>
      <c r="AE1190">
        <f t="shared" si="299"/>
        <v>4.7942901366148574</v>
      </c>
      <c r="AF1190">
        <f t="shared" si="300"/>
        <v>13.277480442741002</v>
      </c>
      <c r="AG1190">
        <f t="shared" si="290"/>
        <v>23894.369310620234</v>
      </c>
      <c r="AH1190" t="b">
        <f t="shared" si="301"/>
        <v>1</v>
      </c>
    </row>
    <row r="1191" spans="4:34" hidden="1" x14ac:dyDescent="0.4">
      <c r="D1191" t="s">
        <v>43</v>
      </c>
      <c r="E1191" t="s">
        <v>37</v>
      </c>
      <c r="F1191" s="9">
        <v>45735.375</v>
      </c>
      <c r="G1191">
        <v>2.3191000000000002</v>
      </c>
      <c r="H1191" s="9">
        <v>45737.375</v>
      </c>
      <c r="I1191">
        <v>2.2804000000000002</v>
      </c>
      <c r="J1191">
        <v>738.3</v>
      </c>
      <c r="K1191" s="12">
        <v>1712.19</v>
      </c>
      <c r="L1191">
        <v>2.5499999999999998</v>
      </c>
      <c r="M1191">
        <v>-31.12</v>
      </c>
      <c r="N1191" s="13">
        <v>-1.8200000000000001E-2</v>
      </c>
      <c r="O1191" t="s">
        <v>38</v>
      </c>
      <c r="Q1191">
        <f t="shared" si="302"/>
        <v>-28.572209999999966</v>
      </c>
      <c r="R1191">
        <f t="shared" si="303"/>
        <v>-31.122209999999967</v>
      </c>
      <c r="S1191">
        <f t="shared" si="304"/>
        <v>1683.61932</v>
      </c>
      <c r="U1191">
        <f t="shared" si="291"/>
        <v>711.48290299999996</v>
      </c>
      <c r="V1191">
        <f t="shared" si="305"/>
        <v>1650.0000003473001</v>
      </c>
      <c r="W1191">
        <f t="shared" si="292"/>
        <v>-27.534388346099966</v>
      </c>
      <c r="X1191">
        <f t="shared" si="293"/>
        <v>3.2724656123485008</v>
      </c>
      <c r="Y1191">
        <f t="shared" si="294"/>
        <v>-30.806853958448468</v>
      </c>
      <c r="Z1191">
        <f t="shared" si="295"/>
        <v>22765.496844692796</v>
      </c>
      <c r="AB1191">
        <f t="shared" si="296"/>
        <v>1031.6831179999999</v>
      </c>
      <c r="AC1191">
        <f t="shared" si="297"/>
        <v>2392.5763189538002</v>
      </c>
      <c r="AD1191">
        <f t="shared" si="298"/>
        <v>-39.926136666599952</v>
      </c>
      <c r="AE1191">
        <f t="shared" si="299"/>
        <v>4.7452265012410004</v>
      </c>
      <c r="AF1191">
        <f t="shared" si="300"/>
        <v>-44.671363167840951</v>
      </c>
      <c r="AG1191">
        <f t="shared" si="290"/>
        <v>23881.091830177491</v>
      </c>
      <c r="AH1191" t="b">
        <f t="shared" si="301"/>
        <v>1</v>
      </c>
    </row>
    <row r="1192" spans="4:34" hidden="1" x14ac:dyDescent="0.4">
      <c r="D1192" t="s">
        <v>61</v>
      </c>
      <c r="E1192" t="s">
        <v>37</v>
      </c>
      <c r="F1192" s="9">
        <v>45735.375</v>
      </c>
      <c r="G1192">
        <v>0.71309999999999996</v>
      </c>
      <c r="H1192" s="9">
        <v>45737.375</v>
      </c>
      <c r="I1192">
        <v>0.71109999999999995</v>
      </c>
      <c r="J1192" s="12">
        <v>10996.8</v>
      </c>
      <c r="K1192" s="12">
        <v>7841.83</v>
      </c>
      <c r="L1192">
        <v>11.75</v>
      </c>
      <c r="M1192">
        <v>-33.74</v>
      </c>
      <c r="N1192" s="13">
        <v>-4.3E-3</v>
      </c>
      <c r="O1192" t="s">
        <v>38</v>
      </c>
      <c r="Q1192">
        <f t="shared" si="302"/>
        <v>-21.993600000000018</v>
      </c>
      <c r="R1192">
        <f t="shared" si="303"/>
        <v>-33.743600000000015</v>
      </c>
      <c r="S1192">
        <f t="shared" si="304"/>
        <v>7819.8244799999993</v>
      </c>
      <c r="U1192">
        <f t="shared" si="291"/>
        <v>2313.840976</v>
      </c>
      <c r="V1192">
        <f t="shared" si="305"/>
        <v>1649.9999999856</v>
      </c>
      <c r="W1192">
        <f t="shared" si="292"/>
        <v>-4.6276819520000041</v>
      </c>
      <c r="X1192">
        <f t="shared" si="293"/>
        <v>3.2953723180191998</v>
      </c>
      <c r="Y1192">
        <f t="shared" si="294"/>
        <v>-7.9230542700192039</v>
      </c>
      <c r="Z1192">
        <f t="shared" si="295"/>
        <v>22796.303698651245</v>
      </c>
      <c r="AB1192">
        <f t="shared" si="296"/>
        <v>3356.7883200000001</v>
      </c>
      <c r="AC1192">
        <f t="shared" si="297"/>
        <v>2393.725750992</v>
      </c>
      <c r="AD1192">
        <f t="shared" si="298"/>
        <v>-6.7135766400000065</v>
      </c>
      <c r="AE1192">
        <f t="shared" si="299"/>
        <v>4.7807379253439999</v>
      </c>
      <c r="AF1192">
        <f t="shared" si="300"/>
        <v>-11.494314565344006</v>
      </c>
      <c r="AG1192">
        <f t="shared" si="290"/>
        <v>23925.76319334533</v>
      </c>
      <c r="AH1192" t="b">
        <f t="shared" si="301"/>
        <v>1</v>
      </c>
    </row>
    <row r="1193" spans="4:34" hidden="1" x14ac:dyDescent="0.4">
      <c r="D1193" t="s">
        <v>50</v>
      </c>
      <c r="E1193" t="s">
        <v>37</v>
      </c>
      <c r="F1193" s="9">
        <v>45735.25</v>
      </c>
      <c r="G1193">
        <v>250.4</v>
      </c>
      <c r="H1193" s="9">
        <v>45737.25</v>
      </c>
      <c r="I1193">
        <v>253.8</v>
      </c>
      <c r="J1193" s="12">
        <v>45.895499999999998</v>
      </c>
      <c r="K1193" s="12">
        <v>11492.23</v>
      </c>
      <c r="L1193">
        <v>17.36</v>
      </c>
      <c r="M1193">
        <v>138.69</v>
      </c>
      <c r="N1193" s="13">
        <v>1.21E-2</v>
      </c>
      <c r="O1193" t="s">
        <v>38</v>
      </c>
      <c r="Q1193">
        <f t="shared" si="302"/>
        <v>156.04470000000026</v>
      </c>
      <c r="R1193">
        <f t="shared" si="303"/>
        <v>138.68470000000025</v>
      </c>
      <c r="S1193">
        <f t="shared" si="304"/>
        <v>11648.277900000001</v>
      </c>
      <c r="U1193">
        <f t="shared" si="291"/>
        <v>6.5894570000000003</v>
      </c>
      <c r="V1193">
        <f t="shared" si="305"/>
        <v>1650.0000328000001</v>
      </c>
      <c r="W1193">
        <f t="shared" si="292"/>
        <v>22.404153800000039</v>
      </c>
      <c r="X1193">
        <f t="shared" si="293"/>
        <v>3.322404219400001</v>
      </c>
      <c r="Y1193">
        <f t="shared" si="294"/>
        <v>19.081749580600039</v>
      </c>
      <c r="Z1193">
        <f t="shared" si="295"/>
        <v>22804.226752921266</v>
      </c>
      <c r="AB1193">
        <f t="shared" si="296"/>
        <v>9.548565</v>
      </c>
      <c r="AC1193">
        <f t="shared" si="297"/>
        <v>2390.9606760000001</v>
      </c>
      <c r="AD1193">
        <f t="shared" si="298"/>
        <v>32.465121000000053</v>
      </c>
      <c r="AE1193">
        <f t="shared" si="299"/>
        <v>4.8143864730000008</v>
      </c>
      <c r="AF1193">
        <f t="shared" si="300"/>
        <v>27.650734527000054</v>
      </c>
      <c r="AG1193">
        <f t="shared" si="290"/>
        <v>23937.257507910675</v>
      </c>
      <c r="AH1193" t="b">
        <f t="shared" si="301"/>
        <v>1</v>
      </c>
    </row>
    <row r="1194" spans="4:34" hidden="1" x14ac:dyDescent="0.4">
      <c r="D1194" t="s">
        <v>54</v>
      </c>
      <c r="E1194" t="s">
        <v>37</v>
      </c>
      <c r="F1194" s="9">
        <v>45735.166666666664</v>
      </c>
      <c r="G1194" s="12">
        <v>126.47</v>
      </c>
      <c r="H1194" s="9">
        <v>45737.166666666664</v>
      </c>
      <c r="I1194" s="12">
        <v>127.89</v>
      </c>
      <c r="J1194">
        <v>35.637</v>
      </c>
      <c r="K1194" s="12">
        <v>4507.12</v>
      </c>
      <c r="L1194">
        <v>6.8</v>
      </c>
      <c r="M1194">
        <v>43.81</v>
      </c>
      <c r="N1194" s="13">
        <v>9.7000000000000003E-3</v>
      </c>
      <c r="O1194" t="s">
        <v>38</v>
      </c>
      <c r="Q1194">
        <f t="shared" si="302"/>
        <v>50.604540000000064</v>
      </c>
      <c r="R1194">
        <f t="shared" si="303"/>
        <v>43.804540000000067</v>
      </c>
      <c r="S1194">
        <f t="shared" si="304"/>
        <v>4557.6159299999999</v>
      </c>
      <c r="U1194">
        <f t="shared" si="291"/>
        <v>13.046571999999999</v>
      </c>
      <c r="V1194">
        <f t="shared" si="305"/>
        <v>1649.9999608399999</v>
      </c>
      <c r="W1194">
        <f t="shared" si="292"/>
        <v>18.52613224000002</v>
      </c>
      <c r="X1194">
        <f t="shared" si="293"/>
        <v>3.3185260539200003</v>
      </c>
      <c r="Y1194">
        <f t="shared" si="294"/>
        <v>15.207606186080021</v>
      </c>
      <c r="Z1194">
        <f t="shared" si="295"/>
        <v>22785.145003340665</v>
      </c>
      <c r="AB1194">
        <f t="shared" si="296"/>
        <v>18.88795</v>
      </c>
      <c r="AC1194">
        <f t="shared" si="297"/>
        <v>2388.7590365000001</v>
      </c>
      <c r="AD1194">
        <f t="shared" si="298"/>
        <v>26.820889000000033</v>
      </c>
      <c r="AE1194">
        <f t="shared" si="299"/>
        <v>4.804338962000001</v>
      </c>
      <c r="AF1194">
        <f t="shared" si="300"/>
        <v>22.016550038000034</v>
      </c>
      <c r="AG1194">
        <f t="shared" ref="AG1194:AG1257" si="306">AG1195*AH1194 + (1-AH1194)*AI1194+AF1194</f>
        <v>23909.606773383675</v>
      </c>
      <c r="AH1194" t="b">
        <f t="shared" si="301"/>
        <v>1</v>
      </c>
    </row>
    <row r="1195" spans="4:34" hidden="1" x14ac:dyDescent="0.4">
      <c r="D1195" t="s">
        <v>56</v>
      </c>
      <c r="E1195" t="s">
        <v>37</v>
      </c>
      <c r="F1195" s="9">
        <v>45736.625</v>
      </c>
      <c r="G1195" s="12">
        <v>2002.99</v>
      </c>
      <c r="H1195" s="9">
        <v>45736.708333333336</v>
      </c>
      <c r="I1195" s="12">
        <v>1962.11</v>
      </c>
      <c r="J1195">
        <v>2.5855999999999999</v>
      </c>
      <c r="K1195" s="12">
        <v>5179.1000000000004</v>
      </c>
      <c r="L1195">
        <v>7.69</v>
      </c>
      <c r="M1195">
        <v>-113.39</v>
      </c>
      <c r="N1195" s="13">
        <v>-2.1899999999999999E-2</v>
      </c>
      <c r="O1195" t="s">
        <v>49</v>
      </c>
      <c r="Q1195">
        <f t="shared" si="302"/>
        <v>-105.69932800000028</v>
      </c>
      <c r="R1195">
        <f t="shared" si="303"/>
        <v>-113.38932800000028</v>
      </c>
      <c r="S1195">
        <f t="shared" si="304"/>
        <v>5073.2316159999991</v>
      </c>
      <c r="U1195">
        <f t="shared" si="291"/>
        <v>0.82376799999999994</v>
      </c>
      <c r="V1195">
        <f t="shared" si="305"/>
        <v>1649.9990663199999</v>
      </c>
      <c r="W1195">
        <f t="shared" si="292"/>
        <v>-33.675635840000091</v>
      </c>
      <c r="X1195">
        <f t="shared" si="293"/>
        <v>3.2663224968</v>
      </c>
      <c r="Y1195">
        <f t="shared" si="294"/>
        <v>-36.941958336800091</v>
      </c>
      <c r="Z1195">
        <f t="shared" si="295"/>
        <v>22769.937397154587</v>
      </c>
      <c r="AB1195">
        <f t="shared" si="296"/>
        <v>1.195273</v>
      </c>
      <c r="AC1195">
        <f t="shared" si="297"/>
        <v>2394.1198662699999</v>
      </c>
      <c r="AD1195">
        <f t="shared" si="298"/>
        <v>-48.862760240000135</v>
      </c>
      <c r="AE1195">
        <f t="shared" si="299"/>
        <v>4.7393769723000005</v>
      </c>
      <c r="AF1195">
        <f t="shared" si="300"/>
        <v>-53.602137212300136</v>
      </c>
      <c r="AG1195">
        <f t="shared" si="306"/>
        <v>23887.590223345676</v>
      </c>
      <c r="AH1195" t="b">
        <f t="shared" si="301"/>
        <v>1</v>
      </c>
    </row>
    <row r="1196" spans="4:34" hidden="1" x14ac:dyDescent="0.4">
      <c r="D1196" t="s">
        <v>53</v>
      </c>
      <c r="E1196" t="s">
        <v>37</v>
      </c>
      <c r="F1196" s="9">
        <v>45734.666666666664</v>
      </c>
      <c r="G1196">
        <v>627.41999999999996</v>
      </c>
      <c r="H1196" s="9">
        <v>45736.666666666664</v>
      </c>
      <c r="I1196">
        <v>623.85</v>
      </c>
      <c r="J1196">
        <v>14.563000000000001</v>
      </c>
      <c r="K1196" s="12">
        <v>9137.23</v>
      </c>
      <c r="L1196">
        <v>13.67</v>
      </c>
      <c r="M1196">
        <v>-65.66</v>
      </c>
      <c r="N1196" s="13">
        <v>-7.1999999999999998E-3</v>
      </c>
      <c r="O1196" t="s">
        <v>38</v>
      </c>
      <c r="Q1196">
        <f t="shared" si="302"/>
        <v>-51.989909999999078</v>
      </c>
      <c r="R1196">
        <f t="shared" si="303"/>
        <v>-65.659909999999073</v>
      </c>
      <c r="S1196">
        <f t="shared" si="304"/>
        <v>9085.1275500000011</v>
      </c>
      <c r="U1196">
        <f t="shared" si="291"/>
        <v>2.6298170000000001</v>
      </c>
      <c r="V1196">
        <f t="shared" si="305"/>
        <v>1649.99978214</v>
      </c>
      <c r="W1196">
        <f t="shared" si="292"/>
        <v>-9.3884466899998333</v>
      </c>
      <c r="X1196">
        <f t="shared" si="293"/>
        <v>3.2906111175900006</v>
      </c>
      <c r="Y1196">
        <f t="shared" si="294"/>
        <v>-12.679057807589833</v>
      </c>
      <c r="Z1196">
        <f t="shared" si="295"/>
        <v>22806.879355491386</v>
      </c>
      <c r="AB1196">
        <f t="shared" si="296"/>
        <v>3.8187500000000001</v>
      </c>
      <c r="AC1196">
        <f t="shared" si="297"/>
        <v>2395.9601250000001</v>
      </c>
      <c r="AD1196">
        <f t="shared" si="298"/>
        <v>-13.632937499999757</v>
      </c>
      <c r="AE1196">
        <f t="shared" si="299"/>
        <v>4.7782873125000007</v>
      </c>
      <c r="AF1196">
        <f t="shared" si="300"/>
        <v>-18.411224812499757</v>
      </c>
      <c r="AG1196">
        <f t="shared" si="306"/>
        <v>23941.192360557976</v>
      </c>
      <c r="AH1196" t="b">
        <f t="shared" si="301"/>
        <v>1</v>
      </c>
    </row>
    <row r="1197" spans="4:34" hidden="1" x14ac:dyDescent="0.4">
      <c r="D1197" t="s">
        <v>56</v>
      </c>
      <c r="E1197" t="s">
        <v>37</v>
      </c>
      <c r="F1197" s="9">
        <v>45735.916666666664</v>
      </c>
      <c r="G1197" s="12">
        <v>2041</v>
      </c>
      <c r="H1197" s="9">
        <v>45736.458333333336</v>
      </c>
      <c r="I1197" s="12">
        <v>1992.48</v>
      </c>
      <c r="J1197">
        <v>2.5438999999999998</v>
      </c>
      <c r="K1197" s="12">
        <v>5192.21</v>
      </c>
      <c r="L1197">
        <v>7.7</v>
      </c>
      <c r="M1197">
        <v>-131.12</v>
      </c>
      <c r="N1197" s="13">
        <v>-2.53E-2</v>
      </c>
      <c r="O1197" t="s">
        <v>49</v>
      </c>
      <c r="Q1197">
        <f t="shared" si="302"/>
        <v>-123.43002799999995</v>
      </c>
      <c r="R1197">
        <f t="shared" si="303"/>
        <v>-131.13002799999995</v>
      </c>
      <c r="S1197">
        <f t="shared" si="304"/>
        <v>5068.6698719999995</v>
      </c>
      <c r="U1197">
        <f t="shared" si="291"/>
        <v>0.80842700000000001</v>
      </c>
      <c r="V1197">
        <f t="shared" si="305"/>
        <v>1649.999507</v>
      </c>
      <c r="W1197">
        <f t="shared" si="292"/>
        <v>-39.224878039999986</v>
      </c>
      <c r="X1197">
        <f t="shared" si="293"/>
        <v>3.2607741359600002</v>
      </c>
      <c r="Y1197">
        <f t="shared" si="294"/>
        <v>-42.485652175959984</v>
      </c>
      <c r="Z1197">
        <f t="shared" si="295"/>
        <v>22819.558413298975</v>
      </c>
      <c r="AB1197">
        <f t="shared" si="296"/>
        <v>1.1769449999999999</v>
      </c>
      <c r="AC1197">
        <f t="shared" si="297"/>
        <v>2402.1447449999996</v>
      </c>
      <c r="AD1197">
        <f t="shared" si="298"/>
        <v>-57.105371399999974</v>
      </c>
      <c r="AE1197">
        <f t="shared" si="299"/>
        <v>4.7471841185999999</v>
      </c>
      <c r="AF1197">
        <f t="shared" si="300"/>
        <v>-61.852555518599971</v>
      </c>
      <c r="AG1197">
        <f t="shared" si="306"/>
        <v>23959.603585370474</v>
      </c>
      <c r="AH1197" t="b">
        <f t="shared" si="301"/>
        <v>1</v>
      </c>
    </row>
    <row r="1198" spans="4:34" hidden="1" x14ac:dyDescent="0.4">
      <c r="D1198" t="s">
        <v>59</v>
      </c>
      <c r="E1198" t="s">
        <v>37</v>
      </c>
      <c r="F1198" s="9">
        <v>45733.5</v>
      </c>
      <c r="G1198" s="12">
        <v>83510.02</v>
      </c>
      <c r="H1198" s="9">
        <v>45736</v>
      </c>
      <c r="I1198" s="12">
        <v>86870.37</v>
      </c>
      <c r="J1198">
        <v>0.12116</v>
      </c>
      <c r="K1198" s="12">
        <v>10118.120000000001</v>
      </c>
      <c r="L1198">
        <v>15.48</v>
      </c>
      <c r="M1198">
        <v>391.66</v>
      </c>
      <c r="N1198" s="13">
        <v>3.8699999999999998E-2</v>
      </c>
      <c r="O1198" t="s">
        <v>57</v>
      </c>
      <c r="Q1198">
        <f t="shared" si="302"/>
        <v>407.14000599999895</v>
      </c>
      <c r="R1198">
        <f t="shared" si="303"/>
        <v>391.66000599999893</v>
      </c>
      <c r="S1198">
        <f t="shared" si="304"/>
        <v>10525.2140292</v>
      </c>
      <c r="U1198">
        <f t="shared" si="291"/>
        <v>1.9758000000000001E-2</v>
      </c>
      <c r="V1198">
        <f t="shared" si="305"/>
        <v>1649.9909751600003</v>
      </c>
      <c r="W1198">
        <f t="shared" si="292"/>
        <v>66.393795299999837</v>
      </c>
      <c r="X1198">
        <f t="shared" si="293"/>
        <v>3.3663757456200005</v>
      </c>
      <c r="Y1198">
        <f t="shared" si="294"/>
        <v>63.02741955437984</v>
      </c>
      <c r="Z1198">
        <f t="shared" si="295"/>
        <v>22862.044065474936</v>
      </c>
      <c r="AB1198">
        <f t="shared" si="296"/>
        <v>2.8655E-2</v>
      </c>
      <c r="AC1198">
        <f t="shared" si="297"/>
        <v>2392.9796231</v>
      </c>
      <c r="AD1198">
        <f t="shared" si="298"/>
        <v>96.290829249999746</v>
      </c>
      <c r="AE1198">
        <f t="shared" si="299"/>
        <v>4.88225007545</v>
      </c>
      <c r="AF1198">
        <f t="shared" si="300"/>
        <v>91.408579174549743</v>
      </c>
      <c r="AG1198">
        <f t="shared" si="306"/>
        <v>24021.456140889073</v>
      </c>
      <c r="AH1198" t="b">
        <f t="shared" si="301"/>
        <v>1</v>
      </c>
    </row>
    <row r="1199" spans="4:34" hidden="1" x14ac:dyDescent="0.4">
      <c r="D1199" t="s">
        <v>60</v>
      </c>
      <c r="E1199" t="s">
        <v>37</v>
      </c>
      <c r="F1199" s="9">
        <v>45733.333333333336</v>
      </c>
      <c r="G1199">
        <v>2.3357000000000001</v>
      </c>
      <c r="H1199" s="9">
        <v>45735.833333333336</v>
      </c>
      <c r="I1199">
        <v>2.4883999999999999</v>
      </c>
      <c r="J1199">
        <v>920.1</v>
      </c>
      <c r="K1199" s="12">
        <v>2149.2199999999998</v>
      </c>
      <c r="L1199">
        <v>3.33</v>
      </c>
      <c r="M1199">
        <v>137.16999999999999</v>
      </c>
      <c r="N1199" s="13">
        <v>6.3799999999999996E-2</v>
      </c>
      <c r="O1199" t="s">
        <v>57</v>
      </c>
      <c r="Q1199">
        <f t="shared" si="302"/>
        <v>140.49926999999985</v>
      </c>
      <c r="R1199">
        <f t="shared" si="303"/>
        <v>137.16926999999984</v>
      </c>
      <c r="S1199">
        <f t="shared" si="304"/>
        <v>2289.5768400000002</v>
      </c>
      <c r="U1199">
        <f t="shared" si="291"/>
        <v>706.42633899999998</v>
      </c>
      <c r="V1199">
        <f t="shared" si="305"/>
        <v>1650.0000000023001</v>
      </c>
      <c r="W1199">
        <f t="shared" si="292"/>
        <v>107.87130196529988</v>
      </c>
      <c r="X1199">
        <f t="shared" si="293"/>
        <v>3.4078713019698994</v>
      </c>
      <c r="Y1199">
        <f t="shared" si="294"/>
        <v>104.46343066332997</v>
      </c>
      <c r="Z1199">
        <f t="shared" si="295"/>
        <v>22799.016645920557</v>
      </c>
      <c r="AB1199">
        <f t="shared" si="296"/>
        <v>1018.088658</v>
      </c>
      <c r="AC1199">
        <f t="shared" si="297"/>
        <v>2377.9496784906</v>
      </c>
      <c r="AD1199">
        <f t="shared" si="298"/>
        <v>155.46213807659984</v>
      </c>
      <c r="AE1199">
        <f t="shared" si="299"/>
        <v>4.9113614950577995</v>
      </c>
      <c r="AF1199">
        <f t="shared" si="300"/>
        <v>150.55077658154204</v>
      </c>
      <c r="AG1199">
        <f t="shared" si="306"/>
        <v>23930.047561714524</v>
      </c>
      <c r="AH1199" t="b">
        <f t="shared" si="301"/>
        <v>1</v>
      </c>
    </row>
    <row r="1200" spans="4:34" hidden="1" x14ac:dyDescent="0.4">
      <c r="D1200" t="s">
        <v>56</v>
      </c>
      <c r="E1200" t="s">
        <v>37</v>
      </c>
      <c r="F1200" s="9">
        <v>45733.333333333336</v>
      </c>
      <c r="G1200" s="12">
        <v>1900.84</v>
      </c>
      <c r="H1200" s="9">
        <v>45735.833333333336</v>
      </c>
      <c r="I1200" s="12">
        <v>2031.57</v>
      </c>
      <c r="J1200">
        <v>2.7132000000000001</v>
      </c>
      <c r="K1200" s="12">
        <v>5157.54</v>
      </c>
      <c r="L1200">
        <v>8</v>
      </c>
      <c r="M1200">
        <v>346.69</v>
      </c>
      <c r="N1200" s="13">
        <v>6.7199999999999996E-2</v>
      </c>
      <c r="O1200" t="s">
        <v>57</v>
      </c>
      <c r="Q1200">
        <f t="shared" si="302"/>
        <v>354.69663600000007</v>
      </c>
      <c r="R1200">
        <f t="shared" si="303"/>
        <v>346.69663600000007</v>
      </c>
      <c r="S1200">
        <f t="shared" si="304"/>
        <v>5512.0557239999998</v>
      </c>
      <c r="U1200">
        <f t="shared" si="291"/>
        <v>0.86803699999999995</v>
      </c>
      <c r="V1200">
        <f t="shared" si="305"/>
        <v>1649.9994510799997</v>
      </c>
      <c r="W1200">
        <f t="shared" si="292"/>
        <v>113.47847701000001</v>
      </c>
      <c r="X1200">
        <f t="shared" si="293"/>
        <v>3.4134773791699997</v>
      </c>
      <c r="Y1200">
        <f t="shared" si="294"/>
        <v>110.06499963083</v>
      </c>
      <c r="Z1200">
        <f t="shared" si="295"/>
        <v>22694.553215257227</v>
      </c>
      <c r="AB1200">
        <f t="shared" si="296"/>
        <v>1.24271</v>
      </c>
      <c r="AC1200">
        <f t="shared" si="297"/>
        <v>2362.1928763999999</v>
      </c>
      <c r="AD1200">
        <f t="shared" si="298"/>
        <v>162.45947830000003</v>
      </c>
      <c r="AE1200">
        <f t="shared" si="299"/>
        <v>4.8868452310999997</v>
      </c>
      <c r="AF1200">
        <f t="shared" si="300"/>
        <v>157.57263306890002</v>
      </c>
      <c r="AG1200">
        <f t="shared" si="306"/>
        <v>23779.496785132982</v>
      </c>
      <c r="AH1200" t="b">
        <f t="shared" si="301"/>
        <v>1</v>
      </c>
    </row>
    <row r="1201" spans="4:34" hidden="1" x14ac:dyDescent="0.4">
      <c r="D1201" t="s">
        <v>58</v>
      </c>
      <c r="E1201" t="s">
        <v>37</v>
      </c>
      <c r="F1201" s="9">
        <v>45733.666666666664</v>
      </c>
      <c r="G1201">
        <v>13.76</v>
      </c>
      <c r="H1201" s="9">
        <v>45735.666666666664</v>
      </c>
      <c r="I1201">
        <v>14.62</v>
      </c>
      <c r="J1201" s="12">
        <v>498.66</v>
      </c>
      <c r="K1201" s="12">
        <v>6861.61</v>
      </c>
      <c r="L1201">
        <v>10.61</v>
      </c>
      <c r="M1201">
        <v>418.23</v>
      </c>
      <c r="N1201" s="13">
        <v>6.0999999999999999E-2</v>
      </c>
      <c r="O1201" t="s">
        <v>38</v>
      </c>
      <c r="Q1201">
        <f t="shared" si="302"/>
        <v>428.84759999999972</v>
      </c>
      <c r="R1201">
        <f t="shared" si="303"/>
        <v>418.2375999999997</v>
      </c>
      <c r="S1201">
        <f t="shared" si="304"/>
        <v>7290.4092000000001</v>
      </c>
      <c r="U1201">
        <f t="shared" si="291"/>
        <v>119.912791</v>
      </c>
      <c r="V1201">
        <f t="shared" si="305"/>
        <v>1650.0000041599999</v>
      </c>
      <c r="W1201">
        <f t="shared" si="292"/>
        <v>103.12500025999994</v>
      </c>
      <c r="X1201">
        <f t="shared" si="293"/>
        <v>3.40312500858</v>
      </c>
      <c r="Y1201">
        <f t="shared" si="294"/>
        <v>99.721875251419931</v>
      </c>
      <c r="Z1201">
        <f t="shared" si="295"/>
        <v>22584.488215626396</v>
      </c>
      <c r="AB1201">
        <f t="shared" si="296"/>
        <v>170.639657</v>
      </c>
      <c r="AC1201">
        <f t="shared" si="297"/>
        <v>2348.0016803200001</v>
      </c>
      <c r="AD1201">
        <f t="shared" si="298"/>
        <v>146.75010501999989</v>
      </c>
      <c r="AE1201">
        <f t="shared" si="299"/>
        <v>4.8427534656599995</v>
      </c>
      <c r="AF1201">
        <f t="shared" si="300"/>
        <v>141.9073515543399</v>
      </c>
      <c r="AG1201">
        <f t="shared" si="306"/>
        <v>23621.924152064083</v>
      </c>
      <c r="AH1201" t="b">
        <f t="shared" si="301"/>
        <v>1</v>
      </c>
    </row>
    <row r="1202" spans="4:34" hidden="1" x14ac:dyDescent="0.4">
      <c r="D1202" t="s">
        <v>43</v>
      </c>
      <c r="E1202" t="s">
        <v>37</v>
      </c>
      <c r="F1202" s="9">
        <v>45733.333333333336</v>
      </c>
      <c r="G1202">
        <v>2.2963</v>
      </c>
      <c r="H1202" s="9">
        <v>45735.333333333336</v>
      </c>
      <c r="I1202">
        <v>2.3068</v>
      </c>
      <c r="J1202" s="12">
        <v>745.4</v>
      </c>
      <c r="K1202" s="12">
        <v>1711.67</v>
      </c>
      <c r="L1202">
        <v>2.57</v>
      </c>
      <c r="M1202">
        <v>5.25</v>
      </c>
      <c r="N1202" s="13">
        <v>3.0999999999999999E-3</v>
      </c>
      <c r="O1202" t="s">
        <v>38</v>
      </c>
      <c r="Q1202">
        <f t="shared" si="302"/>
        <v>7.8266999999999651</v>
      </c>
      <c r="R1202">
        <f t="shared" si="303"/>
        <v>5.2566999999999648</v>
      </c>
      <c r="S1202">
        <f t="shared" si="304"/>
        <v>1719.4887199999998</v>
      </c>
      <c r="U1202">
        <f t="shared" si="291"/>
        <v>718.54722800000002</v>
      </c>
      <c r="V1202">
        <f t="shared" si="305"/>
        <v>1649.9999996564</v>
      </c>
      <c r="W1202">
        <f t="shared" si="292"/>
        <v>7.5447458939999672</v>
      </c>
      <c r="X1202">
        <f t="shared" si="293"/>
        <v>3.3075447452067999</v>
      </c>
      <c r="Y1202">
        <f t="shared" si="294"/>
        <v>4.2372011487931669</v>
      </c>
      <c r="Z1202">
        <f t="shared" si="295"/>
        <v>22484.766340374976</v>
      </c>
      <c r="AB1202">
        <f t="shared" si="296"/>
        <v>1022.252697</v>
      </c>
      <c r="AC1202">
        <f t="shared" si="297"/>
        <v>2347.3988681210999</v>
      </c>
      <c r="AD1202">
        <f t="shared" si="298"/>
        <v>10.733653318499952</v>
      </c>
      <c r="AE1202">
        <f t="shared" si="299"/>
        <v>4.7055313895606998</v>
      </c>
      <c r="AF1202">
        <f t="shared" si="300"/>
        <v>6.0281219289392522</v>
      </c>
      <c r="AG1202">
        <f t="shared" si="306"/>
        <v>23480.016800509744</v>
      </c>
      <c r="AH1202" t="b">
        <f t="shared" si="301"/>
        <v>1</v>
      </c>
    </row>
    <row r="1203" spans="4:34" hidden="1" x14ac:dyDescent="0.4">
      <c r="D1203" t="s">
        <v>52</v>
      </c>
      <c r="E1203" t="s">
        <v>37</v>
      </c>
      <c r="F1203" s="9">
        <v>45733.333333333336</v>
      </c>
      <c r="G1203" s="12">
        <v>5.7119999999999997</v>
      </c>
      <c r="H1203" s="9">
        <v>45735.333333333336</v>
      </c>
      <c r="I1203" s="12">
        <v>5.7910000000000004</v>
      </c>
      <c r="J1203">
        <v>403.7</v>
      </c>
      <c r="K1203" s="12">
        <v>2305.9899999999998</v>
      </c>
      <c r="L1203">
        <v>3.48</v>
      </c>
      <c r="M1203">
        <v>28.41</v>
      </c>
      <c r="N1203" s="13">
        <v>1.23E-2</v>
      </c>
      <c r="O1203" t="s">
        <v>38</v>
      </c>
      <c r="Q1203">
        <f t="shared" si="302"/>
        <v>31.892300000000251</v>
      </c>
      <c r="R1203">
        <f t="shared" si="303"/>
        <v>28.412300000000251</v>
      </c>
      <c r="S1203">
        <f t="shared" si="304"/>
        <v>2337.8267000000001</v>
      </c>
      <c r="U1203">
        <f t="shared" si="291"/>
        <v>288.86554599999999</v>
      </c>
      <c r="V1203">
        <f t="shared" si="305"/>
        <v>1649.9999987519998</v>
      </c>
      <c r="W1203">
        <f t="shared" si="292"/>
        <v>22.82037813400018</v>
      </c>
      <c r="X1203">
        <f t="shared" si="293"/>
        <v>3.3228203756380004</v>
      </c>
      <c r="Y1203">
        <f t="shared" si="294"/>
        <v>19.497557758362181</v>
      </c>
      <c r="Z1203">
        <f t="shared" si="295"/>
        <v>22480.529139226182</v>
      </c>
      <c r="AB1203">
        <f t="shared" si="296"/>
        <v>410.47414099999997</v>
      </c>
      <c r="AC1203">
        <f t="shared" si="297"/>
        <v>2344.6282933919997</v>
      </c>
      <c r="AD1203">
        <f t="shared" si="298"/>
        <v>32.427457139000254</v>
      </c>
      <c r="AE1203">
        <f t="shared" si="299"/>
        <v>4.7216840439230001</v>
      </c>
      <c r="AF1203">
        <f t="shared" si="300"/>
        <v>27.705773095077255</v>
      </c>
      <c r="AG1203">
        <f t="shared" si="306"/>
        <v>23473.988678580805</v>
      </c>
      <c r="AH1203" t="b">
        <f t="shared" si="301"/>
        <v>1</v>
      </c>
    </row>
    <row r="1204" spans="4:34" hidden="1" x14ac:dyDescent="0.4">
      <c r="D1204" t="s">
        <v>55</v>
      </c>
      <c r="E1204" t="s">
        <v>37</v>
      </c>
      <c r="F1204" s="9">
        <v>45733.333333333336</v>
      </c>
      <c r="G1204">
        <v>6.3109999999999997E-5</v>
      </c>
      <c r="H1204" s="9">
        <v>45735.333333333336</v>
      </c>
      <c r="I1204">
        <v>6.3230000000000003E-5</v>
      </c>
      <c r="J1204" s="12">
        <v>93658515.769999996</v>
      </c>
      <c r="K1204" s="12">
        <v>5910.79</v>
      </c>
      <c r="L1204">
        <v>8.8699999999999992</v>
      </c>
      <c r="M1204">
        <v>2.36</v>
      </c>
      <c r="N1204" s="13">
        <v>4.0000000000000002E-4</v>
      </c>
      <c r="O1204" t="s">
        <v>38</v>
      </c>
      <c r="Q1204">
        <f t="shared" si="302"/>
        <v>11.239021892400526</v>
      </c>
      <c r="R1204">
        <f t="shared" si="303"/>
        <v>2.3690218924005269</v>
      </c>
      <c r="S1204">
        <f t="shared" si="304"/>
        <v>5922.0279521371003</v>
      </c>
      <c r="U1204">
        <f t="shared" si="291"/>
        <v>26144826.493423998</v>
      </c>
      <c r="V1204">
        <f t="shared" si="305"/>
        <v>1649.9999999999884</v>
      </c>
      <c r="W1204">
        <f t="shared" si="292"/>
        <v>3.137379179211027</v>
      </c>
      <c r="X1204">
        <f t="shared" si="293"/>
        <v>3.303137379179188</v>
      </c>
      <c r="Y1204">
        <f t="shared" si="294"/>
        <v>-0.16575819996816099</v>
      </c>
      <c r="Z1204">
        <f t="shared" si="295"/>
        <v>22461.031581467822</v>
      </c>
      <c r="AB1204">
        <f t="shared" si="296"/>
        <v>37151827.678772002</v>
      </c>
      <c r="AC1204">
        <f t="shared" si="297"/>
        <v>2344.6518448073011</v>
      </c>
      <c r="AD1204">
        <f t="shared" si="298"/>
        <v>4.4582193214528489</v>
      </c>
      <c r="AE1204">
        <f t="shared" si="299"/>
        <v>4.6937619089360547</v>
      </c>
      <c r="AF1204">
        <f t="shared" si="300"/>
        <v>-0.23554258748320578</v>
      </c>
      <c r="AG1204">
        <f t="shared" si="306"/>
        <v>23446.282905485728</v>
      </c>
      <c r="AH1204" t="b">
        <f t="shared" si="301"/>
        <v>1</v>
      </c>
    </row>
    <row r="1205" spans="4:34" hidden="1" x14ac:dyDescent="0.4">
      <c r="D1205" t="s">
        <v>61</v>
      </c>
      <c r="E1205" t="s">
        <v>37</v>
      </c>
      <c r="F1205" s="9">
        <v>45733.291666666664</v>
      </c>
      <c r="G1205">
        <v>0.71340000000000003</v>
      </c>
      <c r="H1205" s="9">
        <v>45735.291666666664</v>
      </c>
      <c r="I1205">
        <v>0.70950000000000002</v>
      </c>
      <c r="J1205" s="12">
        <v>10999.8</v>
      </c>
      <c r="K1205" s="12">
        <v>7847.29</v>
      </c>
      <c r="L1205">
        <v>11.74</v>
      </c>
      <c r="M1205">
        <v>-54.64</v>
      </c>
      <c r="N1205" s="13">
        <v>-7.0000000000000001E-3</v>
      </c>
      <c r="O1205" t="s">
        <v>38</v>
      </c>
      <c r="Q1205">
        <f t="shared" si="302"/>
        <v>-42.899220000000156</v>
      </c>
      <c r="R1205">
        <f t="shared" si="303"/>
        <v>-54.639220000000158</v>
      </c>
      <c r="S1205">
        <f t="shared" si="304"/>
        <v>7804.3580999999995</v>
      </c>
      <c r="U1205">
        <f t="shared" si="291"/>
        <v>2312.867956</v>
      </c>
      <c r="V1205">
        <f t="shared" si="305"/>
        <v>1649.9999998104001</v>
      </c>
      <c r="W1205">
        <f t="shared" si="292"/>
        <v>-9.020185028400034</v>
      </c>
      <c r="X1205">
        <f t="shared" si="293"/>
        <v>3.2909798145924003</v>
      </c>
      <c r="Y1205">
        <f t="shared" si="294"/>
        <v>-12.311164842992435</v>
      </c>
      <c r="Z1205">
        <f t="shared" si="295"/>
        <v>22461.197339667789</v>
      </c>
      <c r="AB1205">
        <f t="shared" si="296"/>
        <v>3289.0420089999998</v>
      </c>
      <c r="AC1205">
        <f t="shared" si="297"/>
        <v>2346.4025692206001</v>
      </c>
      <c r="AD1205">
        <f t="shared" si="298"/>
        <v>-12.827263835100046</v>
      </c>
      <c r="AE1205">
        <f t="shared" si="299"/>
        <v>4.6799778746061005</v>
      </c>
      <c r="AF1205">
        <f t="shared" si="300"/>
        <v>-17.507241709706147</v>
      </c>
      <c r="AG1205">
        <f t="shared" si="306"/>
        <v>23446.518448073213</v>
      </c>
      <c r="AH1205" t="b">
        <f t="shared" si="301"/>
        <v>1</v>
      </c>
    </row>
    <row r="1206" spans="4:34" hidden="1" x14ac:dyDescent="0.4">
      <c r="D1206" t="s">
        <v>48</v>
      </c>
      <c r="E1206" t="s">
        <v>37</v>
      </c>
      <c r="F1206" s="9">
        <v>45733.208333333336</v>
      </c>
      <c r="G1206">
        <v>0.2389</v>
      </c>
      <c r="H1206" s="9">
        <v>45735.208333333336</v>
      </c>
      <c r="I1206">
        <v>0.22620000000000001</v>
      </c>
      <c r="J1206" s="12">
        <v>11791.6</v>
      </c>
      <c r="K1206" s="12">
        <v>2817.02</v>
      </c>
      <c r="L1206">
        <v>4.1100000000000003</v>
      </c>
      <c r="M1206">
        <v>-153.87</v>
      </c>
      <c r="N1206" s="13">
        <v>-5.4600000000000003E-2</v>
      </c>
      <c r="O1206" t="s">
        <v>38</v>
      </c>
      <c r="Q1206">
        <f t="shared" si="302"/>
        <v>-149.75331999999989</v>
      </c>
      <c r="R1206">
        <f t="shared" si="303"/>
        <v>-153.8633199999999</v>
      </c>
      <c r="S1206">
        <f t="shared" si="304"/>
        <v>2667.2599200000004</v>
      </c>
      <c r="U1206">
        <f t="shared" si="291"/>
        <v>6906.6555040000003</v>
      </c>
      <c r="V1206">
        <f t="shared" si="305"/>
        <v>1649.9999999056001</v>
      </c>
      <c r="W1206">
        <f t="shared" si="292"/>
        <v>-87.71452490079993</v>
      </c>
      <c r="X1206">
        <f t="shared" si="293"/>
        <v>3.2122854749104004</v>
      </c>
      <c r="Y1206">
        <f t="shared" si="294"/>
        <v>-90.926810375710332</v>
      </c>
      <c r="Z1206">
        <f t="shared" si="295"/>
        <v>22473.508504510781</v>
      </c>
      <c r="AB1206">
        <f t="shared" si="296"/>
        <v>9876.117945</v>
      </c>
      <c r="AC1206">
        <f t="shared" si="297"/>
        <v>2359.4045770604998</v>
      </c>
      <c r="AD1206">
        <f t="shared" si="298"/>
        <v>-125.42669790149989</v>
      </c>
      <c r="AE1206">
        <f t="shared" si="299"/>
        <v>4.5933824562195005</v>
      </c>
      <c r="AF1206">
        <f t="shared" si="300"/>
        <v>-130.02008035771939</v>
      </c>
      <c r="AG1206">
        <f t="shared" si="306"/>
        <v>23464.02568978292</v>
      </c>
      <c r="AH1206" t="b">
        <f t="shared" si="301"/>
        <v>1</v>
      </c>
    </row>
    <row r="1207" spans="4:34" hidden="1" x14ac:dyDescent="0.4">
      <c r="D1207" t="s">
        <v>54</v>
      </c>
      <c r="E1207" t="s">
        <v>37</v>
      </c>
      <c r="F1207" s="9">
        <v>45733.041666666664</v>
      </c>
      <c r="G1207">
        <v>127.71</v>
      </c>
      <c r="H1207" s="9">
        <v>45735.041666666664</v>
      </c>
      <c r="I1207">
        <v>125.86</v>
      </c>
      <c r="J1207">
        <v>35.347999999999999</v>
      </c>
      <c r="K1207" s="12">
        <v>4514.33</v>
      </c>
      <c r="L1207">
        <v>6.72</v>
      </c>
      <c r="M1207">
        <v>-72.12</v>
      </c>
      <c r="N1207" s="13">
        <v>-1.6E-2</v>
      </c>
      <c r="O1207" t="s">
        <v>38</v>
      </c>
      <c r="Q1207">
        <f t="shared" si="302"/>
        <v>-65.3937999999998</v>
      </c>
      <c r="R1207">
        <f t="shared" si="303"/>
        <v>-72.113799999999799</v>
      </c>
      <c r="S1207">
        <f t="shared" si="304"/>
        <v>4448.8992799999996</v>
      </c>
      <c r="U1207">
        <f t="shared" si="291"/>
        <v>12.919897000000001</v>
      </c>
      <c r="V1207">
        <f t="shared" si="305"/>
        <v>1650.0000458699999</v>
      </c>
      <c r="W1207">
        <f t="shared" si="292"/>
        <v>-23.901809449999927</v>
      </c>
      <c r="X1207">
        <f t="shared" si="293"/>
        <v>3.2760982822900004</v>
      </c>
      <c r="Y1207">
        <f t="shared" si="294"/>
        <v>-27.177907732289928</v>
      </c>
      <c r="Z1207">
        <f t="shared" si="295"/>
        <v>22564.43531488649</v>
      </c>
      <c r="AB1207">
        <f t="shared" si="296"/>
        <v>18.505185999999998</v>
      </c>
      <c r="AC1207">
        <f t="shared" si="297"/>
        <v>2363.2973040599995</v>
      </c>
      <c r="AD1207">
        <f t="shared" si="298"/>
        <v>-34.234594099999889</v>
      </c>
      <c r="AE1207">
        <f t="shared" si="299"/>
        <v>4.6923600140200001</v>
      </c>
      <c r="AF1207">
        <f t="shared" si="300"/>
        <v>-38.926954114019892</v>
      </c>
      <c r="AG1207">
        <f t="shared" si="306"/>
        <v>23594.045770140641</v>
      </c>
      <c r="AH1207" t="b">
        <f t="shared" si="301"/>
        <v>1</v>
      </c>
    </row>
    <row r="1208" spans="4:34" hidden="1" x14ac:dyDescent="0.4">
      <c r="D1208" t="s">
        <v>50</v>
      </c>
      <c r="E1208" t="s">
        <v>37</v>
      </c>
      <c r="F1208" s="9">
        <v>45733.041666666664</v>
      </c>
      <c r="G1208">
        <v>243.1</v>
      </c>
      <c r="H1208" s="9">
        <v>45735.041666666664</v>
      </c>
      <c r="I1208">
        <v>250.9</v>
      </c>
      <c r="J1208" s="12">
        <v>47.129600000000003</v>
      </c>
      <c r="K1208" s="12">
        <v>11457.22</v>
      </c>
      <c r="L1208">
        <v>17.46</v>
      </c>
      <c r="M1208">
        <v>350.15</v>
      </c>
      <c r="N1208" s="13">
        <v>3.0599999999999999E-2</v>
      </c>
      <c r="O1208" t="s">
        <v>38</v>
      </c>
      <c r="Q1208">
        <f t="shared" si="302"/>
        <v>367.61088000000058</v>
      </c>
      <c r="R1208">
        <f t="shared" si="303"/>
        <v>350.1508800000006</v>
      </c>
      <c r="S1208">
        <f t="shared" si="304"/>
        <v>11824.816640000001</v>
      </c>
      <c r="U1208">
        <f t="shared" si="291"/>
        <v>6.7873299999999999</v>
      </c>
      <c r="V1208">
        <f t="shared" si="305"/>
        <v>1649.9999229999999</v>
      </c>
      <c r="W1208">
        <f t="shared" si="292"/>
        <v>52.941174000000075</v>
      </c>
      <c r="X1208">
        <f t="shared" si="293"/>
        <v>3.3529410199999998</v>
      </c>
      <c r="Y1208">
        <f t="shared" si="294"/>
        <v>49.588232980000072</v>
      </c>
      <c r="Z1208">
        <f t="shared" si="295"/>
        <v>22591.61322261878</v>
      </c>
      <c r="AB1208">
        <f t="shared" si="296"/>
        <v>9.6923739999999992</v>
      </c>
      <c r="AC1208">
        <f t="shared" si="297"/>
        <v>2356.2161193999996</v>
      </c>
      <c r="AD1208">
        <f t="shared" si="298"/>
        <v>75.600517200000098</v>
      </c>
      <c r="AE1208">
        <f t="shared" si="299"/>
        <v>4.7880327559999998</v>
      </c>
      <c r="AF1208">
        <f t="shared" si="300"/>
        <v>70.812484444000091</v>
      </c>
      <c r="AG1208">
        <f t="shared" si="306"/>
        <v>23632.972724254661</v>
      </c>
      <c r="AH1208" t="b">
        <f t="shared" si="301"/>
        <v>1</v>
      </c>
    </row>
    <row r="1209" spans="4:34" hidden="1" x14ac:dyDescent="0.4">
      <c r="D1209" t="s">
        <v>53</v>
      </c>
      <c r="E1209" t="s">
        <v>37</v>
      </c>
      <c r="F1209" s="9">
        <v>45732.541666666664</v>
      </c>
      <c r="G1209">
        <v>600.16</v>
      </c>
      <c r="H1209" s="9">
        <v>45734.541666666664</v>
      </c>
      <c r="I1209">
        <v>628.52</v>
      </c>
      <c r="J1209">
        <v>15.154999999999999</v>
      </c>
      <c r="K1209" s="12">
        <v>9095.65</v>
      </c>
      <c r="L1209">
        <v>13.97</v>
      </c>
      <c r="M1209">
        <v>415.83</v>
      </c>
      <c r="N1209" s="13">
        <v>4.5699999999999998E-2</v>
      </c>
      <c r="O1209" t="s">
        <v>38</v>
      </c>
      <c r="Q1209">
        <f t="shared" si="302"/>
        <v>429.79580000000021</v>
      </c>
      <c r="R1209">
        <f t="shared" si="303"/>
        <v>415.82580000000019</v>
      </c>
      <c r="S1209">
        <f t="shared" si="304"/>
        <v>9525.2205999999987</v>
      </c>
      <c r="U1209">
        <f t="shared" si="291"/>
        <v>2.7492670000000001</v>
      </c>
      <c r="V1209">
        <f t="shared" si="305"/>
        <v>1650.0000827199999</v>
      </c>
      <c r="W1209">
        <f t="shared" si="292"/>
        <v>77.969212120000037</v>
      </c>
      <c r="X1209">
        <f t="shared" si="293"/>
        <v>3.3779693775599995</v>
      </c>
      <c r="Y1209">
        <f t="shared" si="294"/>
        <v>74.591242742440045</v>
      </c>
      <c r="Z1209">
        <f t="shared" si="295"/>
        <v>22542.02498963878</v>
      </c>
      <c r="AB1209">
        <f t="shared" si="296"/>
        <v>3.908312</v>
      </c>
      <c r="AC1209">
        <f t="shared" si="297"/>
        <v>2345.6125299199998</v>
      </c>
      <c r="AD1209">
        <f t="shared" si="298"/>
        <v>110.83972832000005</v>
      </c>
      <c r="AE1209">
        <f t="shared" si="299"/>
        <v>4.8020647881599992</v>
      </c>
      <c r="AF1209">
        <f t="shared" si="300"/>
        <v>106.03766353184005</v>
      </c>
      <c r="AG1209">
        <f t="shared" si="306"/>
        <v>23562.160239810662</v>
      </c>
      <c r="AH1209" t="b">
        <f t="shared" si="301"/>
        <v>1</v>
      </c>
    </row>
    <row r="1210" spans="4:34" hidden="1" x14ac:dyDescent="0.4">
      <c r="D1210" t="s">
        <v>59</v>
      </c>
      <c r="E1210" t="s">
        <v>37</v>
      </c>
      <c r="F1210" s="9">
        <v>45730.958333333336</v>
      </c>
      <c r="G1210" s="12">
        <v>84450.63</v>
      </c>
      <c r="H1210" s="9">
        <v>45733.458333333336</v>
      </c>
      <c r="I1210" s="12">
        <v>83334.009999999995</v>
      </c>
      <c r="J1210">
        <v>0.11998</v>
      </c>
      <c r="K1210" s="12">
        <v>10133.030000000001</v>
      </c>
      <c r="L1210">
        <v>15.1</v>
      </c>
      <c r="M1210">
        <v>-149.07</v>
      </c>
      <c r="N1210" s="13">
        <v>-1.47E-2</v>
      </c>
      <c r="O1210" t="s">
        <v>57</v>
      </c>
      <c r="Q1210">
        <f t="shared" si="302"/>
        <v>-133.9720676000012</v>
      </c>
      <c r="R1210">
        <f t="shared" si="303"/>
        <v>-149.07206760000119</v>
      </c>
      <c r="S1210">
        <f t="shared" si="304"/>
        <v>9998.4145197999987</v>
      </c>
      <c r="U1210">
        <f t="shared" si="291"/>
        <v>1.9538E-2</v>
      </c>
      <c r="V1210">
        <f t="shared" si="305"/>
        <v>1649.99640894</v>
      </c>
      <c r="W1210">
        <f t="shared" si="292"/>
        <v>-21.816521560000194</v>
      </c>
      <c r="X1210">
        <f t="shared" si="293"/>
        <v>3.2781762963200003</v>
      </c>
      <c r="Y1210">
        <f t="shared" si="294"/>
        <v>-25.094697856320195</v>
      </c>
      <c r="Z1210">
        <f t="shared" si="295"/>
        <v>22467.433746896339</v>
      </c>
      <c r="AB1210">
        <f t="shared" si="296"/>
        <v>2.7817000000000001E-2</v>
      </c>
      <c r="AC1210">
        <f t="shared" si="297"/>
        <v>2349.1631747100005</v>
      </c>
      <c r="AD1210">
        <f t="shared" si="298"/>
        <v>-31.061018540000276</v>
      </c>
      <c r="AE1210">
        <f t="shared" si="299"/>
        <v>4.6672653308800012</v>
      </c>
      <c r="AF1210">
        <f t="shared" si="300"/>
        <v>-35.728283870880276</v>
      </c>
      <c r="AG1210">
        <f t="shared" si="306"/>
        <v>23456.122576278824</v>
      </c>
      <c r="AH1210" t="b">
        <f t="shared" si="301"/>
        <v>1</v>
      </c>
    </row>
    <row r="1211" spans="4:34" hidden="1" x14ac:dyDescent="0.4">
      <c r="D1211" t="s">
        <v>58</v>
      </c>
      <c r="E1211" t="s">
        <v>37</v>
      </c>
      <c r="F1211" s="9">
        <v>45731.166666666664</v>
      </c>
      <c r="G1211">
        <v>14.02</v>
      </c>
      <c r="H1211" s="9">
        <v>45733.166666666664</v>
      </c>
      <c r="I1211">
        <v>13.7</v>
      </c>
      <c r="J1211" s="12">
        <v>490.6</v>
      </c>
      <c r="K1211" s="12">
        <v>6878.33</v>
      </c>
      <c r="L1211">
        <v>10.199999999999999</v>
      </c>
      <c r="M1211">
        <v>-167.19</v>
      </c>
      <c r="N1211" s="13">
        <v>-2.4299999999999999E-2</v>
      </c>
      <c r="O1211" t="s">
        <v>38</v>
      </c>
      <c r="Q1211">
        <f t="shared" si="302"/>
        <v>-156.99200000000016</v>
      </c>
      <c r="R1211">
        <f t="shared" si="303"/>
        <v>-167.19200000000015</v>
      </c>
      <c r="S1211">
        <f t="shared" si="304"/>
        <v>6721.22</v>
      </c>
      <c r="U1211">
        <f t="shared" si="291"/>
        <v>117.689016</v>
      </c>
      <c r="V1211">
        <f t="shared" si="305"/>
        <v>1650.0000043199998</v>
      </c>
      <c r="W1211">
        <f t="shared" si="292"/>
        <v>-37.660485120000033</v>
      </c>
      <c r="X1211">
        <f t="shared" si="293"/>
        <v>3.2623395235199997</v>
      </c>
      <c r="Y1211">
        <f t="shared" si="294"/>
        <v>-40.92282464352003</v>
      </c>
      <c r="Z1211">
        <f t="shared" si="295"/>
        <v>22492.528444752657</v>
      </c>
      <c r="AB1211">
        <f t="shared" si="296"/>
        <v>167.97617399999999</v>
      </c>
      <c r="AC1211">
        <f t="shared" si="297"/>
        <v>2355.0259594799995</v>
      </c>
      <c r="AD1211">
        <f t="shared" si="298"/>
        <v>-53.752375680000043</v>
      </c>
      <c r="AE1211">
        <f t="shared" si="299"/>
        <v>4.6562995432799994</v>
      </c>
      <c r="AF1211">
        <f t="shared" si="300"/>
        <v>-58.408675223280042</v>
      </c>
      <c r="AG1211">
        <f t="shared" si="306"/>
        <v>23491.850860149705</v>
      </c>
      <c r="AH1211" t="b">
        <f t="shared" si="301"/>
        <v>1</v>
      </c>
    </row>
    <row r="1212" spans="4:34" hidden="1" x14ac:dyDescent="0.4">
      <c r="D1212" t="s">
        <v>60</v>
      </c>
      <c r="E1212" t="s">
        <v>37</v>
      </c>
      <c r="F1212" s="9">
        <v>45730.583333333336</v>
      </c>
      <c r="G1212">
        <v>2.3361000000000001</v>
      </c>
      <c r="H1212" s="9">
        <v>45733.083333333336</v>
      </c>
      <c r="I1212">
        <v>2.3357999999999999</v>
      </c>
      <c r="J1212">
        <v>920.1</v>
      </c>
      <c r="K1212" s="12">
        <v>2149.5700000000002</v>
      </c>
      <c r="L1212">
        <v>3.22</v>
      </c>
      <c r="M1212">
        <v>-3.5</v>
      </c>
      <c r="N1212" s="13">
        <v>-1.6000000000000001E-3</v>
      </c>
      <c r="O1212" t="s">
        <v>57</v>
      </c>
      <c r="Q1212">
        <f t="shared" si="302"/>
        <v>-0.27603000000017391</v>
      </c>
      <c r="R1212">
        <f t="shared" si="303"/>
        <v>-3.4960300000001743</v>
      </c>
      <c r="S1212">
        <f t="shared" si="304"/>
        <v>2149.1695799999998</v>
      </c>
      <c r="U1212">
        <f t="shared" si="291"/>
        <v>706.30538100000001</v>
      </c>
      <c r="V1212">
        <f t="shared" si="305"/>
        <v>1650.0000005541001</v>
      </c>
      <c r="W1212">
        <f t="shared" si="292"/>
        <v>-0.21189161430013351</v>
      </c>
      <c r="X1212">
        <f t="shared" si="293"/>
        <v>3.2997881094938997</v>
      </c>
      <c r="Y1212">
        <f t="shared" si="294"/>
        <v>-3.5116797237940331</v>
      </c>
      <c r="Z1212">
        <f t="shared" si="295"/>
        <v>22533.451269396177</v>
      </c>
      <c r="AB1212">
        <f t="shared" si="296"/>
        <v>1008.316116</v>
      </c>
      <c r="AC1212">
        <f t="shared" si="297"/>
        <v>2355.5272785876</v>
      </c>
      <c r="AD1212">
        <f t="shared" si="298"/>
        <v>-0.30249483480019057</v>
      </c>
      <c r="AE1212">
        <f t="shared" si="299"/>
        <v>4.7107520623403998</v>
      </c>
      <c r="AF1212">
        <f t="shared" si="300"/>
        <v>-5.0132468971405899</v>
      </c>
      <c r="AG1212">
        <f t="shared" si="306"/>
        <v>23550.259535372985</v>
      </c>
      <c r="AH1212" t="b">
        <f t="shared" si="301"/>
        <v>1</v>
      </c>
    </row>
    <row r="1213" spans="4:34" hidden="1" x14ac:dyDescent="0.4">
      <c r="D1213" t="s">
        <v>48</v>
      </c>
      <c r="E1213" t="s">
        <v>37</v>
      </c>
      <c r="F1213" s="9">
        <v>45731.083333333336</v>
      </c>
      <c r="G1213" s="12">
        <v>0.25190000000000001</v>
      </c>
      <c r="H1213" s="9">
        <v>45733.083333333336</v>
      </c>
      <c r="I1213" s="12">
        <v>0.2404</v>
      </c>
      <c r="J1213" s="12">
        <v>11236</v>
      </c>
      <c r="K1213" s="12">
        <v>2830.36</v>
      </c>
      <c r="L1213">
        <v>4.1500000000000004</v>
      </c>
      <c r="M1213">
        <v>-133.36000000000001</v>
      </c>
      <c r="N1213" s="13">
        <v>-4.7100000000000003E-2</v>
      </c>
      <c r="O1213" t="s">
        <v>38</v>
      </c>
      <c r="Q1213">
        <f t="shared" si="302"/>
        <v>-129.21400000000011</v>
      </c>
      <c r="R1213">
        <f t="shared" si="303"/>
        <v>-133.36400000000012</v>
      </c>
      <c r="S1213">
        <f t="shared" si="304"/>
        <v>2701.1343999999999</v>
      </c>
      <c r="U1213">
        <f t="shared" si="291"/>
        <v>6550.2183409999998</v>
      </c>
      <c r="V1213">
        <f t="shared" si="305"/>
        <v>1650.0000000979001</v>
      </c>
      <c r="W1213">
        <f t="shared" si="292"/>
        <v>-75.327510921500064</v>
      </c>
      <c r="X1213">
        <f t="shared" si="293"/>
        <v>3.2246724892742997</v>
      </c>
      <c r="Y1213">
        <f t="shared" si="294"/>
        <v>-78.552183410774362</v>
      </c>
      <c r="Z1213">
        <f t="shared" si="295"/>
        <v>22536.96294911997</v>
      </c>
      <c r="AB1213">
        <f t="shared" si="296"/>
        <v>9395.7720119999994</v>
      </c>
      <c r="AC1213">
        <f t="shared" si="297"/>
        <v>2366.7949698227999</v>
      </c>
      <c r="AD1213">
        <f t="shared" si="298"/>
        <v>-108.05137813800009</v>
      </c>
      <c r="AE1213">
        <f t="shared" si="299"/>
        <v>4.6255385615075992</v>
      </c>
      <c r="AF1213">
        <f t="shared" si="300"/>
        <v>-112.67691669950769</v>
      </c>
      <c r="AG1213">
        <f t="shared" si="306"/>
        <v>23555.272782270127</v>
      </c>
      <c r="AH1213" t="b">
        <f t="shared" si="301"/>
        <v>1</v>
      </c>
    </row>
    <row r="1214" spans="4:34" hidden="1" x14ac:dyDescent="0.4">
      <c r="D1214" t="s">
        <v>61</v>
      </c>
      <c r="E1214" t="s">
        <v>37</v>
      </c>
      <c r="F1214" s="9">
        <v>45730.791666666664</v>
      </c>
      <c r="G1214">
        <v>0.73650000000000004</v>
      </c>
      <c r="H1214" s="9">
        <v>45732.791666666664</v>
      </c>
      <c r="I1214">
        <v>0.70709999999999995</v>
      </c>
      <c r="J1214" s="12">
        <v>10699.1</v>
      </c>
      <c r="K1214" s="12">
        <v>7879.91</v>
      </c>
      <c r="L1214">
        <v>11.58</v>
      </c>
      <c r="M1214">
        <v>-326.14</v>
      </c>
      <c r="N1214" s="13">
        <v>-4.1399999999999999E-2</v>
      </c>
      <c r="O1214" t="s">
        <v>38</v>
      </c>
      <c r="Q1214">
        <f t="shared" si="302"/>
        <v>-314.55354000000102</v>
      </c>
      <c r="R1214">
        <f t="shared" si="303"/>
        <v>-326.13354000000101</v>
      </c>
      <c r="S1214">
        <f t="shared" si="304"/>
        <v>7565.3336099999997</v>
      </c>
      <c r="U1214">
        <f t="shared" si="291"/>
        <v>2240.3258660000001</v>
      </c>
      <c r="V1214">
        <f t="shared" si="305"/>
        <v>1650.0000003090001</v>
      </c>
      <c r="W1214">
        <f t="shared" si="292"/>
        <v>-65.86558046040021</v>
      </c>
      <c r="X1214">
        <f t="shared" si="293"/>
        <v>3.2341344201575999</v>
      </c>
      <c r="Y1214">
        <f t="shared" si="294"/>
        <v>-69.099714880557812</v>
      </c>
      <c r="Z1214">
        <f t="shared" si="295"/>
        <v>22615.515132530745</v>
      </c>
      <c r="AB1214">
        <f t="shared" si="296"/>
        <v>3227.0854899999999</v>
      </c>
      <c r="AC1214">
        <f t="shared" si="297"/>
        <v>2376.7484633849999</v>
      </c>
      <c r="AD1214">
        <f t="shared" si="298"/>
        <v>-94.876313406000293</v>
      </c>
      <c r="AE1214">
        <f t="shared" si="299"/>
        <v>4.6586206133639996</v>
      </c>
      <c r="AF1214">
        <f t="shared" si="300"/>
        <v>-99.534934019364286</v>
      </c>
      <c r="AG1214">
        <f t="shared" si="306"/>
        <v>23667.949698969634</v>
      </c>
      <c r="AH1214" t="b">
        <f t="shared" si="301"/>
        <v>1</v>
      </c>
    </row>
    <row r="1215" spans="4:34" hidden="1" x14ac:dyDescent="0.4">
      <c r="D1215" t="s">
        <v>50</v>
      </c>
      <c r="E1215" t="s">
        <v>37</v>
      </c>
      <c r="F1215" s="9">
        <v>45730.583333333336</v>
      </c>
      <c r="G1215" s="12">
        <v>244.7</v>
      </c>
      <c r="H1215" s="9">
        <v>45732.583333333336</v>
      </c>
      <c r="I1215" s="12">
        <v>243.4</v>
      </c>
      <c r="J1215">
        <v>46.853299999999997</v>
      </c>
      <c r="K1215" s="12">
        <v>11465.03</v>
      </c>
      <c r="L1215">
        <v>17.149999999999999</v>
      </c>
      <c r="M1215">
        <v>-78.06</v>
      </c>
      <c r="N1215" s="13">
        <v>-6.7999999999999996E-3</v>
      </c>
      <c r="O1215" t="s">
        <v>38</v>
      </c>
      <c r="Q1215">
        <f t="shared" si="302"/>
        <v>-60.909289999999196</v>
      </c>
      <c r="R1215">
        <f t="shared" si="303"/>
        <v>-78.059289999999194</v>
      </c>
      <c r="S1215">
        <f t="shared" si="304"/>
        <v>11404.093219999999</v>
      </c>
      <c r="U1215">
        <f t="shared" si="291"/>
        <v>6.7429509999999997</v>
      </c>
      <c r="V1215">
        <f t="shared" si="305"/>
        <v>1650.0001096999999</v>
      </c>
      <c r="W1215">
        <f t="shared" si="292"/>
        <v>-8.7658362999998847</v>
      </c>
      <c r="X1215">
        <f t="shared" si="293"/>
        <v>3.2912343830999999</v>
      </c>
      <c r="Y1215">
        <f t="shared" si="294"/>
        <v>-12.057070683099884</v>
      </c>
      <c r="Z1215">
        <f t="shared" si="295"/>
        <v>22684.614847411303</v>
      </c>
      <c r="AB1215">
        <f t="shared" si="296"/>
        <v>9.7200100000000003</v>
      </c>
      <c r="AC1215">
        <f t="shared" si="297"/>
        <v>2378.4864469999998</v>
      </c>
      <c r="AD1215">
        <f t="shared" si="298"/>
        <v>-12.636012999999835</v>
      </c>
      <c r="AE1215">
        <f t="shared" si="299"/>
        <v>4.7443368810000006</v>
      </c>
      <c r="AF1215">
        <f t="shared" si="300"/>
        <v>-17.380349880999837</v>
      </c>
      <c r="AG1215">
        <f t="shared" si="306"/>
        <v>23767.484632988999</v>
      </c>
      <c r="AH1215" t="b">
        <f t="shared" si="301"/>
        <v>1</v>
      </c>
    </row>
    <row r="1216" spans="4:34" hidden="1" x14ac:dyDescent="0.4">
      <c r="D1216" t="s">
        <v>56</v>
      </c>
      <c r="E1216" t="s">
        <v>37</v>
      </c>
      <c r="F1216" s="9">
        <v>45731.166666666664</v>
      </c>
      <c r="G1216" s="12">
        <v>1920.74</v>
      </c>
      <c r="H1216" s="9">
        <v>45732.5</v>
      </c>
      <c r="I1216" s="12">
        <v>1886.54</v>
      </c>
      <c r="J1216" s="12">
        <v>2.6903000000000001</v>
      </c>
      <c r="K1216" s="12">
        <v>5167.51</v>
      </c>
      <c r="L1216">
        <v>7.68</v>
      </c>
      <c r="M1216">
        <v>-99.7</v>
      </c>
      <c r="N1216" s="13">
        <v>-1.9300000000000001E-2</v>
      </c>
      <c r="O1216" t="s">
        <v>49</v>
      </c>
      <c r="Q1216">
        <f t="shared" si="302"/>
        <v>-92.008260000000121</v>
      </c>
      <c r="R1216">
        <f t="shared" si="303"/>
        <v>-99.688260000000128</v>
      </c>
      <c r="S1216">
        <f t="shared" si="304"/>
        <v>5075.3585620000003</v>
      </c>
      <c r="U1216">
        <f t="shared" si="291"/>
        <v>0.85904400000000003</v>
      </c>
      <c r="V1216">
        <f t="shared" si="305"/>
        <v>1650.00017256</v>
      </c>
      <c r="W1216">
        <f t="shared" si="292"/>
        <v>-29.379304800000039</v>
      </c>
      <c r="X1216">
        <f t="shared" si="293"/>
        <v>3.27062104032</v>
      </c>
      <c r="Y1216">
        <f t="shared" si="294"/>
        <v>-32.649925840320037</v>
      </c>
      <c r="Z1216">
        <f t="shared" si="295"/>
        <v>22696.671918094402</v>
      </c>
      <c r="AB1216">
        <f t="shared" si="296"/>
        <v>1.2407729999999999</v>
      </c>
      <c r="AC1216">
        <f t="shared" si="297"/>
        <v>2383.2023320199996</v>
      </c>
      <c r="AD1216">
        <f t="shared" si="298"/>
        <v>-42.434436600000055</v>
      </c>
      <c r="AE1216">
        <f t="shared" si="299"/>
        <v>4.7239702274399997</v>
      </c>
      <c r="AF1216">
        <f t="shared" si="300"/>
        <v>-47.158406827440054</v>
      </c>
      <c r="AG1216">
        <f t="shared" si="306"/>
        <v>23784.86498287</v>
      </c>
      <c r="AH1216" t="b">
        <f t="shared" si="301"/>
        <v>1</v>
      </c>
    </row>
    <row r="1217" spans="4:34" hidden="1" x14ac:dyDescent="0.4">
      <c r="D1217" t="s">
        <v>55</v>
      </c>
      <c r="E1217" t="s">
        <v>37</v>
      </c>
      <c r="F1217" s="9">
        <v>45730.5</v>
      </c>
      <c r="G1217">
        <v>6.1760000000000005E-5</v>
      </c>
      <c r="H1217" s="9">
        <v>45732.5</v>
      </c>
      <c r="I1217">
        <v>6.2199999999999994E-5</v>
      </c>
      <c r="J1217" s="12">
        <v>95652032.349999994</v>
      </c>
      <c r="K1217" s="12">
        <v>5907.47</v>
      </c>
      <c r="L1217">
        <v>8.89</v>
      </c>
      <c r="M1217">
        <v>33.19</v>
      </c>
      <c r="N1217" s="13">
        <v>5.5999999999999999E-3</v>
      </c>
      <c r="O1217" t="s">
        <v>38</v>
      </c>
      <c r="Q1217">
        <f t="shared" si="302"/>
        <v>42.086894233998947</v>
      </c>
      <c r="R1217">
        <f t="shared" si="303"/>
        <v>33.196894233998947</v>
      </c>
      <c r="S1217">
        <f t="shared" si="304"/>
        <v>5949.556412169999</v>
      </c>
      <c r="U1217">
        <f t="shared" si="291"/>
        <v>26716321.243523002</v>
      </c>
      <c r="V1217">
        <f t="shared" si="305"/>
        <v>1649.9999999999807</v>
      </c>
      <c r="W1217">
        <f t="shared" si="292"/>
        <v>11.755181347149827</v>
      </c>
      <c r="X1217">
        <f t="shared" si="293"/>
        <v>3.3117551813471113</v>
      </c>
      <c r="Y1217">
        <f t="shared" si="294"/>
        <v>8.4434261658027161</v>
      </c>
      <c r="Z1217">
        <f t="shared" si="295"/>
        <v>22729.321843934722</v>
      </c>
      <c r="AB1217">
        <f t="shared" si="296"/>
        <v>38568384.451871</v>
      </c>
      <c r="AC1217">
        <f t="shared" si="297"/>
        <v>2381.9834237475534</v>
      </c>
      <c r="AD1217">
        <f t="shared" si="298"/>
        <v>16.970089158822816</v>
      </c>
      <c r="AE1217">
        <f t="shared" si="299"/>
        <v>4.7809369366539292</v>
      </c>
      <c r="AF1217">
        <f t="shared" si="300"/>
        <v>12.189152222168886</v>
      </c>
      <c r="AG1217">
        <f t="shared" si="306"/>
        <v>23832.023389697439</v>
      </c>
      <c r="AH1217" t="b">
        <f t="shared" si="301"/>
        <v>1</v>
      </c>
    </row>
    <row r="1218" spans="4:34" hidden="1" x14ac:dyDescent="0.4">
      <c r="D1218" t="s">
        <v>53</v>
      </c>
      <c r="E1218" t="s">
        <v>37</v>
      </c>
      <c r="F1218" s="9">
        <v>45730.416666666664</v>
      </c>
      <c r="G1218">
        <v>579.76</v>
      </c>
      <c r="H1218" s="9">
        <v>45732.416666666664</v>
      </c>
      <c r="I1218">
        <v>602.27</v>
      </c>
      <c r="J1218">
        <v>15.63</v>
      </c>
      <c r="K1218" s="12">
        <v>9061.85</v>
      </c>
      <c r="L1218">
        <v>13.86</v>
      </c>
      <c r="M1218">
        <v>337.97</v>
      </c>
      <c r="N1218" s="13">
        <v>3.73E-2</v>
      </c>
      <c r="O1218" t="s">
        <v>38</v>
      </c>
      <c r="Q1218">
        <f t="shared" si="302"/>
        <v>351.83129999999989</v>
      </c>
      <c r="R1218">
        <f t="shared" si="303"/>
        <v>337.97129999999987</v>
      </c>
      <c r="S1218">
        <f t="shared" si="304"/>
        <v>9413.4801000000007</v>
      </c>
      <c r="U1218">
        <f t="shared" si="291"/>
        <v>2.8460049999999999</v>
      </c>
      <c r="V1218">
        <f t="shared" si="305"/>
        <v>1649.9998587999999</v>
      </c>
      <c r="W1218">
        <f t="shared" si="292"/>
        <v>64.063572549999975</v>
      </c>
      <c r="X1218">
        <f t="shared" si="293"/>
        <v>3.3640632901499998</v>
      </c>
      <c r="Y1218">
        <f t="shared" si="294"/>
        <v>60.699509259849975</v>
      </c>
      <c r="Z1218">
        <f t="shared" si="295"/>
        <v>22720.878417768919</v>
      </c>
      <c r="AB1218">
        <f t="shared" si="296"/>
        <v>4.0935090000000001</v>
      </c>
      <c r="AC1218">
        <f t="shared" si="297"/>
        <v>2373.2527778399999</v>
      </c>
      <c r="AD1218">
        <f t="shared" si="298"/>
        <v>92.144887589999968</v>
      </c>
      <c r="AE1218">
        <f t="shared" si="299"/>
        <v>4.8386504432699997</v>
      </c>
      <c r="AF1218">
        <f t="shared" si="300"/>
        <v>87.30623714672997</v>
      </c>
      <c r="AG1218">
        <f t="shared" si="306"/>
        <v>23819.834237475268</v>
      </c>
      <c r="AH1218" t="b">
        <f t="shared" si="301"/>
        <v>1</v>
      </c>
    </row>
    <row r="1219" spans="4:34" hidden="1" x14ac:dyDescent="0.4">
      <c r="D1219" t="s">
        <v>52</v>
      </c>
      <c r="E1219" t="s">
        <v>37</v>
      </c>
      <c r="F1219" s="9">
        <v>45730.333333333336</v>
      </c>
      <c r="G1219">
        <v>5.5209999999999999</v>
      </c>
      <c r="H1219" s="9">
        <v>45732.333333333336</v>
      </c>
      <c r="I1219">
        <v>5.8390000000000004</v>
      </c>
      <c r="J1219">
        <v>415.34</v>
      </c>
      <c r="K1219" s="12">
        <v>2293.13</v>
      </c>
      <c r="L1219">
        <v>3.54</v>
      </c>
      <c r="M1219" s="12">
        <v>128.54</v>
      </c>
      <c r="N1219" s="13">
        <v>5.6099999999999997E-2</v>
      </c>
      <c r="O1219" t="s">
        <v>38</v>
      </c>
      <c r="Q1219">
        <f t="shared" si="302"/>
        <v>132.07812000000021</v>
      </c>
      <c r="R1219">
        <f t="shared" si="303"/>
        <v>128.53812000000022</v>
      </c>
      <c r="S1219">
        <f t="shared" si="304"/>
        <v>2425.1702599999999</v>
      </c>
      <c r="U1219">
        <f t="shared" si="291"/>
        <v>298.858902</v>
      </c>
      <c r="V1219">
        <f t="shared" si="305"/>
        <v>1649.9999979419999</v>
      </c>
      <c r="W1219">
        <f t="shared" si="292"/>
        <v>95.037130836000145</v>
      </c>
      <c r="X1219">
        <f t="shared" si="293"/>
        <v>3.3950371267200001</v>
      </c>
      <c r="Y1219">
        <f t="shared" si="294"/>
        <v>91.642093709280147</v>
      </c>
      <c r="Z1219">
        <f t="shared" si="295"/>
        <v>22660.178908509068</v>
      </c>
      <c r="AB1219">
        <f t="shared" si="296"/>
        <v>427.48494899999997</v>
      </c>
      <c r="AC1219">
        <f t="shared" si="297"/>
        <v>2360.1444034289998</v>
      </c>
      <c r="AD1219">
        <f t="shared" si="298"/>
        <v>135.9402137820002</v>
      </c>
      <c r="AE1219">
        <f t="shared" si="299"/>
        <v>4.8562290206399998</v>
      </c>
      <c r="AF1219">
        <f t="shared" si="300"/>
        <v>131.0839847613602</v>
      </c>
      <c r="AG1219">
        <f t="shared" si="306"/>
        <v>23732.528000328537</v>
      </c>
      <c r="AH1219" t="b">
        <f t="shared" si="301"/>
        <v>1</v>
      </c>
    </row>
    <row r="1220" spans="4:34" hidden="1" x14ac:dyDescent="0.4">
      <c r="D1220" t="s">
        <v>43</v>
      </c>
      <c r="E1220" t="s">
        <v>37</v>
      </c>
      <c r="F1220" s="9">
        <v>45730.25</v>
      </c>
      <c r="G1220">
        <v>2.1831</v>
      </c>
      <c r="H1220" s="9">
        <v>45732.25</v>
      </c>
      <c r="I1220">
        <v>2.3540000000000001</v>
      </c>
      <c r="J1220" s="12">
        <v>778</v>
      </c>
      <c r="K1220" s="12">
        <v>1698.64</v>
      </c>
      <c r="L1220">
        <v>2.65</v>
      </c>
      <c r="M1220">
        <v>130.31</v>
      </c>
      <c r="N1220" s="13">
        <v>7.6700000000000004E-2</v>
      </c>
      <c r="O1220" t="s">
        <v>38</v>
      </c>
      <c r="Q1220">
        <f t="shared" si="302"/>
        <v>132.96020000000004</v>
      </c>
      <c r="R1220">
        <f t="shared" si="303"/>
        <v>130.31020000000004</v>
      </c>
      <c r="S1220">
        <f t="shared" si="304"/>
        <v>1831.412</v>
      </c>
      <c r="U1220">
        <f t="shared" si="291"/>
        <v>755.80596400000002</v>
      </c>
      <c r="V1220">
        <f t="shared" si="305"/>
        <v>1650.0000000084001</v>
      </c>
      <c r="W1220">
        <f t="shared" si="292"/>
        <v>129.16723924760004</v>
      </c>
      <c r="X1220">
        <f t="shared" si="293"/>
        <v>3.4291672392644004</v>
      </c>
      <c r="Y1220">
        <f t="shared" si="294"/>
        <v>125.73807200833564</v>
      </c>
      <c r="Z1220">
        <f t="shared" si="295"/>
        <v>22568.536814799787</v>
      </c>
      <c r="AB1220">
        <f t="shared" si="296"/>
        <v>1072.921519</v>
      </c>
      <c r="AC1220">
        <f t="shared" si="297"/>
        <v>2342.2949681289001</v>
      </c>
      <c r="AD1220">
        <f t="shared" si="298"/>
        <v>183.36228759710005</v>
      </c>
      <c r="AE1220">
        <f t="shared" si="299"/>
        <v>4.8679522238549007</v>
      </c>
      <c r="AF1220">
        <f t="shared" si="300"/>
        <v>178.49433537324515</v>
      </c>
      <c r="AG1220">
        <f t="shared" si="306"/>
        <v>23601.444015567176</v>
      </c>
      <c r="AH1220" t="b">
        <f t="shared" si="301"/>
        <v>1</v>
      </c>
    </row>
    <row r="1221" spans="4:34" hidden="1" x14ac:dyDescent="0.4">
      <c r="D1221" t="s">
        <v>54</v>
      </c>
      <c r="E1221" t="s">
        <v>37</v>
      </c>
      <c r="F1221" s="9">
        <v>45730.208333333336</v>
      </c>
      <c r="G1221">
        <v>124.86</v>
      </c>
      <c r="H1221" s="9">
        <v>45732.208333333336</v>
      </c>
      <c r="I1221">
        <v>135.18</v>
      </c>
      <c r="J1221">
        <v>35.863999999999997</v>
      </c>
      <c r="K1221" s="12">
        <v>4478.0200000000004</v>
      </c>
      <c r="L1221">
        <v>6.99</v>
      </c>
      <c r="M1221">
        <v>363.12</v>
      </c>
      <c r="N1221" s="13">
        <v>8.1100000000000005E-2</v>
      </c>
      <c r="O1221" t="s">
        <v>38</v>
      </c>
      <c r="Q1221">
        <f t="shared" si="302"/>
        <v>370.11648000000025</v>
      </c>
      <c r="R1221">
        <f t="shared" si="303"/>
        <v>363.12648000000024</v>
      </c>
      <c r="S1221">
        <f t="shared" si="304"/>
        <v>4848.0955199999999</v>
      </c>
      <c r="U1221">
        <f t="shared" si="291"/>
        <v>13.214801</v>
      </c>
      <c r="V1221">
        <f t="shared" si="305"/>
        <v>1650.0000528599999</v>
      </c>
      <c r="W1221">
        <f t="shared" si="292"/>
        <v>136.37674632000008</v>
      </c>
      <c r="X1221">
        <f t="shared" si="293"/>
        <v>3.4363768520400004</v>
      </c>
      <c r="Y1221">
        <f t="shared" si="294"/>
        <v>132.94036946796007</v>
      </c>
      <c r="Z1221">
        <f t="shared" si="295"/>
        <v>22442.798742791452</v>
      </c>
      <c r="AB1221">
        <f t="shared" si="296"/>
        <v>18.609434</v>
      </c>
      <c r="AC1221">
        <f t="shared" si="297"/>
        <v>2323.5739292399999</v>
      </c>
      <c r="AD1221">
        <f t="shared" si="298"/>
        <v>192.04935888000014</v>
      </c>
      <c r="AE1221">
        <f t="shared" si="299"/>
        <v>4.8391972173600006</v>
      </c>
      <c r="AF1221">
        <f t="shared" si="300"/>
        <v>187.21016166264013</v>
      </c>
      <c r="AG1221">
        <f t="shared" si="306"/>
        <v>23422.949680193931</v>
      </c>
      <c r="AH1221" t="b">
        <f t="shared" si="301"/>
        <v>1</v>
      </c>
    </row>
    <row r="1222" spans="4:34" hidden="1" x14ac:dyDescent="0.4">
      <c r="D1222" t="s">
        <v>58</v>
      </c>
      <c r="E1222" t="s">
        <v>37</v>
      </c>
      <c r="F1222" s="9">
        <v>45728.791666666664</v>
      </c>
      <c r="G1222" s="12">
        <v>13.2</v>
      </c>
      <c r="H1222" s="9">
        <v>45730.791666666664</v>
      </c>
      <c r="I1222" s="12">
        <v>14.55</v>
      </c>
      <c r="J1222">
        <v>515.89</v>
      </c>
      <c r="K1222" s="12">
        <v>6809.75</v>
      </c>
      <c r="L1222">
        <v>10.74</v>
      </c>
      <c r="M1222">
        <v>685.71</v>
      </c>
      <c r="N1222" s="13">
        <v>0.1007</v>
      </c>
      <c r="O1222" t="s">
        <v>38</v>
      </c>
      <c r="Q1222">
        <f t="shared" si="302"/>
        <v>696.45150000000069</v>
      </c>
      <c r="R1222">
        <f t="shared" si="303"/>
        <v>685.71150000000068</v>
      </c>
      <c r="S1222">
        <f t="shared" si="304"/>
        <v>7506.1994999999997</v>
      </c>
      <c r="U1222">
        <f t="shared" si="291"/>
        <v>125</v>
      </c>
      <c r="V1222">
        <f t="shared" si="305"/>
        <v>1650</v>
      </c>
      <c r="W1222">
        <f t="shared" si="292"/>
        <v>168.75000000000017</v>
      </c>
      <c r="X1222">
        <f t="shared" si="293"/>
        <v>3.46875</v>
      </c>
      <c r="Y1222">
        <f t="shared" si="294"/>
        <v>165.28125000000017</v>
      </c>
      <c r="Z1222">
        <f t="shared" si="295"/>
        <v>22309.858373323492</v>
      </c>
      <c r="AB1222">
        <f t="shared" si="296"/>
        <v>174.282534</v>
      </c>
      <c r="AC1222">
        <f t="shared" si="297"/>
        <v>2300.5294488</v>
      </c>
      <c r="AD1222">
        <f t="shared" si="298"/>
        <v>235.28142090000026</v>
      </c>
      <c r="AE1222">
        <f t="shared" si="299"/>
        <v>4.8363403185000005</v>
      </c>
      <c r="AF1222">
        <f t="shared" si="300"/>
        <v>230.44508058150026</v>
      </c>
      <c r="AG1222">
        <f t="shared" si="306"/>
        <v>23235.739518531293</v>
      </c>
      <c r="AH1222" t="b">
        <f t="shared" si="301"/>
        <v>1</v>
      </c>
    </row>
    <row r="1223" spans="4:34" hidden="1" x14ac:dyDescent="0.4">
      <c r="D1223" t="s">
        <v>55</v>
      </c>
      <c r="E1223" t="s">
        <v>37</v>
      </c>
      <c r="F1223" s="9">
        <v>45728.5</v>
      </c>
      <c r="G1223">
        <v>6.1639999999999999E-5</v>
      </c>
      <c r="H1223" s="9">
        <v>45730.5</v>
      </c>
      <c r="I1223">
        <v>6.1760000000000005E-5</v>
      </c>
      <c r="J1223" s="12">
        <v>95833978.810000002</v>
      </c>
      <c r="K1223" s="12">
        <v>5907.21</v>
      </c>
      <c r="L1223">
        <v>8.8699999999999992</v>
      </c>
      <c r="M1223">
        <v>2.63</v>
      </c>
      <c r="N1223" s="13">
        <v>4.0000000000000002E-4</v>
      </c>
      <c r="O1223" t="s">
        <v>38</v>
      </c>
      <c r="Q1223">
        <f t="shared" si="302"/>
        <v>11.50007745720054</v>
      </c>
      <c r="R1223">
        <f t="shared" si="303"/>
        <v>2.6300774572005405</v>
      </c>
      <c r="S1223">
        <f t="shared" si="304"/>
        <v>5918.7065313056009</v>
      </c>
      <c r="U1223">
        <f t="shared" si="291"/>
        <v>26768332.251784999</v>
      </c>
      <c r="V1223">
        <f t="shared" si="305"/>
        <v>1650.0000000000273</v>
      </c>
      <c r="W1223">
        <f t="shared" si="292"/>
        <v>3.2121998702143504</v>
      </c>
      <c r="X1223">
        <f t="shared" si="293"/>
        <v>3.3032121998702699</v>
      </c>
      <c r="Y1223">
        <f t="shared" si="294"/>
        <v>-9.1012329655919544E-2</v>
      </c>
      <c r="Z1223">
        <f t="shared" si="295"/>
        <v>22144.577123323492</v>
      </c>
      <c r="AB1223">
        <f t="shared" si="296"/>
        <v>37322227.990792997</v>
      </c>
      <c r="AC1223">
        <f t="shared" si="297"/>
        <v>2300.5421333524805</v>
      </c>
      <c r="AD1223">
        <f t="shared" si="298"/>
        <v>4.47866735889537</v>
      </c>
      <c r="AE1223">
        <f t="shared" si="299"/>
        <v>4.6055629340638573</v>
      </c>
      <c r="AF1223">
        <f t="shared" si="300"/>
        <v>-0.12689557516848726</v>
      </c>
      <c r="AG1223">
        <f t="shared" si="306"/>
        <v>23005.294437949793</v>
      </c>
      <c r="AH1223" t="b">
        <f t="shared" si="301"/>
        <v>1</v>
      </c>
    </row>
    <row r="1224" spans="4:34" hidden="1" x14ac:dyDescent="0.4">
      <c r="D1224" t="s">
        <v>60</v>
      </c>
      <c r="E1224" t="s">
        <v>37</v>
      </c>
      <c r="F1224" s="9">
        <v>45727.666666666664</v>
      </c>
      <c r="G1224">
        <v>2.1351</v>
      </c>
      <c r="H1224" s="9">
        <v>45730.166666666664</v>
      </c>
      <c r="I1224">
        <v>2.2907000000000002</v>
      </c>
      <c r="J1224">
        <v>999.6</v>
      </c>
      <c r="K1224" s="12">
        <v>2134.35</v>
      </c>
      <c r="L1224">
        <v>3.32</v>
      </c>
      <c r="M1224">
        <v>152.22</v>
      </c>
      <c r="N1224" s="13">
        <v>7.1300000000000002E-2</v>
      </c>
      <c r="O1224" t="s">
        <v>57</v>
      </c>
      <c r="Q1224">
        <f t="shared" si="302"/>
        <v>155.53776000000019</v>
      </c>
      <c r="R1224">
        <f t="shared" si="303"/>
        <v>152.2177600000002</v>
      </c>
      <c r="S1224">
        <f t="shared" si="304"/>
        <v>2289.7837200000004</v>
      </c>
      <c r="U1224">
        <f t="shared" si="291"/>
        <v>772.79752699999995</v>
      </c>
      <c r="V1224">
        <f t="shared" si="305"/>
        <v>1649.9999998976998</v>
      </c>
      <c r="W1224">
        <f t="shared" si="292"/>
        <v>120.24729520120013</v>
      </c>
      <c r="X1224">
        <f t="shared" si="293"/>
        <v>3.4202472949966003</v>
      </c>
      <c r="Y1224">
        <f t="shared" si="294"/>
        <v>116.82704790620353</v>
      </c>
      <c r="Z1224">
        <f t="shared" si="295"/>
        <v>22144.668135653148</v>
      </c>
      <c r="AB1224">
        <f t="shared" si="296"/>
        <v>1069.9114010000001</v>
      </c>
      <c r="AC1224">
        <f t="shared" si="297"/>
        <v>2284.3678322751002</v>
      </c>
      <c r="AD1224">
        <f t="shared" si="298"/>
        <v>166.47821399560021</v>
      </c>
      <c r="AE1224">
        <f t="shared" si="299"/>
        <v>4.7352138785458013</v>
      </c>
      <c r="AF1224">
        <f t="shared" si="300"/>
        <v>161.74300011705441</v>
      </c>
      <c r="AG1224">
        <f t="shared" si="306"/>
        <v>23005.421333524962</v>
      </c>
      <c r="AH1224" t="b">
        <f t="shared" si="301"/>
        <v>1</v>
      </c>
    </row>
    <row r="1225" spans="4:34" hidden="1" x14ac:dyDescent="0.4">
      <c r="D1225" t="s">
        <v>59</v>
      </c>
      <c r="E1225" t="s">
        <v>37</v>
      </c>
      <c r="F1225" s="9">
        <v>45727.666666666664</v>
      </c>
      <c r="G1225" s="12">
        <v>81200.679999999993</v>
      </c>
      <c r="H1225" s="9">
        <v>45730.166666666664</v>
      </c>
      <c r="I1225" s="12">
        <v>81876</v>
      </c>
      <c r="J1225">
        <v>0.12470000000000001</v>
      </c>
      <c r="K1225" s="12">
        <v>10126.14</v>
      </c>
      <c r="L1225">
        <v>15.25</v>
      </c>
      <c r="M1225">
        <v>68.959999999999994</v>
      </c>
      <c r="N1225" s="13">
        <v>6.7999999999999996E-3</v>
      </c>
      <c r="O1225" t="s">
        <v>57</v>
      </c>
      <c r="Q1225">
        <f t="shared" si="302"/>
        <v>84.212404000000873</v>
      </c>
      <c r="R1225">
        <f t="shared" si="303"/>
        <v>68.962404000000873</v>
      </c>
      <c r="S1225">
        <f t="shared" si="304"/>
        <v>10209.9372</v>
      </c>
      <c r="U1225">
        <f t="shared" si="291"/>
        <v>2.0320000000000001E-2</v>
      </c>
      <c r="V1225">
        <f t="shared" si="305"/>
        <v>1649.9978176</v>
      </c>
      <c r="W1225">
        <f t="shared" si="292"/>
        <v>13.722502400000144</v>
      </c>
      <c r="X1225">
        <f t="shared" si="293"/>
        <v>3.3137181376000004</v>
      </c>
      <c r="Y1225">
        <f t="shared" si="294"/>
        <v>10.408784262400143</v>
      </c>
      <c r="Z1225">
        <f t="shared" si="295"/>
        <v>22027.841087746943</v>
      </c>
      <c r="AB1225">
        <f t="shared" si="296"/>
        <v>2.8115000000000001E-2</v>
      </c>
      <c r="AC1225">
        <f t="shared" si="297"/>
        <v>2282.9571182</v>
      </c>
      <c r="AD1225">
        <f t="shared" si="298"/>
        <v>18.986621800000197</v>
      </c>
      <c r="AE1225">
        <f t="shared" si="299"/>
        <v>4.5849008582000002</v>
      </c>
      <c r="AF1225">
        <f t="shared" si="300"/>
        <v>14.401720941800196</v>
      </c>
      <c r="AG1225">
        <f t="shared" si="306"/>
        <v>22843.678333407908</v>
      </c>
      <c r="AH1225" t="b">
        <f t="shared" si="301"/>
        <v>1</v>
      </c>
    </row>
    <row r="1226" spans="4:34" hidden="1" x14ac:dyDescent="0.4">
      <c r="D1226" t="s">
        <v>43</v>
      </c>
      <c r="E1226" t="s">
        <v>37</v>
      </c>
      <c r="F1226" s="9">
        <v>45728.083333333336</v>
      </c>
      <c r="G1226">
        <v>2.2755999999999998</v>
      </c>
      <c r="H1226" s="9">
        <v>45730.083333333336</v>
      </c>
      <c r="I1226">
        <v>2.1840999999999999</v>
      </c>
      <c r="J1226" s="12">
        <v>749.5</v>
      </c>
      <c r="K1226" s="12">
        <v>1705.74</v>
      </c>
      <c r="L1226">
        <v>2.5099999999999998</v>
      </c>
      <c r="M1226" s="12">
        <v>-71.09</v>
      </c>
      <c r="N1226" s="13">
        <v>-4.1700000000000001E-2</v>
      </c>
      <c r="O1226" t="s">
        <v>38</v>
      </c>
      <c r="Q1226">
        <f t="shared" si="302"/>
        <v>-68.579249999999931</v>
      </c>
      <c r="R1226">
        <f t="shared" si="303"/>
        <v>-71.089249999999936</v>
      </c>
      <c r="S1226">
        <f t="shared" si="304"/>
        <v>1636.9829499999998</v>
      </c>
      <c r="U1226">
        <f t="shared" si="291"/>
        <v>725.08349399999997</v>
      </c>
      <c r="V1226">
        <f t="shared" si="305"/>
        <v>1649.9999989463997</v>
      </c>
      <c r="W1226">
        <f t="shared" si="292"/>
        <v>-66.345139700999937</v>
      </c>
      <c r="X1226">
        <f t="shared" si="293"/>
        <v>3.2336548581917994</v>
      </c>
      <c r="Y1226">
        <f t="shared" si="294"/>
        <v>-69.578794559191735</v>
      </c>
      <c r="Z1226">
        <f t="shared" si="295"/>
        <v>22017.432303484544</v>
      </c>
      <c r="AB1226">
        <f t="shared" si="296"/>
        <v>1007.468491</v>
      </c>
      <c r="AC1226">
        <f t="shared" si="297"/>
        <v>2292.5952981195996</v>
      </c>
      <c r="AD1226">
        <f t="shared" si="298"/>
        <v>-92.183366926499914</v>
      </c>
      <c r="AE1226">
        <f t="shared" si="299"/>
        <v>4.4930072293126999</v>
      </c>
      <c r="AF1226">
        <f t="shared" si="300"/>
        <v>-96.67637415581261</v>
      </c>
      <c r="AG1226">
        <f t="shared" si="306"/>
        <v>22829.276612466107</v>
      </c>
      <c r="AH1226" t="b">
        <f t="shared" si="301"/>
        <v>1</v>
      </c>
    </row>
    <row r="1227" spans="4:34" hidden="1" x14ac:dyDescent="0.4">
      <c r="D1227" t="s">
        <v>52</v>
      </c>
      <c r="E1227" t="s">
        <v>37</v>
      </c>
      <c r="F1227" s="9">
        <v>45728.083333333336</v>
      </c>
      <c r="G1227">
        <v>5.4859999999999998</v>
      </c>
      <c r="H1227" s="9">
        <v>45730.083333333336</v>
      </c>
      <c r="I1227">
        <v>5.4669999999999996</v>
      </c>
      <c r="J1227">
        <v>418.2</v>
      </c>
      <c r="K1227" s="12">
        <v>2294.27</v>
      </c>
      <c r="L1227">
        <v>3.44</v>
      </c>
      <c r="M1227">
        <v>-11.38</v>
      </c>
      <c r="N1227" s="13">
        <v>-5.0000000000000001E-3</v>
      </c>
      <c r="O1227" t="s">
        <v>38</v>
      </c>
      <c r="Q1227">
        <f t="shared" si="302"/>
        <v>-7.9458000000000535</v>
      </c>
      <c r="R1227">
        <f t="shared" si="303"/>
        <v>-11.385800000000053</v>
      </c>
      <c r="S1227">
        <f t="shared" si="304"/>
        <v>2286.2993999999999</v>
      </c>
      <c r="U1227">
        <f t="shared" si="291"/>
        <v>300.76558499999999</v>
      </c>
      <c r="V1227">
        <f t="shared" si="305"/>
        <v>1649.9999993099998</v>
      </c>
      <c r="W1227">
        <f t="shared" si="292"/>
        <v>-5.7145461150000383</v>
      </c>
      <c r="X1227">
        <f t="shared" si="293"/>
        <v>3.2942854525049996</v>
      </c>
      <c r="Y1227">
        <f t="shared" si="294"/>
        <v>-9.0088315675050374</v>
      </c>
      <c r="Z1227">
        <f t="shared" si="295"/>
        <v>22087.011098043735</v>
      </c>
      <c r="AB1227">
        <f t="shared" si="296"/>
        <v>418.127546</v>
      </c>
      <c r="AC1227">
        <f t="shared" si="297"/>
        <v>2293.847717356</v>
      </c>
      <c r="AD1227">
        <f t="shared" si="298"/>
        <v>-7.9444233740000536</v>
      </c>
      <c r="AE1227">
        <f t="shared" si="299"/>
        <v>4.5797510113379998</v>
      </c>
      <c r="AF1227">
        <f t="shared" si="300"/>
        <v>-12.524174385338053</v>
      </c>
      <c r="AG1227">
        <f t="shared" si="306"/>
        <v>22925.95298662192</v>
      </c>
      <c r="AH1227" t="b">
        <f t="shared" si="301"/>
        <v>1</v>
      </c>
    </row>
    <row r="1228" spans="4:34" hidden="1" x14ac:dyDescent="0.4">
      <c r="D1228" t="s">
        <v>54</v>
      </c>
      <c r="E1228" t="s">
        <v>37</v>
      </c>
      <c r="F1228" s="9">
        <v>45728.083333333336</v>
      </c>
      <c r="G1228">
        <v>126.15</v>
      </c>
      <c r="H1228" s="9">
        <v>45730.083333333336</v>
      </c>
      <c r="I1228">
        <v>124.56</v>
      </c>
      <c r="J1228">
        <v>35.546999999999997</v>
      </c>
      <c r="K1228" s="12">
        <v>4484.34</v>
      </c>
      <c r="L1228">
        <v>6.68</v>
      </c>
      <c r="M1228">
        <v>-63.2</v>
      </c>
      <c r="N1228" s="13">
        <v>-1.41E-2</v>
      </c>
      <c r="O1228" t="s">
        <v>38</v>
      </c>
      <c r="Q1228">
        <f t="shared" si="302"/>
        <v>-56.519730000000116</v>
      </c>
      <c r="R1228">
        <f t="shared" si="303"/>
        <v>-63.199730000000116</v>
      </c>
      <c r="S1228">
        <f t="shared" si="304"/>
        <v>4427.7343199999996</v>
      </c>
      <c r="U1228">
        <f t="shared" si="291"/>
        <v>13.079667000000001</v>
      </c>
      <c r="V1228">
        <f t="shared" si="305"/>
        <v>1649.9999920500002</v>
      </c>
      <c r="W1228">
        <f t="shared" si="292"/>
        <v>-20.796670530000046</v>
      </c>
      <c r="X1228">
        <f t="shared" si="293"/>
        <v>3.2792033135700001</v>
      </c>
      <c r="Y1228">
        <f t="shared" si="294"/>
        <v>-24.075873843570047</v>
      </c>
      <c r="Z1228">
        <f t="shared" si="295"/>
        <v>22096.019929611241</v>
      </c>
      <c r="AB1228">
        <f t="shared" si="296"/>
        <v>18.210065</v>
      </c>
      <c r="AC1228">
        <f t="shared" si="297"/>
        <v>2297.19969975</v>
      </c>
      <c r="AD1228">
        <f t="shared" si="298"/>
        <v>-28.954003350000061</v>
      </c>
      <c r="AE1228">
        <f t="shared" si="299"/>
        <v>4.5654453961499994</v>
      </c>
      <c r="AF1228">
        <f t="shared" si="300"/>
        <v>-33.519448746150061</v>
      </c>
      <c r="AG1228">
        <f t="shared" si="306"/>
        <v>22938.477161007257</v>
      </c>
      <c r="AH1228" t="b">
        <f t="shared" si="301"/>
        <v>1</v>
      </c>
    </row>
    <row r="1229" spans="4:34" hidden="1" x14ac:dyDescent="0.4">
      <c r="D1229" t="s">
        <v>61</v>
      </c>
      <c r="E1229" t="s">
        <v>37</v>
      </c>
      <c r="F1229" s="9">
        <v>45728.083333333336</v>
      </c>
      <c r="G1229">
        <v>0.74209999999999998</v>
      </c>
      <c r="H1229" s="9">
        <v>45730.083333333336</v>
      </c>
      <c r="I1229">
        <v>0.70240000000000002</v>
      </c>
      <c r="J1229" s="12">
        <v>10677</v>
      </c>
      <c r="K1229" s="12">
        <v>7923.45</v>
      </c>
      <c r="L1229">
        <v>11.57</v>
      </c>
      <c r="M1229">
        <v>-435.44</v>
      </c>
      <c r="N1229" s="13">
        <v>-5.5E-2</v>
      </c>
      <c r="O1229" t="s">
        <v>38</v>
      </c>
      <c r="Q1229">
        <f t="shared" si="302"/>
        <v>-423.87689999999952</v>
      </c>
      <c r="R1229">
        <f t="shared" si="303"/>
        <v>-435.44689999999952</v>
      </c>
      <c r="S1229">
        <f t="shared" si="304"/>
        <v>7499.5248000000001</v>
      </c>
      <c r="U1229">
        <f t="shared" ref="U1229:U1292" si="307">ROUND(($Q$2)/G1229,6)</f>
        <v>2223.420024</v>
      </c>
      <c r="V1229">
        <f t="shared" si="305"/>
        <v>1649.9999998103999</v>
      </c>
      <c r="W1229">
        <f t="shared" ref="W1229:W1292" si="308">U1229*(I1229-G1229)</f>
        <v>-88.269774952799906</v>
      </c>
      <c r="X1229">
        <f t="shared" ref="X1229:X1292" si="309">(G1229+I1229)*$R$2*U1229</f>
        <v>3.2117302246680004</v>
      </c>
      <c r="Y1229">
        <f t="shared" ref="Y1229:Y1292" si="310">W1229-X1229</f>
        <v>-91.481505177467909</v>
      </c>
      <c r="Z1229">
        <f t="shared" ref="Z1229:Z1292" si="311">Z1230+Y1229</f>
        <v>22120.095803454809</v>
      </c>
      <c r="AB1229">
        <f t="shared" ref="AB1229:AB1292" si="312">ROUND(((AH1229*AG1230 +(1-AH1229)*AI1229)/$P$2)/G1229,6)</f>
        <v>3112.7976159999998</v>
      </c>
      <c r="AC1229">
        <f t="shared" ref="AC1229:AC1292" si="313">AB1229*G1229</f>
        <v>2310.0071108335997</v>
      </c>
      <c r="AD1229">
        <f t="shared" ref="AD1229:AD1292" si="314">AB1229*(I1229-G1229)</f>
        <v>-123.57806535519987</v>
      </c>
      <c r="AE1229">
        <f t="shared" ref="AE1229:AE1292" si="315">(G1229+I1229)*$R$2*AB1229</f>
        <v>4.4964361563120008</v>
      </c>
      <c r="AF1229">
        <f t="shared" ref="AF1229:AF1292" si="316">AD1229-AE1229</f>
        <v>-128.07450151151187</v>
      </c>
      <c r="AG1229">
        <f t="shared" si="306"/>
        <v>22971.996609753405</v>
      </c>
      <c r="AH1229" t="b">
        <f t="shared" ref="AH1229:AH1292" si="317">ISBLANK(AI1229)</f>
        <v>1</v>
      </c>
    </row>
    <row r="1230" spans="4:34" hidden="1" x14ac:dyDescent="0.4">
      <c r="D1230" t="s">
        <v>53</v>
      </c>
      <c r="E1230" t="s">
        <v>37</v>
      </c>
      <c r="F1230" s="9">
        <v>45728.083333333336</v>
      </c>
      <c r="G1230">
        <v>554.87</v>
      </c>
      <c r="H1230" s="9">
        <v>45730.083333333336</v>
      </c>
      <c r="I1230">
        <v>581.82000000000005</v>
      </c>
      <c r="J1230" s="12">
        <v>16.254999999999999</v>
      </c>
      <c r="K1230" s="12">
        <v>9019.43</v>
      </c>
      <c r="L1230">
        <v>13.86</v>
      </c>
      <c r="M1230">
        <v>424.21</v>
      </c>
      <c r="N1230" s="13">
        <v>4.7E-2</v>
      </c>
      <c r="O1230" t="s">
        <v>38</v>
      </c>
      <c r="Q1230">
        <f t="shared" ref="Q1230:Q1293" si="318">(I1230-G1230)*J1230</f>
        <v>438.07225000000074</v>
      </c>
      <c r="R1230">
        <f t="shared" ref="R1230:R1293" si="319">Q1230-L1230</f>
        <v>424.21225000000072</v>
      </c>
      <c r="S1230">
        <f t="shared" ref="S1230:S1293" si="320">I1230*J1230</f>
        <v>9457.4840999999997</v>
      </c>
      <c r="U1230">
        <f t="shared" si="307"/>
        <v>2.9736699999999998</v>
      </c>
      <c r="V1230">
        <f t="shared" ref="V1230:V1293" si="321">U1230*G1230</f>
        <v>1650.0002728999998</v>
      </c>
      <c r="W1230">
        <f t="shared" si="308"/>
        <v>80.140406500000125</v>
      </c>
      <c r="X1230">
        <f t="shared" si="309"/>
        <v>3.3801409522999997</v>
      </c>
      <c r="Y1230">
        <f t="shared" si="310"/>
        <v>76.760265547700129</v>
      </c>
      <c r="Z1230">
        <f t="shared" si="311"/>
        <v>22211.577308632277</v>
      </c>
      <c r="AB1230">
        <f t="shared" si="312"/>
        <v>4.143872</v>
      </c>
      <c r="AC1230">
        <f t="shared" si="313"/>
        <v>2299.3102566399998</v>
      </c>
      <c r="AD1230">
        <f t="shared" si="314"/>
        <v>111.67735040000019</v>
      </c>
      <c r="AE1230">
        <f t="shared" si="315"/>
        <v>4.7102978636800001</v>
      </c>
      <c r="AF1230">
        <f t="shared" si="316"/>
        <v>106.9670525363202</v>
      </c>
      <c r="AG1230">
        <f t="shared" si="306"/>
        <v>23100.071111264919</v>
      </c>
      <c r="AH1230" t="b">
        <f t="shared" si="317"/>
        <v>1</v>
      </c>
    </row>
    <row r="1231" spans="4:34" hidden="1" x14ac:dyDescent="0.4">
      <c r="D1231" t="s">
        <v>50</v>
      </c>
      <c r="E1231" t="s">
        <v>37</v>
      </c>
      <c r="F1231" s="9">
        <v>45727.583333333336</v>
      </c>
      <c r="G1231" s="12">
        <v>246.2</v>
      </c>
      <c r="H1231" s="9">
        <v>45729.583333333336</v>
      </c>
      <c r="I1231" s="12">
        <v>245.2</v>
      </c>
      <c r="J1231">
        <v>46.593800000000002</v>
      </c>
      <c r="K1231" s="12">
        <v>11471.4</v>
      </c>
      <c r="L1231">
        <v>17.170000000000002</v>
      </c>
      <c r="M1231">
        <v>-63.77</v>
      </c>
      <c r="N1231" s="13">
        <v>-5.5999999999999999E-3</v>
      </c>
      <c r="O1231" t="s">
        <v>38</v>
      </c>
      <c r="Q1231">
        <f t="shared" si="318"/>
        <v>-46.593800000000002</v>
      </c>
      <c r="R1231">
        <f t="shared" si="319"/>
        <v>-63.763800000000003</v>
      </c>
      <c r="S1231">
        <f t="shared" si="320"/>
        <v>11424.79976</v>
      </c>
      <c r="U1231">
        <f t="shared" si="307"/>
        <v>6.7018680000000002</v>
      </c>
      <c r="V1231">
        <f t="shared" si="321"/>
        <v>1649.9999015999999</v>
      </c>
      <c r="W1231">
        <f t="shared" si="308"/>
        <v>-6.7018680000000002</v>
      </c>
      <c r="X1231">
        <f t="shared" si="309"/>
        <v>3.2932979352</v>
      </c>
      <c r="Y1231">
        <f t="shared" si="310"/>
        <v>-9.9951659351999993</v>
      </c>
      <c r="Z1231">
        <f t="shared" si="311"/>
        <v>22134.817043084578</v>
      </c>
      <c r="AB1231">
        <f t="shared" si="312"/>
        <v>9.3448580000000003</v>
      </c>
      <c r="AC1231">
        <f t="shared" si="313"/>
        <v>2300.7040395999998</v>
      </c>
      <c r="AD1231">
        <f t="shared" si="314"/>
        <v>-9.3448580000000003</v>
      </c>
      <c r="AE1231">
        <f t="shared" si="315"/>
        <v>4.5920632212000001</v>
      </c>
      <c r="AF1231">
        <f t="shared" si="316"/>
        <v>-13.9369212212</v>
      </c>
      <c r="AG1231">
        <f t="shared" si="306"/>
        <v>22993.104058728597</v>
      </c>
      <c r="AH1231" t="b">
        <f t="shared" si="317"/>
        <v>1</v>
      </c>
    </row>
    <row r="1232" spans="4:34" hidden="1" x14ac:dyDescent="0.4">
      <c r="D1232" t="s">
        <v>55</v>
      </c>
      <c r="E1232" t="s">
        <v>37</v>
      </c>
      <c r="F1232" s="9">
        <v>45726.416666666664</v>
      </c>
      <c r="G1232">
        <v>6.0800000000000001E-5</v>
      </c>
      <c r="H1232" s="9">
        <v>45728.416666666664</v>
      </c>
      <c r="I1232">
        <v>6.1580000000000003E-5</v>
      </c>
      <c r="J1232" s="12">
        <v>97048148.920000002</v>
      </c>
      <c r="K1232" s="12">
        <v>5900.53</v>
      </c>
      <c r="L1232">
        <v>8.91</v>
      </c>
      <c r="M1232">
        <v>66.790000000000006</v>
      </c>
      <c r="N1232" s="13">
        <v>1.1299999999999999E-2</v>
      </c>
      <c r="O1232" t="s">
        <v>38</v>
      </c>
      <c r="Q1232">
        <f t="shared" si="318"/>
        <v>75.69755615760026</v>
      </c>
      <c r="R1232">
        <f t="shared" si="319"/>
        <v>66.787556157600264</v>
      </c>
      <c r="S1232">
        <f t="shared" si="320"/>
        <v>5976.2250104936002</v>
      </c>
      <c r="U1232">
        <f t="shared" si="307"/>
        <v>27138157.894737002</v>
      </c>
      <c r="V1232">
        <f t="shared" si="321"/>
        <v>1650.0000000000098</v>
      </c>
      <c r="W1232">
        <f t="shared" si="308"/>
        <v>21.167763157894935</v>
      </c>
      <c r="X1232">
        <f t="shared" si="309"/>
        <v>3.3211677631579146</v>
      </c>
      <c r="Y1232">
        <f t="shared" si="310"/>
        <v>17.846595394737022</v>
      </c>
      <c r="Z1232">
        <f t="shared" si="311"/>
        <v>22144.812209019779</v>
      </c>
      <c r="AB1232">
        <f t="shared" si="312"/>
        <v>37799643.385636002</v>
      </c>
      <c r="AC1232">
        <f t="shared" si="313"/>
        <v>2298.2183178466689</v>
      </c>
      <c r="AD1232">
        <f t="shared" si="314"/>
        <v>29.483721840796182</v>
      </c>
      <c r="AE1232">
        <f t="shared" si="315"/>
        <v>4.6259203575341346</v>
      </c>
      <c r="AF1232">
        <f t="shared" si="316"/>
        <v>24.857801483262048</v>
      </c>
      <c r="AG1232">
        <f t="shared" si="306"/>
        <v>23007.040979949797</v>
      </c>
      <c r="AH1232" t="b">
        <f t="shared" si="317"/>
        <v>1</v>
      </c>
    </row>
    <row r="1233" spans="4:34" hidden="1" x14ac:dyDescent="0.4">
      <c r="D1233" t="s">
        <v>48</v>
      </c>
      <c r="E1233" t="s">
        <v>37</v>
      </c>
      <c r="F1233" s="9">
        <v>45725.291666666664</v>
      </c>
      <c r="G1233">
        <v>0.43509999999999999</v>
      </c>
      <c r="H1233" s="9">
        <v>45727.291666666664</v>
      </c>
      <c r="I1233">
        <v>0.29260000000000003</v>
      </c>
      <c r="J1233" s="12">
        <v>6726.2</v>
      </c>
      <c r="K1233" s="12">
        <v>2926.57</v>
      </c>
      <c r="L1233">
        <v>3.67</v>
      </c>
      <c r="M1233">
        <v>-962.15</v>
      </c>
      <c r="N1233" s="13">
        <v>-0.32879999999999998</v>
      </c>
      <c r="O1233" t="s">
        <v>38</v>
      </c>
      <c r="Q1233">
        <f t="shared" si="318"/>
        <v>-958.48349999999971</v>
      </c>
      <c r="R1233">
        <f t="shared" si="319"/>
        <v>-962.15349999999967</v>
      </c>
      <c r="S1233">
        <f t="shared" si="320"/>
        <v>1968.0861200000002</v>
      </c>
      <c r="U1233">
        <f t="shared" si="307"/>
        <v>3792.231671</v>
      </c>
      <c r="V1233">
        <f t="shared" si="321"/>
        <v>1650.0000000520999</v>
      </c>
      <c r="W1233">
        <f t="shared" si="308"/>
        <v>-540.39301311749989</v>
      </c>
      <c r="X1233">
        <f t="shared" si="309"/>
        <v>2.7596069869867002</v>
      </c>
      <c r="Y1233">
        <f t="shared" si="310"/>
        <v>-543.15262010448657</v>
      </c>
      <c r="Z1233">
        <f t="shared" si="311"/>
        <v>22126.965613625041</v>
      </c>
      <c r="AB1233">
        <f t="shared" si="312"/>
        <v>5461.8409789999996</v>
      </c>
      <c r="AC1233">
        <f t="shared" si="313"/>
        <v>2376.4470099628998</v>
      </c>
      <c r="AD1233">
        <f t="shared" si="314"/>
        <v>-778.3123395074997</v>
      </c>
      <c r="AE1233">
        <f t="shared" si="315"/>
        <v>3.9745816804183001</v>
      </c>
      <c r="AF1233">
        <f t="shared" si="316"/>
        <v>-782.28692118791798</v>
      </c>
      <c r="AG1233">
        <f t="shared" si="306"/>
        <v>22982.183178466534</v>
      </c>
      <c r="AH1233" t="b">
        <f t="shared" si="317"/>
        <v>1</v>
      </c>
    </row>
    <row r="1234" spans="4:34" hidden="1" x14ac:dyDescent="0.4">
      <c r="D1234" t="s">
        <v>56</v>
      </c>
      <c r="E1234" t="s">
        <v>37</v>
      </c>
      <c r="F1234" s="9">
        <v>45726.041666666664</v>
      </c>
      <c r="G1234" s="12">
        <v>2036.13</v>
      </c>
      <c r="H1234" s="9">
        <v>45726.75</v>
      </c>
      <c r="I1234" s="12">
        <v>1974.34</v>
      </c>
      <c r="J1234">
        <v>2.5459999999999998</v>
      </c>
      <c r="K1234" s="12">
        <v>5184.01</v>
      </c>
      <c r="L1234">
        <v>7.66</v>
      </c>
      <c r="M1234">
        <v>-164.97</v>
      </c>
      <c r="N1234" s="13">
        <v>-3.1800000000000002E-2</v>
      </c>
      <c r="O1234" t="s">
        <v>49</v>
      </c>
      <c r="Q1234">
        <f t="shared" si="318"/>
        <v>-157.31734000000048</v>
      </c>
      <c r="R1234">
        <f t="shared" si="319"/>
        <v>-164.97734000000048</v>
      </c>
      <c r="S1234">
        <f t="shared" si="320"/>
        <v>5026.6696399999992</v>
      </c>
      <c r="U1234">
        <f t="shared" si="307"/>
        <v>0.810361</v>
      </c>
      <c r="V1234">
        <f t="shared" si="321"/>
        <v>1650.00034293</v>
      </c>
      <c r="W1234">
        <f t="shared" si="308"/>
        <v>-50.072206190000152</v>
      </c>
      <c r="X1234">
        <f t="shared" si="309"/>
        <v>3.2499284796700003</v>
      </c>
      <c r="Y1234">
        <f t="shared" si="310"/>
        <v>-53.322134669670149</v>
      </c>
      <c r="Z1234">
        <f t="shared" si="311"/>
        <v>22670.118233729529</v>
      </c>
      <c r="AB1234">
        <f t="shared" si="312"/>
        <v>1.1709229999999999</v>
      </c>
      <c r="AC1234">
        <f t="shared" si="313"/>
        <v>2384.1514479900002</v>
      </c>
      <c r="AD1234">
        <f t="shared" si="314"/>
        <v>-72.351332170000219</v>
      </c>
      <c r="AE1234">
        <f t="shared" si="315"/>
        <v>4.6959515638100005</v>
      </c>
      <c r="AF1234">
        <f t="shared" si="316"/>
        <v>-77.047283733810218</v>
      </c>
      <c r="AG1234">
        <f t="shared" si="306"/>
        <v>23764.470099654452</v>
      </c>
      <c r="AH1234" t="b">
        <f t="shared" si="317"/>
        <v>1</v>
      </c>
    </row>
    <row r="1235" spans="4:34" hidden="1" x14ac:dyDescent="0.4">
      <c r="D1235" t="s">
        <v>50</v>
      </c>
      <c r="E1235" t="s">
        <v>37</v>
      </c>
      <c r="F1235" s="9">
        <v>45723.25</v>
      </c>
      <c r="G1235">
        <v>282.7</v>
      </c>
      <c r="H1235" s="9">
        <v>45725.25</v>
      </c>
      <c r="I1235">
        <v>271.3</v>
      </c>
      <c r="J1235" s="12">
        <v>40.7483</v>
      </c>
      <c r="K1235" s="12">
        <v>11519.55</v>
      </c>
      <c r="L1235">
        <v>16.93</v>
      </c>
      <c r="M1235">
        <v>-481.46</v>
      </c>
      <c r="N1235" s="13">
        <v>-4.1799999999999997E-2</v>
      </c>
      <c r="O1235" t="s">
        <v>38</v>
      </c>
      <c r="Q1235">
        <f t="shared" si="318"/>
        <v>-464.53061999999909</v>
      </c>
      <c r="R1235">
        <f t="shared" si="319"/>
        <v>-481.4606199999991</v>
      </c>
      <c r="S1235">
        <f t="shared" si="320"/>
        <v>11055.013790000001</v>
      </c>
      <c r="U1235">
        <f t="shared" si="307"/>
        <v>5.836576</v>
      </c>
      <c r="V1235">
        <f t="shared" si="321"/>
        <v>1650.0000352</v>
      </c>
      <c r="W1235">
        <f t="shared" si="308"/>
        <v>-66.536966399999869</v>
      </c>
      <c r="X1235">
        <f t="shared" si="309"/>
        <v>3.2334631040000001</v>
      </c>
      <c r="Y1235">
        <f t="shared" si="310"/>
        <v>-69.770429503999864</v>
      </c>
      <c r="Z1235">
        <f t="shared" si="311"/>
        <v>22723.440368399199</v>
      </c>
      <c r="AB1235">
        <f t="shared" si="312"/>
        <v>8.4693170000000002</v>
      </c>
      <c r="AC1235">
        <f t="shared" si="313"/>
        <v>2394.2759158999997</v>
      </c>
      <c r="AD1235">
        <f t="shared" si="314"/>
        <v>-96.55021379999981</v>
      </c>
      <c r="AE1235">
        <f t="shared" si="315"/>
        <v>4.6920016180000008</v>
      </c>
      <c r="AF1235">
        <f t="shared" si="316"/>
        <v>-101.24221541799982</v>
      </c>
      <c r="AG1235">
        <f t="shared" si="306"/>
        <v>23841.517383388262</v>
      </c>
      <c r="AH1235" t="b">
        <f t="shared" si="317"/>
        <v>1</v>
      </c>
    </row>
    <row r="1236" spans="4:34" hidden="1" x14ac:dyDescent="0.4">
      <c r="D1236" t="s">
        <v>48</v>
      </c>
      <c r="E1236" t="s">
        <v>37</v>
      </c>
      <c r="F1236" s="9">
        <v>45723.083333333336</v>
      </c>
      <c r="G1236">
        <v>0.41349999999999998</v>
      </c>
      <c r="H1236" s="9">
        <v>45725.083333333336</v>
      </c>
      <c r="I1236">
        <v>0.43490000000000001</v>
      </c>
      <c r="J1236" s="12">
        <v>7042.2</v>
      </c>
      <c r="K1236" s="12">
        <v>2911.95</v>
      </c>
      <c r="L1236">
        <v>4.4800000000000004</v>
      </c>
      <c r="M1236">
        <v>146.22</v>
      </c>
      <c r="N1236" s="13">
        <v>5.0200000000000002E-2</v>
      </c>
      <c r="O1236" t="s">
        <v>38</v>
      </c>
      <c r="Q1236">
        <f t="shared" si="318"/>
        <v>150.7030800000002</v>
      </c>
      <c r="R1236">
        <f t="shared" si="319"/>
        <v>146.22308000000021</v>
      </c>
      <c r="S1236">
        <f t="shared" si="320"/>
        <v>3062.6527799999999</v>
      </c>
      <c r="U1236">
        <f t="shared" si="307"/>
        <v>3990.3264810000001</v>
      </c>
      <c r="V1236">
        <f t="shared" si="321"/>
        <v>1649.9999998935</v>
      </c>
      <c r="W1236">
        <f t="shared" si="308"/>
        <v>85.392986693400118</v>
      </c>
      <c r="X1236">
        <f t="shared" si="309"/>
        <v>3.3853929864804</v>
      </c>
      <c r="Y1236">
        <f t="shared" si="310"/>
        <v>82.007593706919721</v>
      </c>
      <c r="Z1236">
        <f t="shared" si="311"/>
        <v>22793.210797903197</v>
      </c>
      <c r="AB1236">
        <f t="shared" si="312"/>
        <v>5761.6321260000004</v>
      </c>
      <c r="AC1236">
        <f t="shared" si="313"/>
        <v>2382.4348841010001</v>
      </c>
      <c r="AD1236">
        <f t="shared" si="314"/>
        <v>123.29892749640018</v>
      </c>
      <c r="AE1236">
        <f t="shared" si="315"/>
        <v>4.8881686956984005</v>
      </c>
      <c r="AF1236">
        <f t="shared" si="316"/>
        <v>118.41075880070179</v>
      </c>
      <c r="AG1236">
        <f t="shared" si="306"/>
        <v>23942.75959880626</v>
      </c>
      <c r="AH1236" t="b">
        <f t="shared" si="317"/>
        <v>1</v>
      </c>
    </row>
    <row r="1237" spans="4:34" hidden="1" x14ac:dyDescent="0.4">
      <c r="D1237" t="s">
        <v>53</v>
      </c>
      <c r="E1237" t="s">
        <v>37</v>
      </c>
      <c r="F1237" s="9">
        <v>45723.083333333336</v>
      </c>
      <c r="G1237">
        <v>592.79999999999995</v>
      </c>
      <c r="H1237" s="9">
        <v>45725.083333333336</v>
      </c>
      <c r="I1237">
        <v>588.96</v>
      </c>
      <c r="J1237">
        <v>15.227</v>
      </c>
      <c r="K1237" s="12">
        <v>9026.6299999999992</v>
      </c>
      <c r="L1237">
        <v>13.5</v>
      </c>
      <c r="M1237">
        <v>-71.97</v>
      </c>
      <c r="N1237" s="13">
        <v>-8.0000000000000002E-3</v>
      </c>
      <c r="O1237" t="s">
        <v>38</v>
      </c>
      <c r="Q1237">
        <f t="shared" si="318"/>
        <v>-58.471679999998756</v>
      </c>
      <c r="R1237">
        <f t="shared" si="319"/>
        <v>-71.971679999998756</v>
      </c>
      <c r="S1237">
        <f t="shared" si="320"/>
        <v>8968.0939200000012</v>
      </c>
      <c r="U1237">
        <f t="shared" si="307"/>
        <v>2.783401</v>
      </c>
      <c r="V1237">
        <f t="shared" si="321"/>
        <v>1650.0001127999999</v>
      </c>
      <c r="W1237">
        <f t="shared" si="308"/>
        <v>-10.688259839999771</v>
      </c>
      <c r="X1237">
        <f t="shared" si="309"/>
        <v>3.2893119657599996</v>
      </c>
      <c r="Y1237">
        <f t="shared" si="310"/>
        <v>-13.977571805759771</v>
      </c>
      <c r="Z1237">
        <f t="shared" si="311"/>
        <v>22711.203204196278</v>
      </c>
      <c r="AB1237">
        <f t="shared" si="312"/>
        <v>4.0223599999999999</v>
      </c>
      <c r="AC1237">
        <f t="shared" si="313"/>
        <v>2384.4550079999999</v>
      </c>
      <c r="AD1237">
        <f t="shared" si="314"/>
        <v>-15.445862399999671</v>
      </c>
      <c r="AE1237">
        <f t="shared" si="315"/>
        <v>4.7534641535999995</v>
      </c>
      <c r="AF1237">
        <f t="shared" si="316"/>
        <v>-20.199326553599668</v>
      </c>
      <c r="AG1237">
        <f t="shared" si="306"/>
        <v>23824.348840005558</v>
      </c>
      <c r="AH1237" t="b">
        <f t="shared" si="317"/>
        <v>1</v>
      </c>
    </row>
    <row r="1238" spans="4:34" hidden="1" x14ac:dyDescent="0.4">
      <c r="D1238" t="s">
        <v>58</v>
      </c>
      <c r="E1238" t="s">
        <v>37</v>
      </c>
      <c r="F1238" s="9">
        <v>45722.666666666664</v>
      </c>
      <c r="G1238">
        <v>17.23</v>
      </c>
      <c r="H1238" s="9">
        <v>45724.666666666664</v>
      </c>
      <c r="I1238">
        <v>15.3</v>
      </c>
      <c r="J1238">
        <v>399.76</v>
      </c>
      <c r="K1238" s="12">
        <v>6887.88</v>
      </c>
      <c r="L1238">
        <v>9.75</v>
      </c>
      <c r="M1238">
        <v>-781.29</v>
      </c>
      <c r="N1238" s="13">
        <v>-0.1134</v>
      </c>
      <c r="O1238" t="s">
        <v>38</v>
      </c>
      <c r="Q1238">
        <f t="shared" si="318"/>
        <v>-771.53679999999986</v>
      </c>
      <c r="R1238">
        <f t="shared" si="319"/>
        <v>-781.28679999999986</v>
      </c>
      <c r="S1238">
        <f t="shared" si="320"/>
        <v>6116.3280000000004</v>
      </c>
      <c r="U1238">
        <f t="shared" si="307"/>
        <v>95.763204000000002</v>
      </c>
      <c r="V1238">
        <f t="shared" si="321"/>
        <v>1650.00000492</v>
      </c>
      <c r="W1238">
        <f t="shared" si="308"/>
        <v>-184.82298371999997</v>
      </c>
      <c r="X1238">
        <f t="shared" si="309"/>
        <v>3.1151770261200005</v>
      </c>
      <c r="Y1238">
        <f t="shared" si="310"/>
        <v>-187.93816074611996</v>
      </c>
      <c r="Z1238">
        <f t="shared" si="311"/>
        <v>22725.180776002038</v>
      </c>
      <c r="AB1238">
        <f t="shared" si="312"/>
        <v>139.984163</v>
      </c>
      <c r="AC1238">
        <f t="shared" si="313"/>
        <v>2411.9271284900001</v>
      </c>
      <c r="AD1238">
        <f t="shared" si="314"/>
        <v>-270.16943458999992</v>
      </c>
      <c r="AE1238">
        <f t="shared" si="315"/>
        <v>4.5536848223900002</v>
      </c>
      <c r="AF1238">
        <f t="shared" si="316"/>
        <v>-274.72311941238991</v>
      </c>
      <c r="AG1238">
        <f t="shared" si="306"/>
        <v>23844.548166559158</v>
      </c>
      <c r="AH1238" t="b">
        <f t="shared" si="317"/>
        <v>1</v>
      </c>
    </row>
    <row r="1239" spans="4:34" hidden="1" x14ac:dyDescent="0.4">
      <c r="D1239" t="s">
        <v>54</v>
      </c>
      <c r="E1239" t="s">
        <v>37</v>
      </c>
      <c r="F1239" s="9">
        <v>45721.791666666664</v>
      </c>
      <c r="G1239">
        <v>144.52000000000001</v>
      </c>
      <c r="H1239" s="9">
        <v>45723.791666666664</v>
      </c>
      <c r="I1239">
        <v>149.61000000000001</v>
      </c>
      <c r="J1239">
        <v>30.925000000000001</v>
      </c>
      <c r="K1239" s="12">
        <v>4469.28</v>
      </c>
      <c r="L1239">
        <v>6.82</v>
      </c>
      <c r="M1239">
        <v>150.59</v>
      </c>
      <c r="N1239" s="13">
        <v>3.3700000000000001E-2</v>
      </c>
      <c r="O1239" t="s">
        <v>38</v>
      </c>
      <c r="Q1239">
        <f t="shared" si="318"/>
        <v>157.40825000000012</v>
      </c>
      <c r="R1239">
        <f t="shared" si="319"/>
        <v>150.58825000000013</v>
      </c>
      <c r="S1239">
        <f t="shared" si="320"/>
        <v>4626.6892500000004</v>
      </c>
      <c r="U1239">
        <f t="shared" si="307"/>
        <v>11.417104999999999</v>
      </c>
      <c r="V1239">
        <f t="shared" si="321"/>
        <v>1650.0000146</v>
      </c>
      <c r="W1239">
        <f t="shared" si="308"/>
        <v>58.113064450000039</v>
      </c>
      <c r="X1239">
        <f t="shared" si="309"/>
        <v>3.3581130936499997</v>
      </c>
      <c r="Y1239">
        <f t="shared" si="310"/>
        <v>54.754951356350041</v>
      </c>
      <c r="Z1239">
        <f t="shared" si="311"/>
        <v>22913.118936748157</v>
      </c>
      <c r="AB1239">
        <f t="shared" si="312"/>
        <v>16.634028000000001</v>
      </c>
      <c r="AC1239">
        <f t="shared" si="313"/>
        <v>2403.9497265600003</v>
      </c>
      <c r="AD1239">
        <f t="shared" si="314"/>
        <v>84.66720252000006</v>
      </c>
      <c r="AE1239">
        <f t="shared" si="315"/>
        <v>4.8925666556400005</v>
      </c>
      <c r="AF1239">
        <f t="shared" si="316"/>
        <v>79.774635864360064</v>
      </c>
      <c r="AG1239">
        <f t="shared" si="306"/>
        <v>24119.271285971547</v>
      </c>
      <c r="AH1239" t="b">
        <f t="shared" si="317"/>
        <v>1</v>
      </c>
    </row>
    <row r="1240" spans="4:34" hidden="1" x14ac:dyDescent="0.4">
      <c r="D1240" t="s">
        <v>43</v>
      </c>
      <c r="E1240" t="s">
        <v>37</v>
      </c>
      <c r="F1240" s="9">
        <v>45721.75</v>
      </c>
      <c r="G1240" s="12">
        <v>2.5384000000000002</v>
      </c>
      <c r="H1240" s="9">
        <v>45723.75</v>
      </c>
      <c r="I1240" s="12">
        <v>2.6890999999999998</v>
      </c>
      <c r="J1240">
        <v>668.1</v>
      </c>
      <c r="K1240" s="12">
        <v>1695.94</v>
      </c>
      <c r="L1240">
        <v>2.62</v>
      </c>
      <c r="M1240">
        <v>98.06</v>
      </c>
      <c r="N1240" s="13">
        <v>5.7799999999999997E-2</v>
      </c>
      <c r="O1240" t="s">
        <v>38</v>
      </c>
      <c r="Q1240">
        <f t="shared" si="318"/>
        <v>100.68266999999975</v>
      </c>
      <c r="R1240">
        <f t="shared" si="319"/>
        <v>98.062669999999741</v>
      </c>
      <c r="S1240">
        <f t="shared" si="320"/>
        <v>1796.58771</v>
      </c>
      <c r="U1240">
        <f t="shared" si="307"/>
        <v>650.01575800000001</v>
      </c>
      <c r="V1240">
        <f t="shared" si="321"/>
        <v>1650.0000001072001</v>
      </c>
      <c r="W1240">
        <f t="shared" si="308"/>
        <v>97.957374730599753</v>
      </c>
      <c r="X1240">
        <f t="shared" si="309"/>
        <v>3.3979573749450003</v>
      </c>
      <c r="Y1240">
        <f t="shared" si="310"/>
        <v>94.559417355654759</v>
      </c>
      <c r="Z1240">
        <f t="shared" si="311"/>
        <v>22858.363985391807</v>
      </c>
      <c r="AB1240">
        <f t="shared" si="312"/>
        <v>941.63702999999998</v>
      </c>
      <c r="AC1240">
        <f t="shared" si="313"/>
        <v>2390.2514369519999</v>
      </c>
      <c r="AD1240">
        <f t="shared" si="314"/>
        <v>141.90470042099963</v>
      </c>
      <c r="AE1240">
        <f t="shared" si="315"/>
        <v>4.9224075743250006</v>
      </c>
      <c r="AF1240">
        <f t="shared" si="316"/>
        <v>136.98229284667462</v>
      </c>
      <c r="AG1240">
        <f t="shared" si="306"/>
        <v>24039.496650107187</v>
      </c>
      <c r="AH1240" t="b">
        <f t="shared" si="317"/>
        <v>1</v>
      </c>
    </row>
    <row r="1241" spans="4:34" hidden="1" x14ac:dyDescent="0.4">
      <c r="D1241" t="s">
        <v>56</v>
      </c>
      <c r="E1241" t="s">
        <v>37</v>
      </c>
      <c r="F1241" s="9">
        <v>45721.25</v>
      </c>
      <c r="G1241" s="12">
        <v>2179.5</v>
      </c>
      <c r="H1241" s="9">
        <v>45723.75</v>
      </c>
      <c r="I1241" s="12">
        <v>2161.81</v>
      </c>
      <c r="J1241">
        <v>2.3807999999999998</v>
      </c>
      <c r="K1241" s="12">
        <v>5189</v>
      </c>
      <c r="L1241">
        <v>7.75</v>
      </c>
      <c r="M1241">
        <v>-49.87</v>
      </c>
      <c r="N1241" s="13">
        <v>-9.5999999999999992E-3</v>
      </c>
      <c r="O1241" t="s">
        <v>57</v>
      </c>
      <c r="Q1241">
        <f t="shared" si="318"/>
        <v>-42.116352000000127</v>
      </c>
      <c r="R1241">
        <f t="shared" si="319"/>
        <v>-49.866352000000127</v>
      </c>
      <c r="S1241">
        <f t="shared" si="320"/>
        <v>5146.8372479999998</v>
      </c>
      <c r="U1241">
        <f t="shared" si="307"/>
        <v>0.757054</v>
      </c>
      <c r="V1241">
        <f t="shared" si="321"/>
        <v>1649.9991930000001</v>
      </c>
      <c r="W1241">
        <f t="shared" si="308"/>
        <v>-13.392285260000042</v>
      </c>
      <c r="X1241">
        <f t="shared" si="309"/>
        <v>3.2866061007399998</v>
      </c>
      <c r="Y1241">
        <f t="shared" si="310"/>
        <v>-16.678891360740042</v>
      </c>
      <c r="Z1241">
        <f t="shared" si="311"/>
        <v>22763.80456803615</v>
      </c>
      <c r="AB1241">
        <f t="shared" si="312"/>
        <v>1.097807</v>
      </c>
      <c r="AC1241">
        <f t="shared" si="313"/>
        <v>2392.6703564999998</v>
      </c>
      <c r="AD1241">
        <f t="shared" si="314"/>
        <v>-19.420205830000061</v>
      </c>
      <c r="AE1241">
        <f t="shared" si="315"/>
        <v>4.7659205071699997</v>
      </c>
      <c r="AF1241">
        <f t="shared" si="316"/>
        <v>-24.186126337170059</v>
      </c>
      <c r="AG1241">
        <f t="shared" si="306"/>
        <v>23902.514357260512</v>
      </c>
      <c r="AH1241" t="b">
        <f t="shared" si="317"/>
        <v>1</v>
      </c>
    </row>
    <row r="1242" spans="4:34" hidden="1" x14ac:dyDescent="0.4">
      <c r="D1242" t="s">
        <v>55</v>
      </c>
      <c r="E1242" t="s">
        <v>37</v>
      </c>
      <c r="F1242" s="9">
        <v>45721.75</v>
      </c>
      <c r="G1242">
        <v>6.4770000000000005E-5</v>
      </c>
      <c r="H1242" s="9">
        <v>45723.75</v>
      </c>
      <c r="I1242">
        <v>6.5430000000000002E-5</v>
      </c>
      <c r="J1242" s="12">
        <v>91020671.719999999</v>
      </c>
      <c r="K1242" s="12">
        <v>5895.41</v>
      </c>
      <c r="L1242">
        <v>8.89</v>
      </c>
      <c r="M1242">
        <v>51.19</v>
      </c>
      <c r="N1242" s="13">
        <v>8.6999999999999994E-3</v>
      </c>
      <c r="O1242" t="s">
        <v>38</v>
      </c>
      <c r="Q1242">
        <f t="shared" si="318"/>
        <v>60.073643335199733</v>
      </c>
      <c r="R1242">
        <f t="shared" si="319"/>
        <v>51.183643335199733</v>
      </c>
      <c r="S1242">
        <f t="shared" si="320"/>
        <v>5955.4825506396</v>
      </c>
      <c r="U1242">
        <f t="shared" si="307"/>
        <v>25474756.831866998</v>
      </c>
      <c r="V1242">
        <f t="shared" si="321"/>
        <v>1650.0000000000257</v>
      </c>
      <c r="W1242">
        <f t="shared" si="308"/>
        <v>16.813339509032144</v>
      </c>
      <c r="X1242">
        <f t="shared" si="309"/>
        <v>3.3168133395090837</v>
      </c>
      <c r="Y1242">
        <f t="shared" si="310"/>
        <v>13.49652616952306</v>
      </c>
      <c r="Z1242">
        <f t="shared" si="311"/>
        <v>22780.483459396892</v>
      </c>
      <c r="AB1242">
        <f t="shared" si="312"/>
        <v>36910830.825113997</v>
      </c>
      <c r="AC1242">
        <f t="shared" si="313"/>
        <v>2390.7145125426337</v>
      </c>
      <c r="AD1242">
        <f t="shared" si="314"/>
        <v>24.361148344575131</v>
      </c>
      <c r="AE1242">
        <f t="shared" si="315"/>
        <v>4.8057901734298429</v>
      </c>
      <c r="AF1242">
        <f t="shared" si="316"/>
        <v>19.555358171145286</v>
      </c>
      <c r="AG1242">
        <f t="shared" si="306"/>
        <v>23926.70048359768</v>
      </c>
      <c r="AH1242" t="b">
        <f t="shared" si="317"/>
        <v>1</v>
      </c>
    </row>
    <row r="1243" spans="4:34" hidden="1" x14ac:dyDescent="0.4">
      <c r="D1243" t="s">
        <v>61</v>
      </c>
      <c r="E1243" t="s">
        <v>37</v>
      </c>
      <c r="F1243" s="9">
        <v>45721.708333333336</v>
      </c>
      <c r="G1243">
        <v>0.95609999999999995</v>
      </c>
      <c r="H1243" s="9">
        <v>45723.708333333336</v>
      </c>
      <c r="I1243">
        <v>0.82940000000000003</v>
      </c>
      <c r="J1243" s="12">
        <v>8399.7000000000007</v>
      </c>
      <c r="K1243" s="12">
        <v>8031</v>
      </c>
      <c r="L1243">
        <v>11.25</v>
      </c>
      <c r="M1243" s="12">
        <v>-1075.49</v>
      </c>
      <c r="N1243" s="13">
        <v>-0.13389999999999999</v>
      </c>
      <c r="O1243" t="s">
        <v>38</v>
      </c>
      <c r="Q1243">
        <f t="shared" si="318"/>
        <v>-1064.2419899999995</v>
      </c>
      <c r="R1243">
        <f t="shared" si="319"/>
        <v>-1075.4919899999995</v>
      </c>
      <c r="S1243">
        <f t="shared" si="320"/>
        <v>6966.7111800000011</v>
      </c>
      <c r="U1243">
        <f t="shared" si="307"/>
        <v>1725.760904</v>
      </c>
      <c r="V1243">
        <f t="shared" si="321"/>
        <v>1650.0000003143998</v>
      </c>
      <c r="W1243">
        <f t="shared" si="308"/>
        <v>-218.65390653679987</v>
      </c>
      <c r="X1243">
        <f t="shared" si="309"/>
        <v>3.0813460940919999</v>
      </c>
      <c r="Y1243">
        <f t="shared" si="310"/>
        <v>-221.73525263089186</v>
      </c>
      <c r="Z1243">
        <f t="shared" si="311"/>
        <v>22766.98693322737</v>
      </c>
      <c r="AB1243">
        <f t="shared" si="312"/>
        <v>2534.5463420000001</v>
      </c>
      <c r="AC1243">
        <f t="shared" si="313"/>
        <v>2423.2797575862</v>
      </c>
      <c r="AD1243">
        <f t="shared" si="314"/>
        <v>-321.12702153139981</v>
      </c>
      <c r="AE1243">
        <f t="shared" si="315"/>
        <v>4.5254324936410004</v>
      </c>
      <c r="AF1243">
        <f t="shared" si="316"/>
        <v>-325.65245402504081</v>
      </c>
      <c r="AG1243">
        <f t="shared" si="306"/>
        <v>23907.145125426534</v>
      </c>
      <c r="AH1243" t="b">
        <f t="shared" si="317"/>
        <v>1</v>
      </c>
    </row>
    <row r="1244" spans="4:34" hidden="1" x14ac:dyDescent="0.4">
      <c r="D1244" t="s">
        <v>52</v>
      </c>
      <c r="E1244" t="s">
        <v>37</v>
      </c>
      <c r="F1244" s="9">
        <v>45721.541666666664</v>
      </c>
      <c r="G1244">
        <v>6.2169999999999996</v>
      </c>
      <c r="H1244" s="9">
        <v>45723.541666666664</v>
      </c>
      <c r="I1244">
        <v>6.2</v>
      </c>
      <c r="J1244" s="12">
        <v>369.18</v>
      </c>
      <c r="K1244" s="12">
        <v>2295.2399999999998</v>
      </c>
      <c r="L1244">
        <v>3.44</v>
      </c>
      <c r="M1244">
        <v>-9.7100000000000009</v>
      </c>
      <c r="N1244" s="13">
        <v>-4.1999999999999997E-3</v>
      </c>
      <c r="O1244" t="s">
        <v>38</v>
      </c>
      <c r="Q1244">
        <f t="shared" si="318"/>
        <v>-6.2760599999998004</v>
      </c>
      <c r="R1244">
        <f t="shared" si="319"/>
        <v>-9.7160599999997999</v>
      </c>
      <c r="S1244">
        <f t="shared" si="320"/>
        <v>2288.9160000000002</v>
      </c>
      <c r="U1244">
        <f t="shared" si="307"/>
        <v>265.401319</v>
      </c>
      <c r="V1244">
        <f t="shared" si="321"/>
        <v>1650.0000002229999</v>
      </c>
      <c r="W1244">
        <f t="shared" si="308"/>
        <v>-4.5118224229998569</v>
      </c>
      <c r="X1244">
        <f t="shared" si="309"/>
        <v>3.2954881780229996</v>
      </c>
      <c r="Y1244">
        <f t="shared" si="310"/>
        <v>-7.8073106010228566</v>
      </c>
      <c r="Z1244">
        <f t="shared" si="311"/>
        <v>22988.722185858263</v>
      </c>
      <c r="AB1244">
        <f t="shared" si="312"/>
        <v>389.96733599999999</v>
      </c>
      <c r="AC1244">
        <f t="shared" si="313"/>
        <v>2424.4269279119999</v>
      </c>
      <c r="AD1244">
        <f t="shared" si="314"/>
        <v>-6.6294447119997892</v>
      </c>
      <c r="AE1244">
        <f t="shared" si="315"/>
        <v>4.8422244111119994</v>
      </c>
      <c r="AF1244">
        <f t="shared" si="316"/>
        <v>-11.471669123111788</v>
      </c>
      <c r="AG1244">
        <f t="shared" si="306"/>
        <v>24232.797579451573</v>
      </c>
      <c r="AH1244" t="b">
        <f t="shared" si="317"/>
        <v>1</v>
      </c>
    </row>
    <row r="1245" spans="4:34" hidden="1" x14ac:dyDescent="0.4">
      <c r="D1245" t="s">
        <v>50</v>
      </c>
      <c r="E1245" t="s">
        <v>37</v>
      </c>
      <c r="F1245" s="9">
        <v>45721.25</v>
      </c>
      <c r="G1245">
        <v>290.89999999999998</v>
      </c>
      <c r="H1245" s="9">
        <v>45723.25</v>
      </c>
      <c r="I1245">
        <v>282.7</v>
      </c>
      <c r="J1245">
        <v>39.717500000000001</v>
      </c>
      <c r="K1245" s="12">
        <v>11553.83</v>
      </c>
      <c r="L1245">
        <v>17.09</v>
      </c>
      <c r="M1245">
        <v>-342.77</v>
      </c>
      <c r="N1245" s="13">
        <v>-2.9700000000000001E-2</v>
      </c>
      <c r="O1245" t="s">
        <v>38</v>
      </c>
      <c r="Q1245">
        <f t="shared" si="318"/>
        <v>-325.68349999999958</v>
      </c>
      <c r="R1245">
        <f t="shared" si="319"/>
        <v>-342.77349999999956</v>
      </c>
      <c r="S1245">
        <f t="shared" si="320"/>
        <v>11228.13725</v>
      </c>
      <c r="U1245">
        <f t="shared" si="307"/>
        <v>5.6720519999999999</v>
      </c>
      <c r="V1245">
        <f t="shared" si="321"/>
        <v>1649.9999267999999</v>
      </c>
      <c r="W1245">
        <f t="shared" si="308"/>
        <v>-46.510826399999935</v>
      </c>
      <c r="X1245">
        <f t="shared" si="309"/>
        <v>3.2534890271999992</v>
      </c>
      <c r="Y1245">
        <f t="shared" si="310"/>
        <v>-49.764315427199932</v>
      </c>
      <c r="Z1245">
        <f t="shared" si="311"/>
        <v>22996.529496459287</v>
      </c>
      <c r="AB1245">
        <f t="shared" si="312"/>
        <v>8.3594399999999993</v>
      </c>
      <c r="AC1245">
        <f t="shared" si="313"/>
        <v>2431.7610959999997</v>
      </c>
      <c r="AD1245">
        <f t="shared" si="314"/>
        <v>-68.547407999999905</v>
      </c>
      <c r="AE1245">
        <f t="shared" si="315"/>
        <v>4.794974783999999</v>
      </c>
      <c r="AF1245">
        <f t="shared" si="316"/>
        <v>-73.342382783999909</v>
      </c>
      <c r="AG1245">
        <f t="shared" si="306"/>
        <v>24244.269248574685</v>
      </c>
      <c r="AH1245" t="b">
        <f t="shared" si="317"/>
        <v>1</v>
      </c>
    </row>
    <row r="1246" spans="4:34" hidden="1" x14ac:dyDescent="0.4">
      <c r="D1246" t="s">
        <v>59</v>
      </c>
      <c r="E1246" t="s">
        <v>37</v>
      </c>
      <c r="F1246" s="9">
        <v>45720.708333333336</v>
      </c>
      <c r="G1246" s="12">
        <v>83531.97</v>
      </c>
      <c r="H1246" s="9">
        <v>45723.208333333336</v>
      </c>
      <c r="I1246" s="12">
        <v>87645.41</v>
      </c>
      <c r="J1246" s="12">
        <v>0.12064</v>
      </c>
      <c r="K1246" s="12">
        <v>10078.06</v>
      </c>
      <c r="L1246">
        <v>15.49</v>
      </c>
      <c r="M1246">
        <v>480.76</v>
      </c>
      <c r="N1246" s="13">
        <v>4.7699999999999999E-2</v>
      </c>
      <c r="O1246" t="s">
        <v>57</v>
      </c>
      <c r="Q1246">
        <f t="shared" si="318"/>
        <v>496.24540160000026</v>
      </c>
      <c r="R1246">
        <f t="shared" si="319"/>
        <v>480.75540160000025</v>
      </c>
      <c r="S1246">
        <f t="shared" si="320"/>
        <v>10573.5422624</v>
      </c>
      <c r="U1246">
        <f t="shared" si="307"/>
        <v>1.9753E-2</v>
      </c>
      <c r="V1246">
        <f t="shared" si="321"/>
        <v>1650.0070034099999</v>
      </c>
      <c r="W1246">
        <f t="shared" si="308"/>
        <v>81.252780320000042</v>
      </c>
      <c r="X1246">
        <f t="shared" si="309"/>
        <v>3.38126678714</v>
      </c>
      <c r="Y1246">
        <f t="shared" si="310"/>
        <v>77.871513532860035</v>
      </c>
      <c r="Z1246">
        <f t="shared" si="311"/>
        <v>23046.293811886488</v>
      </c>
      <c r="AB1246">
        <f t="shared" si="312"/>
        <v>2.8975000000000001E-2</v>
      </c>
      <c r="AC1246">
        <f t="shared" si="313"/>
        <v>2420.3388307499999</v>
      </c>
      <c r="AD1246">
        <f t="shared" si="314"/>
        <v>119.18692400000008</v>
      </c>
      <c r="AE1246">
        <f t="shared" si="315"/>
        <v>4.9598645855000001</v>
      </c>
      <c r="AF1246">
        <f t="shared" si="316"/>
        <v>114.22705941450008</v>
      </c>
      <c r="AG1246">
        <f t="shared" si="306"/>
        <v>24317.611631358686</v>
      </c>
      <c r="AH1246" t="b">
        <f t="shared" si="317"/>
        <v>1</v>
      </c>
    </row>
    <row r="1247" spans="4:34" hidden="1" x14ac:dyDescent="0.4">
      <c r="D1247" t="s">
        <v>60</v>
      </c>
      <c r="E1247" t="s">
        <v>37</v>
      </c>
      <c r="F1247" s="9">
        <v>45720.625</v>
      </c>
      <c r="G1247">
        <v>2.3647999999999998</v>
      </c>
      <c r="H1247" s="9">
        <v>45723.125</v>
      </c>
      <c r="I1247">
        <v>2.4853000000000001</v>
      </c>
      <c r="J1247">
        <v>898.1</v>
      </c>
      <c r="K1247" s="12">
        <v>2123.85</v>
      </c>
      <c r="L1247">
        <v>3.27</v>
      </c>
      <c r="M1247">
        <v>104.95</v>
      </c>
      <c r="N1247" s="13">
        <v>4.9399999999999999E-2</v>
      </c>
      <c r="O1247" t="s">
        <v>57</v>
      </c>
      <c r="Q1247">
        <f t="shared" si="318"/>
        <v>108.22105000000025</v>
      </c>
      <c r="R1247">
        <f t="shared" si="319"/>
        <v>104.95105000000025</v>
      </c>
      <c r="S1247">
        <f t="shared" si="320"/>
        <v>2232.0479300000002</v>
      </c>
      <c r="U1247">
        <f t="shared" si="307"/>
        <v>697.73342400000001</v>
      </c>
      <c r="V1247">
        <f t="shared" si="321"/>
        <v>1650.0000010751999</v>
      </c>
      <c r="W1247">
        <f t="shared" si="308"/>
        <v>84.076877592000187</v>
      </c>
      <c r="X1247">
        <f t="shared" si="309"/>
        <v>3.3840768797423997</v>
      </c>
      <c r="Y1247">
        <f t="shared" si="310"/>
        <v>80.692800712257792</v>
      </c>
      <c r="Z1247">
        <f t="shared" si="311"/>
        <v>22968.422298353627</v>
      </c>
      <c r="AB1247">
        <f t="shared" si="312"/>
        <v>1018.504509</v>
      </c>
      <c r="AC1247">
        <f t="shared" si="313"/>
        <v>2408.5594628831996</v>
      </c>
      <c r="AD1247">
        <f t="shared" si="314"/>
        <v>122.72979333450027</v>
      </c>
      <c r="AE1247">
        <f t="shared" si="315"/>
        <v>4.9398487191008993</v>
      </c>
      <c r="AF1247">
        <f t="shared" si="316"/>
        <v>117.78994461539938</v>
      </c>
      <c r="AG1247">
        <f t="shared" si="306"/>
        <v>24203.384571944185</v>
      </c>
      <c r="AH1247" t="b">
        <f t="shared" si="317"/>
        <v>1</v>
      </c>
    </row>
    <row r="1248" spans="4:34" hidden="1" x14ac:dyDescent="0.4">
      <c r="D1248" t="s">
        <v>53</v>
      </c>
      <c r="E1248" t="s">
        <v>37</v>
      </c>
      <c r="F1248" s="9">
        <v>45721.083333333336</v>
      </c>
      <c r="G1248">
        <v>590.08000000000004</v>
      </c>
      <c r="H1248" s="9">
        <v>45723.083333333336</v>
      </c>
      <c r="I1248">
        <v>592.79999999999995</v>
      </c>
      <c r="J1248">
        <v>15.292</v>
      </c>
      <c r="K1248" s="12">
        <v>9023.83</v>
      </c>
      <c r="L1248">
        <v>13.57</v>
      </c>
      <c r="M1248">
        <v>28.03</v>
      </c>
      <c r="N1248" s="13">
        <v>3.0999999999999999E-3</v>
      </c>
      <c r="O1248" t="s">
        <v>38</v>
      </c>
      <c r="Q1248">
        <f t="shared" si="318"/>
        <v>41.594239999998678</v>
      </c>
      <c r="R1248">
        <f t="shared" si="319"/>
        <v>28.024239999998677</v>
      </c>
      <c r="S1248">
        <f t="shared" si="320"/>
        <v>9065.0975999999991</v>
      </c>
      <c r="U1248">
        <f t="shared" si="307"/>
        <v>2.7962310000000001</v>
      </c>
      <c r="V1248">
        <f t="shared" si="321"/>
        <v>1649.9999884800002</v>
      </c>
      <c r="W1248">
        <f t="shared" si="308"/>
        <v>7.6057483199997584</v>
      </c>
      <c r="X1248">
        <f t="shared" si="309"/>
        <v>3.3076057252800006</v>
      </c>
      <c r="Y1248">
        <f t="shared" si="310"/>
        <v>4.2981425947197582</v>
      </c>
      <c r="Z1248">
        <f t="shared" si="311"/>
        <v>22887.729497641369</v>
      </c>
      <c r="AB1248">
        <f t="shared" si="312"/>
        <v>4.0806880000000003</v>
      </c>
      <c r="AC1248">
        <f t="shared" si="313"/>
        <v>2407.9323750400004</v>
      </c>
      <c r="AD1248">
        <f t="shared" si="314"/>
        <v>11.099471359999649</v>
      </c>
      <c r="AE1248">
        <f t="shared" si="315"/>
        <v>4.8269642214400008</v>
      </c>
      <c r="AF1248">
        <f t="shared" si="316"/>
        <v>6.2725071385596483</v>
      </c>
      <c r="AG1248">
        <f t="shared" si="306"/>
        <v>24085.594627328785</v>
      </c>
      <c r="AH1248" t="b">
        <f t="shared" si="317"/>
        <v>1</v>
      </c>
    </row>
    <row r="1249" spans="4:34" hidden="1" x14ac:dyDescent="0.4">
      <c r="D1249" t="s">
        <v>58</v>
      </c>
      <c r="E1249" t="s">
        <v>37</v>
      </c>
      <c r="F1249" s="9">
        <v>45720.666666666664</v>
      </c>
      <c r="G1249">
        <v>13.82</v>
      </c>
      <c r="H1249" s="9">
        <v>45722.666666666664</v>
      </c>
      <c r="I1249">
        <v>17.23</v>
      </c>
      <c r="J1249">
        <v>486.47</v>
      </c>
      <c r="K1249" s="12">
        <v>6723.13</v>
      </c>
      <c r="L1249">
        <v>11.33</v>
      </c>
      <c r="M1249" s="12">
        <v>1647.53</v>
      </c>
      <c r="N1249" s="13">
        <v>0.24510000000000001</v>
      </c>
      <c r="O1249" t="s">
        <v>38</v>
      </c>
      <c r="Q1249">
        <f t="shared" si="318"/>
        <v>1658.8627000000001</v>
      </c>
      <c r="R1249">
        <f t="shared" si="319"/>
        <v>1647.5327000000002</v>
      </c>
      <c r="S1249">
        <f t="shared" si="320"/>
        <v>8381.8780999999999</v>
      </c>
      <c r="U1249">
        <f t="shared" si="307"/>
        <v>119.392185</v>
      </c>
      <c r="V1249">
        <f t="shared" si="321"/>
        <v>1649.9999967000001</v>
      </c>
      <c r="W1249">
        <f t="shared" si="308"/>
        <v>407.12735085000003</v>
      </c>
      <c r="X1249">
        <f t="shared" si="309"/>
        <v>3.7071273442499999</v>
      </c>
      <c r="Y1249">
        <f t="shared" si="310"/>
        <v>403.42022350575002</v>
      </c>
      <c r="Z1249">
        <f t="shared" si="311"/>
        <v>22883.43135504665</v>
      </c>
      <c r="AB1249">
        <f t="shared" si="312"/>
        <v>170.07699299999999</v>
      </c>
      <c r="AC1249">
        <f t="shared" si="313"/>
        <v>2350.4640432599999</v>
      </c>
      <c r="AD1249">
        <f t="shared" si="314"/>
        <v>579.96254612999996</v>
      </c>
      <c r="AE1249">
        <f t="shared" si="315"/>
        <v>5.2808906326500002</v>
      </c>
      <c r="AF1249">
        <f t="shared" si="316"/>
        <v>574.68165549734999</v>
      </c>
      <c r="AG1249">
        <f t="shared" si="306"/>
        <v>24079.322120190223</v>
      </c>
      <c r="AH1249" t="b">
        <f t="shared" si="317"/>
        <v>1</v>
      </c>
    </row>
    <row r="1250" spans="4:34" hidden="1" x14ac:dyDescent="0.4">
      <c r="D1250" t="s">
        <v>43</v>
      </c>
      <c r="E1250" t="s">
        <v>37</v>
      </c>
      <c r="F1250" s="9">
        <v>45719.458333333336</v>
      </c>
      <c r="G1250" s="12">
        <v>2.9506000000000001</v>
      </c>
      <c r="H1250" s="9">
        <v>45721.458333333336</v>
      </c>
      <c r="I1250" s="12">
        <v>2.5939999999999999</v>
      </c>
      <c r="J1250">
        <v>581.79999999999995</v>
      </c>
      <c r="K1250" s="12">
        <v>1716.93</v>
      </c>
      <c r="L1250">
        <v>2.42</v>
      </c>
      <c r="M1250">
        <v>-209.89</v>
      </c>
      <c r="N1250" s="13">
        <v>-0.1222</v>
      </c>
      <c r="O1250" t="s">
        <v>38</v>
      </c>
      <c r="Q1250">
        <f t="shared" si="318"/>
        <v>-207.46988000000013</v>
      </c>
      <c r="R1250">
        <f t="shared" si="319"/>
        <v>-209.88988000000012</v>
      </c>
      <c r="S1250">
        <f t="shared" si="320"/>
        <v>1509.1891999999998</v>
      </c>
      <c r="U1250">
        <f t="shared" si="307"/>
        <v>559.20829700000002</v>
      </c>
      <c r="V1250">
        <f t="shared" si="321"/>
        <v>1650.0000011282002</v>
      </c>
      <c r="W1250">
        <f t="shared" si="308"/>
        <v>-199.41367871020014</v>
      </c>
      <c r="X1250">
        <f t="shared" si="309"/>
        <v>3.1005863235462003</v>
      </c>
      <c r="Y1250">
        <f t="shared" si="310"/>
        <v>-202.51426503374634</v>
      </c>
      <c r="Z1250">
        <f t="shared" si="311"/>
        <v>22480.011131540901</v>
      </c>
      <c r="AB1250">
        <f t="shared" si="312"/>
        <v>806.50415499999997</v>
      </c>
      <c r="AC1250">
        <f t="shared" si="313"/>
        <v>2379.6711597429999</v>
      </c>
      <c r="AD1250">
        <f t="shared" si="314"/>
        <v>-287.59938167300021</v>
      </c>
      <c r="AE1250">
        <f t="shared" si="315"/>
        <v>4.4717429378129996</v>
      </c>
      <c r="AF1250">
        <f t="shared" si="316"/>
        <v>-292.07112461081323</v>
      </c>
      <c r="AG1250">
        <f t="shared" si="306"/>
        <v>23504.640464692875</v>
      </c>
      <c r="AH1250" t="b">
        <f t="shared" si="317"/>
        <v>1</v>
      </c>
    </row>
    <row r="1251" spans="4:34" hidden="1" x14ac:dyDescent="0.4">
      <c r="D1251" t="s">
        <v>52</v>
      </c>
      <c r="E1251" t="s">
        <v>37</v>
      </c>
      <c r="F1251" s="9">
        <v>45719.458333333336</v>
      </c>
      <c r="G1251">
        <v>6.7930000000000001</v>
      </c>
      <c r="H1251" s="9">
        <v>45721.458333333336</v>
      </c>
      <c r="I1251">
        <v>6.2389999999999999</v>
      </c>
      <c r="J1251">
        <v>340.71</v>
      </c>
      <c r="K1251" s="12">
        <v>2314.4499999999998</v>
      </c>
      <c r="L1251">
        <v>3.33</v>
      </c>
      <c r="M1251">
        <v>-192.08</v>
      </c>
      <c r="N1251" s="13">
        <v>-8.3000000000000004E-2</v>
      </c>
      <c r="O1251" t="s">
        <v>38</v>
      </c>
      <c r="Q1251">
        <f t="shared" si="318"/>
        <v>-188.75334000000009</v>
      </c>
      <c r="R1251">
        <f t="shared" si="319"/>
        <v>-192.08334000000011</v>
      </c>
      <c r="S1251">
        <f t="shared" si="320"/>
        <v>2125.6896899999997</v>
      </c>
      <c r="U1251">
        <f t="shared" si="307"/>
        <v>242.89709999999999</v>
      </c>
      <c r="V1251">
        <f t="shared" si="321"/>
        <v>1650.0000003</v>
      </c>
      <c r="W1251">
        <f t="shared" si="308"/>
        <v>-134.56499340000005</v>
      </c>
      <c r="X1251">
        <f t="shared" si="309"/>
        <v>3.1654350072000002</v>
      </c>
      <c r="Y1251">
        <f t="shared" si="310"/>
        <v>-137.73042840720004</v>
      </c>
      <c r="Z1251">
        <f t="shared" si="311"/>
        <v>22682.525396574649</v>
      </c>
      <c r="AB1251">
        <f t="shared" si="312"/>
        <v>353.261032</v>
      </c>
      <c r="AC1251">
        <f t="shared" si="313"/>
        <v>2399.7021903760001</v>
      </c>
      <c r="AD1251">
        <f t="shared" si="314"/>
        <v>-195.7066117280001</v>
      </c>
      <c r="AE1251">
        <f t="shared" si="315"/>
        <v>4.6036977690240004</v>
      </c>
      <c r="AF1251">
        <f t="shared" si="316"/>
        <v>-200.31030949702409</v>
      </c>
      <c r="AG1251">
        <f t="shared" si="306"/>
        <v>23796.71158930369</v>
      </c>
      <c r="AH1251" t="b">
        <f t="shared" si="317"/>
        <v>1</v>
      </c>
    </row>
    <row r="1252" spans="4:34" hidden="1" x14ac:dyDescent="0.4">
      <c r="D1252" t="s">
        <v>54</v>
      </c>
      <c r="E1252" t="s">
        <v>37</v>
      </c>
      <c r="F1252" s="9">
        <v>45719.458333333336</v>
      </c>
      <c r="G1252" s="12">
        <v>161.51</v>
      </c>
      <c r="H1252" s="9">
        <v>45721.458333333336</v>
      </c>
      <c r="I1252" s="12">
        <v>148.55000000000001</v>
      </c>
      <c r="J1252">
        <v>27.899000000000001</v>
      </c>
      <c r="K1252" s="12">
        <v>4506.09</v>
      </c>
      <c r="L1252">
        <v>6.49</v>
      </c>
      <c r="M1252">
        <v>-368.06</v>
      </c>
      <c r="N1252" s="13">
        <v>-8.1699999999999995E-2</v>
      </c>
      <c r="O1252" t="s">
        <v>38</v>
      </c>
      <c r="Q1252">
        <f t="shared" si="318"/>
        <v>-361.57103999999941</v>
      </c>
      <c r="R1252">
        <f t="shared" si="319"/>
        <v>-368.06103999999942</v>
      </c>
      <c r="S1252">
        <f t="shared" si="320"/>
        <v>4144.3964500000002</v>
      </c>
      <c r="U1252">
        <f t="shared" si="307"/>
        <v>10.216086000000001</v>
      </c>
      <c r="V1252">
        <f t="shared" si="321"/>
        <v>1650.00004986</v>
      </c>
      <c r="W1252">
        <f t="shared" si="308"/>
        <v>-132.40047455999979</v>
      </c>
      <c r="X1252">
        <f t="shared" si="309"/>
        <v>3.1675996251600003</v>
      </c>
      <c r="Y1252">
        <f t="shared" si="310"/>
        <v>-135.56807418515979</v>
      </c>
      <c r="Z1252">
        <f t="shared" si="311"/>
        <v>22820.25582498185</v>
      </c>
      <c r="AB1252">
        <f t="shared" si="312"/>
        <v>14.981005</v>
      </c>
      <c r="AC1252">
        <f t="shared" si="313"/>
        <v>2419.58211755</v>
      </c>
      <c r="AD1252">
        <f t="shared" si="314"/>
        <v>-194.15382479999968</v>
      </c>
      <c r="AE1252">
        <f t="shared" si="315"/>
        <v>4.6450104103000003</v>
      </c>
      <c r="AF1252">
        <f t="shared" si="316"/>
        <v>-198.79883521029967</v>
      </c>
      <c r="AG1252">
        <f t="shared" si="306"/>
        <v>23997.021898800715</v>
      </c>
      <c r="AH1252" t="b">
        <f t="shared" si="317"/>
        <v>1</v>
      </c>
    </row>
    <row r="1253" spans="4:34" hidden="1" x14ac:dyDescent="0.4">
      <c r="D1253" t="s">
        <v>61</v>
      </c>
      <c r="E1253" t="s">
        <v>37</v>
      </c>
      <c r="F1253" s="9">
        <v>45719.458333333336</v>
      </c>
      <c r="G1253" s="12">
        <v>0.98380000000000001</v>
      </c>
      <c r="H1253" s="9">
        <v>45721.458333333336</v>
      </c>
      <c r="I1253" s="12">
        <v>1.0004</v>
      </c>
      <c r="J1253" s="12">
        <v>8150.7</v>
      </c>
      <c r="K1253" s="12">
        <v>8018.68</v>
      </c>
      <c r="L1253">
        <v>12.13</v>
      </c>
      <c r="M1253">
        <v>123.17</v>
      </c>
      <c r="N1253" s="13">
        <v>1.54E-2</v>
      </c>
      <c r="O1253" t="s">
        <v>38</v>
      </c>
      <c r="Q1253">
        <f t="shared" si="318"/>
        <v>135.30161999999959</v>
      </c>
      <c r="R1253">
        <f t="shared" si="319"/>
        <v>123.17161999999959</v>
      </c>
      <c r="S1253">
        <f t="shared" si="320"/>
        <v>8153.9602799999993</v>
      </c>
      <c r="U1253">
        <f t="shared" si="307"/>
        <v>1677.170157</v>
      </c>
      <c r="V1253">
        <f t="shared" si="321"/>
        <v>1650.0000004566</v>
      </c>
      <c r="W1253">
        <f t="shared" si="308"/>
        <v>27.841024606199912</v>
      </c>
      <c r="X1253">
        <f t="shared" si="309"/>
        <v>3.3278410255194002</v>
      </c>
      <c r="Y1253">
        <f t="shared" si="310"/>
        <v>24.513183580680511</v>
      </c>
      <c r="Z1253">
        <f t="shared" si="311"/>
        <v>22955.823899167011</v>
      </c>
      <c r="AB1253">
        <f t="shared" si="312"/>
        <v>2455.7763359999999</v>
      </c>
      <c r="AC1253">
        <f t="shared" si="313"/>
        <v>2415.9927593568</v>
      </c>
      <c r="AD1253">
        <f t="shared" si="314"/>
        <v>40.765887177599872</v>
      </c>
      <c r="AE1253">
        <f t="shared" si="315"/>
        <v>4.8727514058912007</v>
      </c>
      <c r="AF1253">
        <f t="shared" si="316"/>
        <v>35.893135771708671</v>
      </c>
      <c r="AG1253">
        <f t="shared" si="306"/>
        <v>24195.820734011013</v>
      </c>
      <c r="AH1253" t="b">
        <f t="shared" si="317"/>
        <v>1</v>
      </c>
    </row>
    <row r="1254" spans="4:34" hidden="1" x14ac:dyDescent="0.4">
      <c r="D1254" t="s">
        <v>55</v>
      </c>
      <c r="E1254" t="s">
        <v>37</v>
      </c>
      <c r="F1254" s="9">
        <v>45719.25</v>
      </c>
      <c r="G1254">
        <v>7.0679999999999994E-5</v>
      </c>
      <c r="H1254" s="9">
        <v>45721.25</v>
      </c>
      <c r="I1254">
        <v>6.3230000000000003E-5</v>
      </c>
      <c r="J1254" s="12">
        <v>84310512.030000001</v>
      </c>
      <c r="K1254" s="12">
        <v>5959.07</v>
      </c>
      <c r="L1254">
        <v>8.4700000000000006</v>
      </c>
      <c r="M1254">
        <v>-636.58000000000004</v>
      </c>
      <c r="N1254" s="13">
        <v>-0.10680000000000001</v>
      </c>
      <c r="O1254" t="s">
        <v>38</v>
      </c>
      <c r="Q1254">
        <f t="shared" si="318"/>
        <v>-628.11331462349926</v>
      </c>
      <c r="R1254">
        <f t="shared" si="319"/>
        <v>-636.58331462349929</v>
      </c>
      <c r="S1254">
        <f t="shared" si="320"/>
        <v>5330.9536756569005</v>
      </c>
      <c r="U1254">
        <f t="shared" si="307"/>
        <v>23344651.952461999</v>
      </c>
      <c r="V1254">
        <f t="shared" si="321"/>
        <v>1650.0000000000139</v>
      </c>
      <c r="W1254">
        <f t="shared" si="308"/>
        <v>-173.91765704584168</v>
      </c>
      <c r="X1254">
        <f t="shared" si="309"/>
        <v>3.1260823429541866</v>
      </c>
      <c r="Y1254">
        <f t="shared" si="310"/>
        <v>-177.04373938879587</v>
      </c>
      <c r="Z1254">
        <f t="shared" si="311"/>
        <v>22931.310715586333</v>
      </c>
      <c r="AB1254">
        <f t="shared" si="312"/>
        <v>34552877.062996998</v>
      </c>
      <c r="AC1254">
        <f t="shared" si="313"/>
        <v>2442.1973508126275</v>
      </c>
      <c r="AD1254">
        <f t="shared" si="314"/>
        <v>-257.41893411932733</v>
      </c>
      <c r="AE1254">
        <f t="shared" si="315"/>
        <v>4.6269757675059289</v>
      </c>
      <c r="AF1254">
        <f t="shared" si="316"/>
        <v>-262.04590988683327</v>
      </c>
      <c r="AG1254">
        <f t="shared" si="306"/>
        <v>24159.927598239305</v>
      </c>
      <c r="AH1254" t="b">
        <f t="shared" si="317"/>
        <v>1</v>
      </c>
    </row>
    <row r="1255" spans="4:34" hidden="1" x14ac:dyDescent="0.4">
      <c r="D1255" t="s">
        <v>56</v>
      </c>
      <c r="E1255" t="s">
        <v>37</v>
      </c>
      <c r="F1255" s="9">
        <v>45718.083333333336</v>
      </c>
      <c r="G1255" s="12">
        <v>2219.6999999999998</v>
      </c>
      <c r="H1255" s="9">
        <v>45719.833333333336</v>
      </c>
      <c r="I1255" s="12">
        <v>2166.71</v>
      </c>
      <c r="J1255" s="12">
        <v>2.3435999999999999</v>
      </c>
      <c r="K1255" s="12">
        <v>5202.1899999999996</v>
      </c>
      <c r="L1255">
        <v>7.71</v>
      </c>
      <c r="M1255">
        <v>-131.91</v>
      </c>
      <c r="N1255" s="13">
        <v>-2.5399999999999999E-2</v>
      </c>
      <c r="O1255" t="s">
        <v>49</v>
      </c>
      <c r="Q1255">
        <f t="shared" si="318"/>
        <v>-124.18736399999948</v>
      </c>
      <c r="R1255">
        <f t="shared" si="319"/>
        <v>-131.89736399999947</v>
      </c>
      <c r="S1255">
        <f t="shared" si="320"/>
        <v>5077.9015559999998</v>
      </c>
      <c r="U1255">
        <f t="shared" si="307"/>
        <v>0.743344</v>
      </c>
      <c r="V1255">
        <f t="shared" si="321"/>
        <v>1650.0006767999998</v>
      </c>
      <c r="W1255">
        <f t="shared" si="308"/>
        <v>-39.389798559999839</v>
      </c>
      <c r="X1255">
        <f t="shared" si="309"/>
        <v>3.2606115550399997</v>
      </c>
      <c r="Y1255">
        <f t="shared" si="310"/>
        <v>-42.65041011503984</v>
      </c>
      <c r="Z1255">
        <f t="shared" si="311"/>
        <v>23108.354454975128</v>
      </c>
      <c r="AB1255">
        <f t="shared" si="312"/>
        <v>1.103089</v>
      </c>
      <c r="AC1255">
        <f t="shared" si="313"/>
        <v>2448.5266532999999</v>
      </c>
      <c r="AD1255">
        <f t="shared" si="314"/>
        <v>-58.45268610999976</v>
      </c>
      <c r="AE1255">
        <f t="shared" si="315"/>
        <v>4.8386006204899994</v>
      </c>
      <c r="AF1255">
        <f t="shared" si="316"/>
        <v>-63.291286730489759</v>
      </c>
      <c r="AG1255">
        <f t="shared" si="306"/>
        <v>24421.973508126139</v>
      </c>
      <c r="AH1255" t="b">
        <f t="shared" si="317"/>
        <v>1</v>
      </c>
    </row>
    <row r="1256" spans="4:34" hidden="1" x14ac:dyDescent="0.4">
      <c r="D1256" t="s">
        <v>58</v>
      </c>
      <c r="E1256" t="s">
        <v>37</v>
      </c>
      <c r="F1256" s="9">
        <v>45717.708333333336</v>
      </c>
      <c r="G1256">
        <v>14.61</v>
      </c>
      <c r="H1256" s="9">
        <v>45719.708333333336</v>
      </c>
      <c r="I1256">
        <v>16.170000000000002</v>
      </c>
      <c r="J1256">
        <v>455.38</v>
      </c>
      <c r="K1256" s="12">
        <v>6653.14</v>
      </c>
      <c r="L1256">
        <v>10.51</v>
      </c>
      <c r="M1256">
        <v>699.88</v>
      </c>
      <c r="N1256" s="13">
        <v>0.1052</v>
      </c>
      <c r="O1256" t="s">
        <v>38</v>
      </c>
      <c r="Q1256">
        <f t="shared" si="318"/>
        <v>710.39280000000099</v>
      </c>
      <c r="R1256">
        <f t="shared" si="319"/>
        <v>699.882800000001</v>
      </c>
      <c r="S1256">
        <f t="shared" si="320"/>
        <v>7363.4946000000009</v>
      </c>
      <c r="U1256">
        <f t="shared" si="307"/>
        <v>112.936345</v>
      </c>
      <c r="V1256">
        <f t="shared" si="321"/>
        <v>1650.00000045</v>
      </c>
      <c r="W1256">
        <f t="shared" si="308"/>
        <v>176.18069820000025</v>
      </c>
      <c r="X1256">
        <f t="shared" si="309"/>
        <v>3.4761806991000004</v>
      </c>
      <c r="Y1256">
        <f t="shared" si="310"/>
        <v>172.70451750090024</v>
      </c>
      <c r="Z1256">
        <f t="shared" si="311"/>
        <v>23151.004865090166</v>
      </c>
      <c r="AB1256">
        <f t="shared" si="312"/>
        <v>165.856494</v>
      </c>
      <c r="AC1256">
        <f t="shared" si="313"/>
        <v>2423.1633773399999</v>
      </c>
      <c r="AD1256">
        <f t="shared" si="314"/>
        <v>258.7361306400004</v>
      </c>
      <c r="AE1256">
        <f t="shared" si="315"/>
        <v>5.1050628853200006</v>
      </c>
      <c r="AF1256">
        <f t="shared" si="316"/>
        <v>253.6310677546804</v>
      </c>
      <c r="AG1256">
        <f t="shared" si="306"/>
        <v>24485.26479485663</v>
      </c>
      <c r="AH1256" t="b">
        <f t="shared" si="317"/>
        <v>1</v>
      </c>
    </row>
    <row r="1257" spans="4:34" hidden="1" x14ac:dyDescent="0.4">
      <c r="D1257" t="s">
        <v>50</v>
      </c>
      <c r="E1257" t="s">
        <v>37</v>
      </c>
      <c r="F1257" s="9">
        <v>45717.666666666664</v>
      </c>
      <c r="G1257">
        <v>329.3</v>
      </c>
      <c r="H1257" s="9">
        <v>45719.666666666664</v>
      </c>
      <c r="I1257">
        <v>319.39999999999998</v>
      </c>
      <c r="J1257" s="12">
        <v>35.197000000000003</v>
      </c>
      <c r="K1257" s="12">
        <v>11590.38</v>
      </c>
      <c r="L1257">
        <v>17.12</v>
      </c>
      <c r="M1257">
        <v>-365.57</v>
      </c>
      <c r="N1257" s="13">
        <v>-3.15E-2</v>
      </c>
      <c r="O1257" t="s">
        <v>38</v>
      </c>
      <c r="Q1257">
        <f t="shared" si="318"/>
        <v>-348.45030000000122</v>
      </c>
      <c r="R1257">
        <f t="shared" si="319"/>
        <v>-365.57030000000123</v>
      </c>
      <c r="S1257">
        <f t="shared" si="320"/>
        <v>11241.9218</v>
      </c>
      <c r="U1257">
        <f t="shared" si="307"/>
        <v>5.0106289999999998</v>
      </c>
      <c r="V1257">
        <f t="shared" si="321"/>
        <v>1650.0001296999999</v>
      </c>
      <c r="W1257">
        <f t="shared" si="308"/>
        <v>-49.605227100000171</v>
      </c>
      <c r="X1257">
        <f t="shared" si="309"/>
        <v>3.2503950323000002</v>
      </c>
      <c r="Y1257">
        <f t="shared" si="310"/>
        <v>-52.855622132300169</v>
      </c>
      <c r="Z1257">
        <f t="shared" si="311"/>
        <v>22978.300347589266</v>
      </c>
      <c r="AB1257">
        <f t="shared" si="312"/>
        <v>7.3821760000000003</v>
      </c>
      <c r="AC1257">
        <f t="shared" si="313"/>
        <v>2430.9505568</v>
      </c>
      <c r="AD1257">
        <f t="shared" si="314"/>
        <v>-73.083542400000255</v>
      </c>
      <c r="AE1257">
        <f t="shared" si="315"/>
        <v>4.788817571200001</v>
      </c>
      <c r="AF1257">
        <f t="shared" si="316"/>
        <v>-77.872359971200254</v>
      </c>
      <c r="AG1257">
        <f t="shared" si="306"/>
        <v>24231.633727101951</v>
      </c>
      <c r="AH1257" t="b">
        <f t="shared" si="317"/>
        <v>1</v>
      </c>
    </row>
    <row r="1258" spans="4:34" hidden="1" x14ac:dyDescent="0.4">
      <c r="D1258" t="s">
        <v>60</v>
      </c>
      <c r="E1258" t="s">
        <v>37</v>
      </c>
      <c r="F1258" s="9">
        <v>45717.083333333336</v>
      </c>
      <c r="G1258">
        <v>2.1671999999999998</v>
      </c>
      <c r="H1258" s="9">
        <v>45719.583333333336</v>
      </c>
      <c r="I1258">
        <v>2.6930999999999998</v>
      </c>
      <c r="J1258">
        <v>956.9</v>
      </c>
      <c r="K1258" s="12">
        <v>2073.88</v>
      </c>
      <c r="L1258">
        <v>3.49</v>
      </c>
      <c r="M1258">
        <v>499.75</v>
      </c>
      <c r="N1258" s="13">
        <v>0.24099999999999999</v>
      </c>
      <c r="O1258" t="s">
        <v>57</v>
      </c>
      <c r="Q1258">
        <f t="shared" si="318"/>
        <v>503.23371000000003</v>
      </c>
      <c r="R1258">
        <f t="shared" si="319"/>
        <v>499.74371000000002</v>
      </c>
      <c r="S1258">
        <f t="shared" si="320"/>
        <v>2577.0273899999997</v>
      </c>
      <c r="U1258">
        <f t="shared" si="307"/>
        <v>761.35105199999998</v>
      </c>
      <c r="V1258">
        <f t="shared" si="321"/>
        <v>1649.9999998943997</v>
      </c>
      <c r="W1258">
        <f t="shared" si="308"/>
        <v>400.39451824680003</v>
      </c>
      <c r="X1258">
        <f t="shared" si="309"/>
        <v>3.7003945180355995</v>
      </c>
      <c r="Y1258">
        <f t="shared" si="310"/>
        <v>396.69412372876445</v>
      </c>
      <c r="Z1258">
        <f t="shared" si="311"/>
        <v>23031.155969721567</v>
      </c>
      <c r="AB1258">
        <f t="shared" si="312"/>
        <v>1095.3662240000001</v>
      </c>
      <c r="AC1258">
        <f t="shared" si="313"/>
        <v>2373.8776806527999</v>
      </c>
      <c r="AD1258">
        <f t="shared" si="314"/>
        <v>576.05309720160005</v>
      </c>
      <c r="AE1258">
        <f t="shared" si="315"/>
        <v>5.3238084585071999</v>
      </c>
      <c r="AF1258">
        <f t="shared" si="316"/>
        <v>570.72928874309287</v>
      </c>
      <c r="AG1258">
        <f t="shared" ref="AG1258:AG1321" si="322">AG1259*AH1258 + (1-AH1258)*AI1258+AF1258</f>
        <v>24309.50608707315</v>
      </c>
      <c r="AH1258" t="b">
        <f t="shared" si="317"/>
        <v>1</v>
      </c>
    </row>
    <row r="1259" spans="4:34" hidden="1" x14ac:dyDescent="0.4">
      <c r="D1259" t="s">
        <v>53</v>
      </c>
      <c r="E1259" t="s">
        <v>37</v>
      </c>
      <c r="F1259" s="9">
        <v>45717.541666666664</v>
      </c>
      <c r="G1259">
        <v>596.62</v>
      </c>
      <c r="H1259" s="9">
        <v>45719.541666666664</v>
      </c>
      <c r="I1259">
        <v>605.17999999999995</v>
      </c>
      <c r="J1259" s="12">
        <v>15.105</v>
      </c>
      <c r="K1259" s="12">
        <v>9012.26</v>
      </c>
      <c r="L1259">
        <v>13.61</v>
      </c>
      <c r="M1259">
        <v>115.68</v>
      </c>
      <c r="N1259" s="13">
        <v>1.2800000000000001E-2</v>
      </c>
      <c r="O1259" t="s">
        <v>38</v>
      </c>
      <c r="Q1259">
        <f t="shared" si="318"/>
        <v>129.29879999999918</v>
      </c>
      <c r="R1259">
        <f t="shared" si="319"/>
        <v>115.68879999999918</v>
      </c>
      <c r="S1259">
        <f t="shared" si="320"/>
        <v>9141.2438999999995</v>
      </c>
      <c r="U1259">
        <f t="shared" si="307"/>
        <v>2.7655789999999998</v>
      </c>
      <c r="V1259">
        <f t="shared" si="321"/>
        <v>1649.9997429799998</v>
      </c>
      <c r="W1259">
        <f t="shared" si="308"/>
        <v>23.673356239999848</v>
      </c>
      <c r="X1259">
        <f t="shared" si="309"/>
        <v>3.3236728421999997</v>
      </c>
      <c r="Y1259">
        <f t="shared" si="310"/>
        <v>20.349683397799847</v>
      </c>
      <c r="Z1259">
        <f t="shared" si="311"/>
        <v>22634.461845992802</v>
      </c>
      <c r="AB1259">
        <f t="shared" si="312"/>
        <v>3.973976</v>
      </c>
      <c r="AC1259">
        <f t="shared" si="313"/>
        <v>2370.9535611199999</v>
      </c>
      <c r="AD1259">
        <f t="shared" si="314"/>
        <v>34.017234559999785</v>
      </c>
      <c r="AE1259">
        <f t="shared" si="315"/>
        <v>4.7759243568</v>
      </c>
      <c r="AF1259">
        <f t="shared" si="316"/>
        <v>29.241310203199784</v>
      </c>
      <c r="AG1259">
        <f t="shared" si="322"/>
        <v>23738.776798330058</v>
      </c>
      <c r="AH1259" t="b">
        <f t="shared" si="317"/>
        <v>1</v>
      </c>
    </row>
    <row r="1260" spans="4:34" hidden="1" x14ac:dyDescent="0.4">
      <c r="D1260" t="s">
        <v>59</v>
      </c>
      <c r="E1260" t="s">
        <v>37</v>
      </c>
      <c r="F1260" s="9">
        <v>45717</v>
      </c>
      <c r="G1260" s="12">
        <v>84321.98</v>
      </c>
      <c r="H1260" s="9">
        <v>45719.5</v>
      </c>
      <c r="I1260" s="12">
        <v>92724</v>
      </c>
      <c r="J1260">
        <v>0.11835</v>
      </c>
      <c r="K1260" s="12">
        <v>9980.19</v>
      </c>
      <c r="L1260">
        <v>15.72</v>
      </c>
      <c r="M1260">
        <v>978.66</v>
      </c>
      <c r="N1260" s="13">
        <v>9.8100000000000007E-2</v>
      </c>
      <c r="O1260" t="s">
        <v>57</v>
      </c>
      <c r="Q1260">
        <f t="shared" si="318"/>
        <v>994.37906700000042</v>
      </c>
      <c r="R1260">
        <f t="shared" si="319"/>
        <v>978.65906700000039</v>
      </c>
      <c r="S1260">
        <f t="shared" si="320"/>
        <v>10973.885399999999</v>
      </c>
      <c r="U1260">
        <f t="shared" si="307"/>
        <v>1.9567999999999999E-2</v>
      </c>
      <c r="V1260">
        <f t="shared" si="321"/>
        <v>1650.0125046399999</v>
      </c>
      <c r="W1260">
        <f t="shared" si="308"/>
        <v>164.41072736000007</v>
      </c>
      <c r="X1260">
        <f t="shared" si="309"/>
        <v>3.4644357366399996</v>
      </c>
      <c r="Y1260">
        <f t="shared" si="310"/>
        <v>160.94629162336005</v>
      </c>
      <c r="Z1260">
        <f t="shared" si="311"/>
        <v>22614.112162595004</v>
      </c>
      <c r="AB1260">
        <f t="shared" si="312"/>
        <v>2.7845999999999999E-2</v>
      </c>
      <c r="AC1260">
        <f t="shared" si="313"/>
        <v>2348.0298550799998</v>
      </c>
      <c r="AD1260">
        <f t="shared" si="314"/>
        <v>233.96264892000011</v>
      </c>
      <c r="AE1260">
        <f t="shared" si="315"/>
        <v>4.9300223590799996</v>
      </c>
      <c r="AF1260">
        <f t="shared" si="316"/>
        <v>229.03262656092011</v>
      </c>
      <c r="AG1260">
        <f t="shared" si="322"/>
        <v>23709.535488126858</v>
      </c>
      <c r="AH1260" t="b">
        <f t="shared" si="317"/>
        <v>1</v>
      </c>
    </row>
    <row r="1261" spans="4:34" hidden="1" x14ac:dyDescent="0.4">
      <c r="D1261" t="s">
        <v>48</v>
      </c>
      <c r="E1261" t="s">
        <v>37</v>
      </c>
      <c r="F1261" s="9">
        <v>45717.208333333336</v>
      </c>
      <c r="G1261">
        <v>0.50729999999999997</v>
      </c>
      <c r="H1261" s="9">
        <v>45719.208333333336</v>
      </c>
      <c r="I1261">
        <v>0.49399999999999999</v>
      </c>
      <c r="J1261" s="12">
        <v>5756</v>
      </c>
      <c r="K1261" s="12">
        <v>2920.04</v>
      </c>
      <c r="L1261">
        <v>4.32</v>
      </c>
      <c r="M1261">
        <v>-80.88</v>
      </c>
      <c r="N1261" s="13">
        <v>-2.7699999999999999E-2</v>
      </c>
      <c r="O1261" t="s">
        <v>38</v>
      </c>
      <c r="Q1261">
        <f t="shared" si="318"/>
        <v>-76.554799999999872</v>
      </c>
      <c r="R1261">
        <f t="shared" si="319"/>
        <v>-80.87479999999988</v>
      </c>
      <c r="S1261">
        <f t="shared" si="320"/>
        <v>2843.4639999999999</v>
      </c>
      <c r="U1261">
        <f t="shared" si="307"/>
        <v>3252.5133059999998</v>
      </c>
      <c r="V1261">
        <f t="shared" si="321"/>
        <v>1650.0000001337999</v>
      </c>
      <c r="W1261">
        <f t="shared" si="308"/>
        <v>-43.258426969799928</v>
      </c>
      <c r="X1261">
        <f t="shared" si="309"/>
        <v>3.2567415732978002</v>
      </c>
      <c r="Y1261">
        <f t="shared" si="310"/>
        <v>-46.51516854309773</v>
      </c>
      <c r="Z1261">
        <f t="shared" si="311"/>
        <v>22453.165870971643</v>
      </c>
      <c r="AB1261">
        <f t="shared" si="312"/>
        <v>4641.6092859999999</v>
      </c>
      <c r="AC1261">
        <f t="shared" si="313"/>
        <v>2354.6883907878</v>
      </c>
      <c r="AD1261">
        <f t="shared" si="314"/>
        <v>-61.733403503799899</v>
      </c>
      <c r="AE1261">
        <f t="shared" si="315"/>
        <v>4.6476433780718001</v>
      </c>
      <c r="AF1261">
        <f t="shared" si="316"/>
        <v>-66.381046881871697</v>
      </c>
      <c r="AG1261">
        <f t="shared" si="322"/>
        <v>23480.502861565939</v>
      </c>
      <c r="AH1261" t="b">
        <f t="shared" si="317"/>
        <v>1</v>
      </c>
    </row>
    <row r="1262" spans="4:34" hidden="1" x14ac:dyDescent="0.4">
      <c r="D1262" t="s">
        <v>43</v>
      </c>
      <c r="E1262" t="s">
        <v>37</v>
      </c>
      <c r="F1262" s="9">
        <v>45717.083333333336</v>
      </c>
      <c r="G1262">
        <v>2.859</v>
      </c>
      <c r="H1262" s="9">
        <v>45719.083333333336</v>
      </c>
      <c r="I1262">
        <v>3.1227999999999998</v>
      </c>
      <c r="J1262">
        <v>595.1</v>
      </c>
      <c r="K1262" s="12">
        <v>1701.49</v>
      </c>
      <c r="L1262">
        <v>2.67</v>
      </c>
      <c r="M1262">
        <v>154.32</v>
      </c>
      <c r="N1262" s="13">
        <v>9.0700000000000003E-2</v>
      </c>
      <c r="O1262" t="s">
        <v>38</v>
      </c>
      <c r="Q1262">
        <f t="shared" si="318"/>
        <v>156.98737999999989</v>
      </c>
      <c r="R1262">
        <f t="shared" si="319"/>
        <v>154.3173799999999</v>
      </c>
      <c r="S1262">
        <f t="shared" si="320"/>
        <v>1858.3782799999999</v>
      </c>
      <c r="U1262">
        <f t="shared" si="307"/>
        <v>577.12486899999999</v>
      </c>
      <c r="V1262">
        <f t="shared" si="321"/>
        <v>1650.000000471</v>
      </c>
      <c r="W1262">
        <f t="shared" si="308"/>
        <v>152.24554044219988</v>
      </c>
      <c r="X1262">
        <f t="shared" si="309"/>
        <v>3.4522455413841997</v>
      </c>
      <c r="Y1262">
        <f t="shared" si="310"/>
        <v>148.79329490081568</v>
      </c>
      <c r="Z1262">
        <f t="shared" si="311"/>
        <v>22499.68103951474</v>
      </c>
      <c r="AB1262">
        <f t="shared" si="312"/>
        <v>816.24487999999997</v>
      </c>
      <c r="AC1262">
        <f t="shared" si="313"/>
        <v>2333.6441119199999</v>
      </c>
      <c r="AD1262">
        <f t="shared" si="314"/>
        <v>215.32539934399983</v>
      </c>
      <c r="AE1262">
        <f t="shared" si="315"/>
        <v>4.8826136231839996</v>
      </c>
      <c r="AF1262">
        <f t="shared" si="316"/>
        <v>210.44278572081583</v>
      </c>
      <c r="AG1262">
        <f t="shared" si="322"/>
        <v>23546.88390844781</v>
      </c>
      <c r="AH1262" t="b">
        <f t="shared" si="317"/>
        <v>1</v>
      </c>
    </row>
    <row r="1263" spans="4:34" hidden="1" x14ac:dyDescent="0.4">
      <c r="D1263" t="s">
        <v>61</v>
      </c>
      <c r="E1263" t="s">
        <v>37</v>
      </c>
      <c r="F1263" s="9">
        <v>45717.083333333336</v>
      </c>
      <c r="G1263">
        <v>0.6431</v>
      </c>
      <c r="H1263" s="9">
        <v>45719.083333333336</v>
      </c>
      <c r="I1263">
        <v>1.0824</v>
      </c>
      <c r="J1263" s="12">
        <v>11673.7</v>
      </c>
      <c r="K1263" s="12">
        <v>7507.37</v>
      </c>
      <c r="L1263">
        <v>15.11</v>
      </c>
      <c r="M1263" s="12">
        <v>5113.1499999999996</v>
      </c>
      <c r="N1263" s="13">
        <v>0.68110000000000004</v>
      </c>
      <c r="O1263" t="s">
        <v>38</v>
      </c>
      <c r="Q1263">
        <f t="shared" si="318"/>
        <v>5128.2564100000009</v>
      </c>
      <c r="R1263">
        <f t="shared" si="319"/>
        <v>5113.1464100000012</v>
      </c>
      <c r="S1263">
        <f t="shared" si="320"/>
        <v>12635.612880000001</v>
      </c>
      <c r="U1263">
        <f t="shared" si="307"/>
        <v>2565.6974030000001</v>
      </c>
      <c r="V1263">
        <f t="shared" si="321"/>
        <v>1649.9999998693002</v>
      </c>
      <c r="W1263">
        <f t="shared" si="308"/>
        <v>1127.1108691379002</v>
      </c>
      <c r="X1263">
        <f t="shared" si="309"/>
        <v>4.4271108688765004</v>
      </c>
      <c r="Y1263">
        <f t="shared" si="310"/>
        <v>1122.6837582690237</v>
      </c>
      <c r="Z1263">
        <f t="shared" si="311"/>
        <v>22350.887744613923</v>
      </c>
      <c r="AB1263">
        <f t="shared" si="312"/>
        <v>3397.5668639999999</v>
      </c>
      <c r="AC1263">
        <f t="shared" si="313"/>
        <v>2184.9752502383999</v>
      </c>
      <c r="AD1263">
        <f t="shared" si="314"/>
        <v>1492.5511233551999</v>
      </c>
      <c r="AE1263">
        <f t="shared" si="315"/>
        <v>5.8625016238320002</v>
      </c>
      <c r="AF1263">
        <f t="shared" si="316"/>
        <v>1486.6886217313679</v>
      </c>
      <c r="AG1263">
        <f t="shared" si="322"/>
        <v>23336.441122726992</v>
      </c>
      <c r="AH1263" t="b">
        <f t="shared" si="317"/>
        <v>1</v>
      </c>
    </row>
    <row r="1264" spans="4:34" hidden="1" x14ac:dyDescent="0.4">
      <c r="D1264" t="s">
        <v>54</v>
      </c>
      <c r="E1264" t="s">
        <v>37</v>
      </c>
      <c r="F1264" s="9">
        <v>45716.916666666664</v>
      </c>
      <c r="G1264">
        <v>147.66999999999999</v>
      </c>
      <c r="H1264" s="9">
        <v>45718.916666666664</v>
      </c>
      <c r="I1264">
        <v>175.49</v>
      </c>
      <c r="J1264" s="12">
        <v>29.954999999999998</v>
      </c>
      <c r="K1264" s="12">
        <v>4423.4799999999996</v>
      </c>
      <c r="L1264">
        <v>7.26</v>
      </c>
      <c r="M1264" s="12">
        <v>826.09</v>
      </c>
      <c r="N1264" s="13">
        <v>0.18679999999999999</v>
      </c>
      <c r="O1264" t="s">
        <v>38</v>
      </c>
      <c r="Q1264">
        <f t="shared" si="318"/>
        <v>833.34810000000061</v>
      </c>
      <c r="R1264">
        <f t="shared" si="319"/>
        <v>826.08810000000062</v>
      </c>
      <c r="S1264">
        <f t="shared" si="320"/>
        <v>5256.8029500000002</v>
      </c>
      <c r="U1264">
        <f t="shared" si="307"/>
        <v>11.173563</v>
      </c>
      <c r="V1264">
        <f t="shared" si="321"/>
        <v>1650.0000482099997</v>
      </c>
      <c r="W1264">
        <f t="shared" si="308"/>
        <v>310.84852266000024</v>
      </c>
      <c r="X1264">
        <f t="shared" si="309"/>
        <v>3.6108486190799991</v>
      </c>
      <c r="Y1264">
        <f t="shared" si="310"/>
        <v>307.23767404092024</v>
      </c>
      <c r="Z1264">
        <f t="shared" si="311"/>
        <v>21228.203986344899</v>
      </c>
      <c r="AB1264">
        <f t="shared" si="312"/>
        <v>14.52586</v>
      </c>
      <c r="AC1264">
        <f t="shared" si="313"/>
        <v>2145.0337461999998</v>
      </c>
      <c r="AD1264">
        <f t="shared" si="314"/>
        <v>404.10942520000032</v>
      </c>
      <c r="AE1264">
        <f t="shared" si="315"/>
        <v>4.6941769175999992</v>
      </c>
      <c r="AF1264">
        <f t="shared" si="316"/>
        <v>399.41524828240034</v>
      </c>
      <c r="AG1264">
        <f t="shared" si="322"/>
        <v>21849.752500995623</v>
      </c>
      <c r="AH1264" t="b">
        <f t="shared" si="317"/>
        <v>1</v>
      </c>
    </row>
    <row r="1265" spans="4:34" hidden="1" x14ac:dyDescent="0.4">
      <c r="D1265" t="s">
        <v>55</v>
      </c>
      <c r="E1265" t="s">
        <v>37</v>
      </c>
      <c r="F1265" s="9">
        <v>45716.875</v>
      </c>
      <c r="G1265" s="12">
        <v>6.7360000000000006E-5</v>
      </c>
      <c r="H1265" s="9">
        <v>45718.875</v>
      </c>
      <c r="I1265" s="12">
        <v>7.1799999999999997E-5</v>
      </c>
      <c r="J1265" s="12">
        <v>87900188.840000004</v>
      </c>
      <c r="K1265" s="12">
        <v>5920.96</v>
      </c>
      <c r="L1265">
        <v>9.17</v>
      </c>
      <c r="M1265">
        <v>381.1</v>
      </c>
      <c r="N1265" s="13">
        <v>6.4399999999999999E-2</v>
      </c>
      <c r="O1265" t="s">
        <v>38</v>
      </c>
      <c r="Q1265">
        <f t="shared" si="318"/>
        <v>390.27683844959927</v>
      </c>
      <c r="R1265">
        <f t="shared" si="319"/>
        <v>381.10683844959925</v>
      </c>
      <c r="S1265">
        <f t="shared" si="320"/>
        <v>6311.2335587119996</v>
      </c>
      <c r="U1265">
        <f t="shared" si="307"/>
        <v>24495249.406176001</v>
      </c>
      <c r="V1265">
        <f t="shared" si="321"/>
        <v>1650.0000000000155</v>
      </c>
      <c r="W1265">
        <f t="shared" si="308"/>
        <v>108.75890736342123</v>
      </c>
      <c r="X1265">
        <f t="shared" si="309"/>
        <v>3.4087589073634517</v>
      </c>
      <c r="Y1265">
        <f t="shared" si="310"/>
        <v>105.35014845605778</v>
      </c>
      <c r="Z1265">
        <f t="shared" si="311"/>
        <v>20920.966312303979</v>
      </c>
      <c r="AB1265">
        <f t="shared" si="312"/>
        <v>31642293.366553999</v>
      </c>
      <c r="AC1265">
        <f t="shared" si="313"/>
        <v>2131.4248811710777</v>
      </c>
      <c r="AD1265">
        <f t="shared" si="314"/>
        <v>140.4917825474995</v>
      </c>
      <c r="AE1265">
        <f t="shared" si="315"/>
        <v>4.4033415448896545</v>
      </c>
      <c r="AF1265">
        <f t="shared" si="316"/>
        <v>136.08844100260984</v>
      </c>
      <c r="AG1265">
        <f t="shared" si="322"/>
        <v>21450.337252713223</v>
      </c>
      <c r="AH1265" t="b">
        <f t="shared" si="317"/>
        <v>1</v>
      </c>
    </row>
    <row r="1266" spans="4:34" hidden="1" x14ac:dyDescent="0.4">
      <c r="D1266" t="s">
        <v>52</v>
      </c>
      <c r="E1266" t="s">
        <v>37</v>
      </c>
      <c r="F1266" s="9">
        <v>45716.791666666664</v>
      </c>
      <c r="G1266" s="12">
        <v>6.5359999999999996</v>
      </c>
      <c r="H1266" s="9">
        <v>45718.791666666664</v>
      </c>
      <c r="I1266" s="12">
        <v>7.0679999999999996</v>
      </c>
      <c r="J1266">
        <v>351.3</v>
      </c>
      <c r="K1266" s="12">
        <v>2296.12</v>
      </c>
      <c r="L1266">
        <v>3.58</v>
      </c>
      <c r="M1266">
        <v>183.31</v>
      </c>
      <c r="N1266" s="13">
        <v>7.9799999999999996E-2</v>
      </c>
      <c r="O1266" t="s">
        <v>38</v>
      </c>
      <c r="Q1266">
        <f t="shared" si="318"/>
        <v>186.89160000000001</v>
      </c>
      <c r="R1266">
        <f t="shared" si="319"/>
        <v>183.3116</v>
      </c>
      <c r="S1266">
        <f t="shared" si="320"/>
        <v>2482.9883999999997</v>
      </c>
      <c r="U1266">
        <f t="shared" si="307"/>
        <v>252.44798</v>
      </c>
      <c r="V1266">
        <f t="shared" si="321"/>
        <v>1649.9999972799999</v>
      </c>
      <c r="W1266">
        <f t="shared" si="308"/>
        <v>134.30232536</v>
      </c>
      <c r="X1266">
        <f t="shared" si="309"/>
        <v>3.43430231992</v>
      </c>
      <c r="Y1266">
        <f t="shared" si="310"/>
        <v>130.86802304008</v>
      </c>
      <c r="Z1266">
        <f t="shared" si="311"/>
        <v>20815.616163847921</v>
      </c>
      <c r="AB1266">
        <f t="shared" si="312"/>
        <v>323.53928000000002</v>
      </c>
      <c r="AC1266">
        <f t="shared" si="313"/>
        <v>2114.6527340799998</v>
      </c>
      <c r="AD1266">
        <f t="shared" si="314"/>
        <v>172.12289696000002</v>
      </c>
      <c r="AE1266">
        <f t="shared" si="315"/>
        <v>4.4014283651200001</v>
      </c>
      <c r="AF1266">
        <f t="shared" si="316"/>
        <v>167.72146859488001</v>
      </c>
      <c r="AG1266">
        <f t="shared" si="322"/>
        <v>21314.248811710615</v>
      </c>
      <c r="AH1266" t="b">
        <f t="shared" si="317"/>
        <v>1</v>
      </c>
    </row>
    <row r="1267" spans="4:34" hidden="1" x14ac:dyDescent="0.4">
      <c r="D1267" t="s">
        <v>58</v>
      </c>
      <c r="E1267" t="s">
        <v>37</v>
      </c>
      <c r="F1267" s="9">
        <v>45715.083333333336</v>
      </c>
      <c r="G1267">
        <v>15.28</v>
      </c>
      <c r="H1267" s="9">
        <v>45717.083333333336</v>
      </c>
      <c r="I1267">
        <v>14.86</v>
      </c>
      <c r="J1267">
        <v>436.67</v>
      </c>
      <c r="K1267" s="12">
        <v>6672.47</v>
      </c>
      <c r="L1267">
        <v>9.8699999999999992</v>
      </c>
      <c r="M1267">
        <v>-193.27</v>
      </c>
      <c r="N1267" s="13">
        <v>-2.9000000000000001E-2</v>
      </c>
      <c r="O1267" t="s">
        <v>38</v>
      </c>
      <c r="Q1267">
        <f t="shared" si="318"/>
        <v>-183.40139999999997</v>
      </c>
      <c r="R1267">
        <f t="shared" si="319"/>
        <v>-193.27139999999997</v>
      </c>
      <c r="S1267">
        <f t="shared" si="320"/>
        <v>6488.9161999999997</v>
      </c>
      <c r="U1267">
        <f t="shared" si="307"/>
        <v>107.98429299999999</v>
      </c>
      <c r="V1267">
        <f t="shared" si="321"/>
        <v>1649.9999970399999</v>
      </c>
      <c r="W1267">
        <f t="shared" si="308"/>
        <v>-45.353403059999991</v>
      </c>
      <c r="X1267">
        <f t="shared" si="309"/>
        <v>3.2546465910199998</v>
      </c>
      <c r="Y1267">
        <f t="shared" si="310"/>
        <v>-48.608049651019989</v>
      </c>
      <c r="Z1267">
        <f t="shared" si="311"/>
        <v>20684.748140807842</v>
      </c>
      <c r="AB1267">
        <f t="shared" si="312"/>
        <v>138.80240699999999</v>
      </c>
      <c r="AC1267">
        <f t="shared" si="313"/>
        <v>2120.9007789599996</v>
      </c>
      <c r="AD1267">
        <f t="shared" si="314"/>
        <v>-58.297010939999986</v>
      </c>
      <c r="AE1267">
        <f t="shared" si="315"/>
        <v>4.1835045469800001</v>
      </c>
      <c r="AF1267">
        <f t="shared" si="316"/>
        <v>-62.480515486979982</v>
      </c>
      <c r="AG1267">
        <f t="shared" si="322"/>
        <v>21146.527343115737</v>
      </c>
      <c r="AH1267" t="b">
        <f t="shared" si="317"/>
        <v>1</v>
      </c>
    </row>
    <row r="1268" spans="4:34" hidden="1" x14ac:dyDescent="0.4">
      <c r="D1268" t="s">
        <v>48</v>
      </c>
      <c r="E1268" t="s">
        <v>37</v>
      </c>
      <c r="F1268" s="9">
        <v>45714.625</v>
      </c>
      <c r="G1268">
        <v>0.48020000000000002</v>
      </c>
      <c r="H1268" s="9">
        <v>45716.625</v>
      </c>
      <c r="I1268">
        <v>0.47939999999999999</v>
      </c>
      <c r="J1268" s="12">
        <v>6082.8</v>
      </c>
      <c r="K1268" s="12">
        <v>2920.96</v>
      </c>
      <c r="L1268">
        <v>4.38</v>
      </c>
      <c r="M1268">
        <v>-9.24</v>
      </c>
      <c r="N1268" s="13">
        <v>-3.2000000000000002E-3</v>
      </c>
      <c r="O1268" t="s">
        <v>38</v>
      </c>
      <c r="Q1268">
        <f t="shared" si="318"/>
        <v>-4.8662400000001398</v>
      </c>
      <c r="R1268">
        <f t="shared" si="319"/>
        <v>-9.2462400000001388</v>
      </c>
      <c r="S1268">
        <f t="shared" si="320"/>
        <v>2916.0943200000002</v>
      </c>
      <c r="U1268">
        <f t="shared" si="307"/>
        <v>3436.0683049999998</v>
      </c>
      <c r="V1268">
        <f t="shared" si="321"/>
        <v>1650.000000061</v>
      </c>
      <c r="W1268">
        <f t="shared" si="308"/>
        <v>-2.7488546440000787</v>
      </c>
      <c r="X1268">
        <f t="shared" si="309"/>
        <v>3.297251145478</v>
      </c>
      <c r="Y1268">
        <f t="shared" si="310"/>
        <v>-6.0461057894780783</v>
      </c>
      <c r="Z1268">
        <f t="shared" si="311"/>
        <v>20733.356190458861</v>
      </c>
      <c r="AB1268">
        <f t="shared" si="312"/>
        <v>4418.3220199999996</v>
      </c>
      <c r="AC1268">
        <f t="shared" si="313"/>
        <v>2121.6782340039999</v>
      </c>
      <c r="AD1268">
        <f t="shared" si="314"/>
        <v>-3.5346576160001009</v>
      </c>
      <c r="AE1268">
        <f t="shared" si="315"/>
        <v>4.2398218103919998</v>
      </c>
      <c r="AF1268">
        <f t="shared" si="316"/>
        <v>-7.7744794263921007</v>
      </c>
      <c r="AG1268">
        <f t="shared" si="322"/>
        <v>21209.007858602716</v>
      </c>
      <c r="AH1268" t="b">
        <f t="shared" si="317"/>
        <v>1</v>
      </c>
    </row>
    <row r="1269" spans="4:34" hidden="1" x14ac:dyDescent="0.4">
      <c r="D1269" t="s">
        <v>55</v>
      </c>
      <c r="E1269" t="s">
        <v>37</v>
      </c>
      <c r="F1269" s="9">
        <v>45714.125</v>
      </c>
      <c r="G1269">
        <v>6.8759999999999999E-5</v>
      </c>
      <c r="H1269" s="9">
        <v>45716.125</v>
      </c>
      <c r="I1269">
        <v>6.4880000000000002E-5</v>
      </c>
      <c r="J1269" s="12">
        <v>86611841.560000002</v>
      </c>
      <c r="K1269" s="12">
        <v>5955.43</v>
      </c>
      <c r="L1269">
        <v>8.68</v>
      </c>
      <c r="M1269">
        <v>-344.74</v>
      </c>
      <c r="N1269" s="13">
        <v>-5.79E-2</v>
      </c>
      <c r="O1269" t="s">
        <v>38</v>
      </c>
      <c r="Q1269">
        <f t="shared" si="318"/>
        <v>-336.05394525279974</v>
      </c>
      <c r="R1269">
        <f t="shared" si="319"/>
        <v>-344.73394525279974</v>
      </c>
      <c r="S1269">
        <f t="shared" si="320"/>
        <v>5619.3762804128</v>
      </c>
      <c r="U1269">
        <f t="shared" si="307"/>
        <v>23996509.598604001</v>
      </c>
      <c r="V1269">
        <f t="shared" si="321"/>
        <v>1650.0000000000111</v>
      </c>
      <c r="W1269">
        <f t="shared" si="308"/>
        <v>-93.106457242583446</v>
      </c>
      <c r="X1269">
        <f t="shared" si="309"/>
        <v>3.2068935427574385</v>
      </c>
      <c r="Y1269">
        <f t="shared" si="310"/>
        <v>-96.313350785340887</v>
      </c>
      <c r="Z1269">
        <f t="shared" si="311"/>
        <v>20739.40229624834</v>
      </c>
      <c r="AB1269">
        <f t="shared" si="312"/>
        <v>31037457.122505002</v>
      </c>
      <c r="AC1269">
        <f t="shared" si="313"/>
        <v>2134.135551743444</v>
      </c>
      <c r="AD1269">
        <f t="shared" si="314"/>
        <v>-120.4253336353193</v>
      </c>
      <c r="AE1269">
        <f t="shared" si="315"/>
        <v>4.1478457698515685</v>
      </c>
      <c r="AF1269">
        <f t="shared" si="316"/>
        <v>-124.57317940517088</v>
      </c>
      <c r="AG1269">
        <f t="shared" si="322"/>
        <v>21216.782338029108</v>
      </c>
      <c r="AH1269" t="b">
        <f t="shared" si="317"/>
        <v>1</v>
      </c>
    </row>
    <row r="1270" spans="4:34" hidden="1" x14ac:dyDescent="0.4">
      <c r="D1270" t="s">
        <v>52</v>
      </c>
      <c r="E1270" t="s">
        <v>37</v>
      </c>
      <c r="F1270" s="9">
        <v>45714.083333333336</v>
      </c>
      <c r="G1270">
        <v>6.3449999999999998</v>
      </c>
      <c r="H1270" s="9">
        <v>45716.083333333336</v>
      </c>
      <c r="I1270">
        <v>6.476</v>
      </c>
      <c r="J1270">
        <v>361.18</v>
      </c>
      <c r="K1270" s="12">
        <v>2291.7399999999998</v>
      </c>
      <c r="L1270">
        <v>3.47</v>
      </c>
      <c r="M1270">
        <v>43.84</v>
      </c>
      <c r="N1270" s="13">
        <v>1.9099999999999999E-2</v>
      </c>
      <c r="O1270" t="s">
        <v>38</v>
      </c>
      <c r="Q1270">
        <f t="shared" si="318"/>
        <v>47.314580000000085</v>
      </c>
      <c r="R1270">
        <f t="shared" si="319"/>
        <v>43.844580000000086</v>
      </c>
      <c r="S1270">
        <f t="shared" si="320"/>
        <v>2339.0016799999999</v>
      </c>
      <c r="U1270">
        <f t="shared" si="307"/>
        <v>260.047281</v>
      </c>
      <c r="V1270">
        <f t="shared" si="321"/>
        <v>1649.9999979449999</v>
      </c>
      <c r="W1270">
        <f t="shared" si="308"/>
        <v>34.066193811000062</v>
      </c>
      <c r="X1270">
        <f t="shared" si="309"/>
        <v>3.3340661897010002</v>
      </c>
      <c r="Y1270">
        <f t="shared" si="310"/>
        <v>30.73212762129906</v>
      </c>
      <c r="Z1270">
        <f t="shared" si="311"/>
        <v>20835.715647033681</v>
      </c>
      <c r="AB1270">
        <f t="shared" si="312"/>
        <v>335.72387700000002</v>
      </c>
      <c r="AC1270">
        <f t="shared" si="313"/>
        <v>2130.1679995650002</v>
      </c>
      <c r="AD1270">
        <f t="shared" si="314"/>
        <v>43.979827887000077</v>
      </c>
      <c r="AE1270">
        <f t="shared" si="315"/>
        <v>4.3043158270170006</v>
      </c>
      <c r="AF1270">
        <f t="shared" si="316"/>
        <v>39.675512059983078</v>
      </c>
      <c r="AG1270">
        <f t="shared" si="322"/>
        <v>21341.35551743428</v>
      </c>
      <c r="AH1270" t="b">
        <f t="shared" si="317"/>
        <v>1</v>
      </c>
    </row>
    <row r="1271" spans="4:34" hidden="1" x14ac:dyDescent="0.4">
      <c r="D1271" t="s">
        <v>43</v>
      </c>
      <c r="E1271" t="s">
        <v>37</v>
      </c>
      <c r="F1271" s="9">
        <v>45711.583333333336</v>
      </c>
      <c r="G1271">
        <v>3.3687999999999998</v>
      </c>
      <c r="H1271" s="9">
        <v>45713.583333333336</v>
      </c>
      <c r="I1271">
        <v>2.8058000000000001</v>
      </c>
      <c r="J1271">
        <v>513.70000000000005</v>
      </c>
      <c r="K1271" s="12">
        <v>1730.65</v>
      </c>
      <c r="L1271">
        <v>2.38</v>
      </c>
      <c r="M1271" s="12">
        <v>-291.58999999999997</v>
      </c>
      <c r="N1271" s="13">
        <v>-0.16850000000000001</v>
      </c>
      <c r="O1271" t="s">
        <v>38</v>
      </c>
      <c r="Q1271">
        <f t="shared" si="318"/>
        <v>-289.21309999999988</v>
      </c>
      <c r="R1271">
        <f t="shared" si="319"/>
        <v>-291.59309999999988</v>
      </c>
      <c r="S1271">
        <f t="shared" si="320"/>
        <v>1441.3394600000001</v>
      </c>
      <c r="U1271">
        <f t="shared" si="307"/>
        <v>489.78864900000002</v>
      </c>
      <c r="V1271">
        <f t="shared" si="321"/>
        <v>1650.0000007511999</v>
      </c>
      <c r="W1271">
        <f t="shared" si="308"/>
        <v>-275.7510093869999</v>
      </c>
      <c r="X1271">
        <f t="shared" si="309"/>
        <v>3.0242489921154001</v>
      </c>
      <c r="Y1271">
        <f t="shared" si="310"/>
        <v>-278.77525837911531</v>
      </c>
      <c r="Z1271">
        <f t="shared" si="311"/>
        <v>20804.983519412381</v>
      </c>
      <c r="AB1271">
        <f t="shared" si="312"/>
        <v>643.18947800000001</v>
      </c>
      <c r="AC1271">
        <f t="shared" si="313"/>
        <v>2166.7767134863998</v>
      </c>
      <c r="AD1271">
        <f t="shared" si="314"/>
        <v>-362.11567611399983</v>
      </c>
      <c r="AE1271">
        <f t="shared" si="315"/>
        <v>3.9714377508587999</v>
      </c>
      <c r="AF1271">
        <f t="shared" si="316"/>
        <v>-366.08711386485862</v>
      </c>
      <c r="AG1271">
        <f t="shared" si="322"/>
        <v>21301.680005374295</v>
      </c>
      <c r="AH1271" t="b">
        <f t="shared" si="317"/>
        <v>1</v>
      </c>
    </row>
    <row r="1272" spans="4:34" hidden="1" x14ac:dyDescent="0.4">
      <c r="D1272" t="s">
        <v>48</v>
      </c>
      <c r="E1272" t="s">
        <v>37</v>
      </c>
      <c r="F1272" s="9">
        <v>45711.458333333336</v>
      </c>
      <c r="G1272">
        <v>0.49149999999999999</v>
      </c>
      <c r="H1272" s="9">
        <v>45713.458333333336</v>
      </c>
      <c r="I1272">
        <v>0.47620000000000001</v>
      </c>
      <c r="J1272" s="12">
        <v>5962.4</v>
      </c>
      <c r="K1272" s="12">
        <v>2930.52</v>
      </c>
      <c r="L1272">
        <v>4.33</v>
      </c>
      <c r="M1272">
        <v>-95.55</v>
      </c>
      <c r="N1272" s="13">
        <v>-3.2599999999999997E-2</v>
      </c>
      <c r="O1272" t="s">
        <v>38</v>
      </c>
      <c r="Q1272">
        <f t="shared" si="318"/>
        <v>-91.224719999999877</v>
      </c>
      <c r="R1272">
        <f t="shared" si="319"/>
        <v>-95.554719999999875</v>
      </c>
      <c r="S1272">
        <f t="shared" si="320"/>
        <v>2839.2948799999999</v>
      </c>
      <c r="U1272">
        <f t="shared" si="307"/>
        <v>3357.070193</v>
      </c>
      <c r="V1272">
        <f t="shared" si="321"/>
        <v>1649.9999998594999</v>
      </c>
      <c r="W1272">
        <f t="shared" si="308"/>
        <v>-51.363173952899935</v>
      </c>
      <c r="X1272">
        <f t="shared" si="309"/>
        <v>3.2486368257661002</v>
      </c>
      <c r="Y1272">
        <f t="shared" si="310"/>
        <v>-54.611810778666033</v>
      </c>
      <c r="Z1272">
        <f t="shared" si="311"/>
        <v>21083.758777791496</v>
      </c>
      <c r="AB1272">
        <f t="shared" si="312"/>
        <v>4423.1376190000001</v>
      </c>
      <c r="AC1272">
        <f t="shared" si="313"/>
        <v>2173.9721397385001</v>
      </c>
      <c r="AD1272">
        <f t="shared" si="314"/>
        <v>-67.674005570699919</v>
      </c>
      <c r="AE1272">
        <f t="shared" si="315"/>
        <v>4.2802702739063001</v>
      </c>
      <c r="AF1272">
        <f t="shared" si="316"/>
        <v>-71.954275844606215</v>
      </c>
      <c r="AG1272">
        <f t="shared" si="322"/>
        <v>21667.767119239154</v>
      </c>
      <c r="AH1272" t="b">
        <f t="shared" si="317"/>
        <v>1</v>
      </c>
    </row>
    <row r="1273" spans="4:34" hidden="1" x14ac:dyDescent="0.4">
      <c r="D1273" t="s">
        <v>53</v>
      </c>
      <c r="E1273" t="s">
        <v>37</v>
      </c>
      <c r="F1273" s="9">
        <v>45710.666666666664</v>
      </c>
      <c r="G1273">
        <v>658.33</v>
      </c>
      <c r="H1273" s="9">
        <v>45712.666666666664</v>
      </c>
      <c r="I1273">
        <v>635.37</v>
      </c>
      <c r="J1273">
        <v>13.739000000000001</v>
      </c>
      <c r="K1273" s="12">
        <v>9045.1299999999992</v>
      </c>
      <c r="L1273">
        <v>13.33</v>
      </c>
      <c r="M1273">
        <v>-328.78</v>
      </c>
      <c r="N1273" s="13">
        <v>-3.6299999999999999E-2</v>
      </c>
      <c r="O1273" t="s">
        <v>38</v>
      </c>
      <c r="Q1273">
        <f t="shared" si="318"/>
        <v>-315.44744000000054</v>
      </c>
      <c r="R1273">
        <f t="shared" si="319"/>
        <v>-328.77744000000052</v>
      </c>
      <c r="S1273">
        <f t="shared" si="320"/>
        <v>8729.34843</v>
      </c>
      <c r="U1273">
        <f t="shared" si="307"/>
        <v>2.5063420000000001</v>
      </c>
      <c r="V1273">
        <f t="shared" si="321"/>
        <v>1650.0001288600001</v>
      </c>
      <c r="W1273">
        <f t="shared" si="308"/>
        <v>-57.545612320000096</v>
      </c>
      <c r="X1273">
        <f t="shared" si="309"/>
        <v>3.2424546454000001</v>
      </c>
      <c r="Y1273">
        <f t="shared" si="310"/>
        <v>-60.788066965400098</v>
      </c>
      <c r="Z1273">
        <f t="shared" si="311"/>
        <v>21138.37058857016</v>
      </c>
      <c r="AB1273">
        <f t="shared" si="312"/>
        <v>3.3144640000000001</v>
      </c>
      <c r="AC1273">
        <f t="shared" si="313"/>
        <v>2182.0110851200002</v>
      </c>
      <c r="AD1273">
        <f t="shared" si="314"/>
        <v>-76.100093440000123</v>
      </c>
      <c r="AE1273">
        <f t="shared" si="315"/>
        <v>4.2879220768000001</v>
      </c>
      <c r="AF1273">
        <f t="shared" si="316"/>
        <v>-80.388015516800124</v>
      </c>
      <c r="AG1273">
        <f t="shared" si="322"/>
        <v>21739.721395083761</v>
      </c>
      <c r="AH1273" t="b">
        <f t="shared" si="317"/>
        <v>1</v>
      </c>
    </row>
    <row r="1274" spans="4:34" hidden="1" x14ac:dyDescent="0.4">
      <c r="D1274" t="s">
        <v>52</v>
      </c>
      <c r="E1274" t="s">
        <v>37</v>
      </c>
      <c r="F1274" s="9">
        <v>45710.375</v>
      </c>
      <c r="G1274">
        <v>7.0629999999999997</v>
      </c>
      <c r="H1274" s="9">
        <v>45712.375</v>
      </c>
      <c r="I1274">
        <v>6.7770000000000001</v>
      </c>
      <c r="J1274">
        <v>325.83</v>
      </c>
      <c r="K1274" s="12">
        <v>2301.39</v>
      </c>
      <c r="L1274">
        <v>3.38</v>
      </c>
      <c r="M1274">
        <v>-96.57</v>
      </c>
      <c r="N1274" s="13">
        <v>-4.2000000000000003E-2</v>
      </c>
      <c r="O1274" t="s">
        <v>38</v>
      </c>
      <c r="Q1274">
        <f t="shared" si="318"/>
        <v>-93.187379999999862</v>
      </c>
      <c r="R1274">
        <f t="shared" si="319"/>
        <v>-96.567379999999858</v>
      </c>
      <c r="S1274">
        <f t="shared" si="320"/>
        <v>2208.1499100000001</v>
      </c>
      <c r="U1274">
        <f t="shared" si="307"/>
        <v>233.61178000000001</v>
      </c>
      <c r="V1274">
        <f t="shared" si="321"/>
        <v>1650.0000021400001</v>
      </c>
      <c r="W1274">
        <f t="shared" si="308"/>
        <v>-66.812969079999903</v>
      </c>
      <c r="X1274">
        <f t="shared" si="309"/>
        <v>3.2331870352000003</v>
      </c>
      <c r="Y1274">
        <f t="shared" si="310"/>
        <v>-70.046156115199906</v>
      </c>
      <c r="Z1274">
        <f t="shared" si="311"/>
        <v>21199.158655535561</v>
      </c>
      <c r="AB1274">
        <f t="shared" si="312"/>
        <v>310.252521</v>
      </c>
      <c r="AC1274">
        <f t="shared" si="313"/>
        <v>2191.3135558230001</v>
      </c>
      <c r="AD1274">
        <f t="shared" si="314"/>
        <v>-88.732221005999875</v>
      </c>
      <c r="AE1274">
        <f t="shared" si="315"/>
        <v>4.2938948906399999</v>
      </c>
      <c r="AF1274">
        <f t="shared" si="316"/>
        <v>-93.02611589663988</v>
      </c>
      <c r="AG1274">
        <f t="shared" si="322"/>
        <v>21820.109410600562</v>
      </c>
      <c r="AH1274" t="b">
        <f t="shared" si="317"/>
        <v>1</v>
      </c>
    </row>
    <row r="1275" spans="4:34" hidden="1" x14ac:dyDescent="0.4">
      <c r="D1275" t="s">
        <v>56</v>
      </c>
      <c r="E1275" t="s">
        <v>37</v>
      </c>
      <c r="F1275" s="9">
        <v>45710.625</v>
      </c>
      <c r="G1275" s="12">
        <v>2737.2</v>
      </c>
      <c r="H1275" s="9">
        <v>45712.375</v>
      </c>
      <c r="I1275" s="12">
        <v>2684.59</v>
      </c>
      <c r="J1275">
        <v>1.9044000000000001</v>
      </c>
      <c r="K1275" s="12">
        <v>5212.9799999999996</v>
      </c>
      <c r="L1275">
        <v>7.74</v>
      </c>
      <c r="M1275">
        <v>-107.94</v>
      </c>
      <c r="N1275" s="13">
        <v>-2.07E-2</v>
      </c>
      <c r="O1275" t="s">
        <v>49</v>
      </c>
      <c r="Q1275">
        <f t="shared" si="318"/>
        <v>-100.19048399999939</v>
      </c>
      <c r="R1275">
        <f t="shared" si="319"/>
        <v>-107.93048399999938</v>
      </c>
      <c r="S1275">
        <f t="shared" si="320"/>
        <v>5112.5331960000003</v>
      </c>
      <c r="U1275">
        <f t="shared" si="307"/>
        <v>0.60280599999999995</v>
      </c>
      <c r="V1275">
        <f t="shared" si="321"/>
        <v>1650.0005831999997</v>
      </c>
      <c r="W1275">
        <f t="shared" si="308"/>
        <v>-31.713623659999801</v>
      </c>
      <c r="X1275">
        <f t="shared" si="309"/>
        <v>3.2682875427399996</v>
      </c>
      <c r="Y1275">
        <f t="shared" si="310"/>
        <v>-34.981911202739802</v>
      </c>
      <c r="Z1275">
        <f t="shared" si="311"/>
        <v>21269.204811650761</v>
      </c>
      <c r="AB1275">
        <f t="shared" si="312"/>
        <v>0.80226799999999998</v>
      </c>
      <c r="AC1275">
        <f t="shared" si="313"/>
        <v>2195.9679695999998</v>
      </c>
      <c r="AD1275">
        <f t="shared" si="314"/>
        <v>-42.20731947999974</v>
      </c>
      <c r="AE1275">
        <f t="shared" si="315"/>
        <v>4.3497286197199996</v>
      </c>
      <c r="AF1275">
        <f t="shared" si="316"/>
        <v>-46.557048099719736</v>
      </c>
      <c r="AG1275">
        <f t="shared" si="322"/>
        <v>21913.135526497201</v>
      </c>
      <c r="AH1275" t="b">
        <f t="shared" si="317"/>
        <v>1</v>
      </c>
    </row>
    <row r="1276" spans="4:34" hidden="1" x14ac:dyDescent="0.4">
      <c r="D1276" t="s">
        <v>54</v>
      </c>
      <c r="E1276" t="s">
        <v>37</v>
      </c>
      <c r="F1276" s="9">
        <v>45710.208333333336</v>
      </c>
      <c r="G1276">
        <v>171.63</v>
      </c>
      <c r="H1276" s="9">
        <v>45712.208333333336</v>
      </c>
      <c r="I1276">
        <v>158.79</v>
      </c>
      <c r="J1276">
        <v>25.971</v>
      </c>
      <c r="K1276" s="12">
        <v>4457.47</v>
      </c>
      <c r="L1276">
        <v>6.44</v>
      </c>
      <c r="M1276">
        <v>-339.9</v>
      </c>
      <c r="N1276" s="13">
        <v>-7.6300000000000007E-2</v>
      </c>
      <c r="O1276" t="s">
        <v>38</v>
      </c>
      <c r="Q1276">
        <f t="shared" si="318"/>
        <v>-333.46764000000007</v>
      </c>
      <c r="R1276">
        <f t="shared" si="319"/>
        <v>-339.90764000000007</v>
      </c>
      <c r="S1276">
        <f t="shared" si="320"/>
        <v>4123.9350899999999</v>
      </c>
      <c r="U1276">
        <f t="shared" si="307"/>
        <v>9.6137040000000002</v>
      </c>
      <c r="V1276">
        <f t="shared" si="321"/>
        <v>1650.00001752</v>
      </c>
      <c r="W1276">
        <f t="shared" si="308"/>
        <v>-123.43995936000003</v>
      </c>
      <c r="X1276">
        <f t="shared" si="309"/>
        <v>3.1765600756799999</v>
      </c>
      <c r="Y1276">
        <f t="shared" si="310"/>
        <v>-126.61651943568003</v>
      </c>
      <c r="Z1276">
        <f t="shared" si="311"/>
        <v>21304.186722853501</v>
      </c>
      <c r="AB1276">
        <f t="shared" si="312"/>
        <v>12.89373</v>
      </c>
      <c r="AC1276">
        <f t="shared" si="313"/>
        <v>2212.9508799</v>
      </c>
      <c r="AD1276">
        <f t="shared" si="314"/>
        <v>-165.55549320000003</v>
      </c>
      <c r="AE1276">
        <f t="shared" si="315"/>
        <v>4.2603462666</v>
      </c>
      <c r="AF1276">
        <f t="shared" si="316"/>
        <v>-169.81583946660004</v>
      </c>
      <c r="AG1276">
        <f t="shared" si="322"/>
        <v>21959.69257459692</v>
      </c>
      <c r="AH1276" t="b">
        <f t="shared" si="317"/>
        <v>1</v>
      </c>
    </row>
    <row r="1277" spans="4:34" hidden="1" x14ac:dyDescent="0.4">
      <c r="D1277" t="s">
        <v>43</v>
      </c>
      <c r="E1277" t="s">
        <v>37</v>
      </c>
      <c r="F1277" s="9">
        <v>45709.458333333336</v>
      </c>
      <c r="G1277">
        <v>3.5266999999999999</v>
      </c>
      <c r="H1277" s="9">
        <v>45711.458333333336</v>
      </c>
      <c r="I1277">
        <v>3.3723000000000001</v>
      </c>
      <c r="J1277">
        <v>492.9</v>
      </c>
      <c r="K1277" s="12">
        <v>1738.52</v>
      </c>
      <c r="L1277">
        <v>2.5499999999999998</v>
      </c>
      <c r="M1277">
        <v>-78.650000000000006</v>
      </c>
      <c r="N1277" s="13">
        <v>-4.5199999999999997E-2</v>
      </c>
      <c r="O1277" t="s">
        <v>38</v>
      </c>
      <c r="Q1277">
        <f t="shared" si="318"/>
        <v>-76.103759999999937</v>
      </c>
      <c r="R1277">
        <f t="shared" si="319"/>
        <v>-78.653759999999934</v>
      </c>
      <c r="S1277">
        <f t="shared" si="320"/>
        <v>1662.20667</v>
      </c>
      <c r="U1277">
        <f t="shared" si="307"/>
        <v>467.85947199999998</v>
      </c>
      <c r="V1277">
        <f t="shared" si="321"/>
        <v>1649.9999999023998</v>
      </c>
      <c r="W1277">
        <f t="shared" si="308"/>
        <v>-72.237502476799932</v>
      </c>
      <c r="X1277">
        <f t="shared" si="309"/>
        <v>3.2277624973279999</v>
      </c>
      <c r="Y1277">
        <f t="shared" si="310"/>
        <v>-75.465264974127933</v>
      </c>
      <c r="Z1277">
        <f t="shared" si="311"/>
        <v>21430.803242289181</v>
      </c>
      <c r="AB1277">
        <f t="shared" si="312"/>
        <v>630.36793999999998</v>
      </c>
      <c r="AC1277">
        <f t="shared" si="313"/>
        <v>2223.118613998</v>
      </c>
      <c r="AD1277">
        <f t="shared" si="314"/>
        <v>-97.328809935999914</v>
      </c>
      <c r="AE1277">
        <f t="shared" si="315"/>
        <v>4.3489084180599997</v>
      </c>
      <c r="AF1277">
        <f t="shared" si="316"/>
        <v>-101.67771835405992</v>
      </c>
      <c r="AG1277">
        <f t="shared" si="322"/>
        <v>22129.508414063519</v>
      </c>
      <c r="AH1277" t="b">
        <f t="shared" si="317"/>
        <v>1</v>
      </c>
    </row>
    <row r="1278" spans="4:34" hidden="1" x14ac:dyDescent="0.4">
      <c r="D1278" t="s">
        <v>48</v>
      </c>
      <c r="E1278" t="s">
        <v>37</v>
      </c>
      <c r="F1278" s="9">
        <v>45709.25</v>
      </c>
      <c r="G1278">
        <v>0.46210000000000001</v>
      </c>
      <c r="H1278" s="9">
        <v>45711.25</v>
      </c>
      <c r="I1278">
        <v>0.48920000000000002</v>
      </c>
      <c r="J1278" s="12">
        <v>6305.7</v>
      </c>
      <c r="K1278" s="12">
        <v>2913.88</v>
      </c>
      <c r="L1278">
        <v>4.5</v>
      </c>
      <c r="M1278">
        <v>166.39</v>
      </c>
      <c r="N1278" s="13">
        <v>5.7099999999999998E-2</v>
      </c>
      <c r="O1278" t="s">
        <v>38</v>
      </c>
      <c r="Q1278">
        <f t="shared" si="318"/>
        <v>170.88447000000008</v>
      </c>
      <c r="R1278">
        <f t="shared" si="319"/>
        <v>166.38447000000008</v>
      </c>
      <c r="S1278">
        <f t="shared" si="320"/>
        <v>3084.7484399999998</v>
      </c>
      <c r="U1278">
        <f t="shared" si="307"/>
        <v>3570.655702</v>
      </c>
      <c r="V1278">
        <f t="shared" si="321"/>
        <v>1649.9999998942001</v>
      </c>
      <c r="W1278">
        <f t="shared" si="308"/>
        <v>96.764769524200048</v>
      </c>
      <c r="X1278">
        <f t="shared" si="309"/>
        <v>3.3967647693126004</v>
      </c>
      <c r="Y1278">
        <f t="shared" si="310"/>
        <v>93.368004754887451</v>
      </c>
      <c r="Z1278">
        <f t="shared" si="311"/>
        <v>21506.26850726331</v>
      </c>
      <c r="AB1278">
        <f t="shared" si="312"/>
        <v>4783.8336079999999</v>
      </c>
      <c r="AC1278">
        <f t="shared" si="313"/>
        <v>2210.6095102568001</v>
      </c>
      <c r="AD1278">
        <f t="shared" si="314"/>
        <v>129.64189077680007</v>
      </c>
      <c r="AE1278">
        <f t="shared" si="315"/>
        <v>4.5508609112904006</v>
      </c>
      <c r="AF1278">
        <f t="shared" si="316"/>
        <v>125.09102986550967</v>
      </c>
      <c r="AG1278">
        <f t="shared" si="322"/>
        <v>22231.186132417581</v>
      </c>
      <c r="AH1278" t="b">
        <f t="shared" si="317"/>
        <v>1</v>
      </c>
    </row>
    <row r="1279" spans="4:34" hidden="1" x14ac:dyDescent="0.4">
      <c r="D1279" t="s">
        <v>50</v>
      </c>
      <c r="E1279" t="s">
        <v>37</v>
      </c>
      <c r="F1279" s="9">
        <v>45708.958333333336</v>
      </c>
      <c r="G1279">
        <v>459.5</v>
      </c>
      <c r="H1279" s="9">
        <v>45710.958333333336</v>
      </c>
      <c r="I1279">
        <v>430.7</v>
      </c>
      <c r="J1279">
        <v>25.386700000000001</v>
      </c>
      <c r="K1279" s="12">
        <v>11665.19</v>
      </c>
      <c r="L1279">
        <v>16.95</v>
      </c>
      <c r="M1279">
        <v>-748.09</v>
      </c>
      <c r="N1279" s="13">
        <v>-6.4100000000000004E-2</v>
      </c>
      <c r="O1279" t="s">
        <v>38</v>
      </c>
      <c r="Q1279">
        <f t="shared" si="318"/>
        <v>-731.13696000000027</v>
      </c>
      <c r="R1279">
        <f t="shared" si="319"/>
        <v>-748.08696000000032</v>
      </c>
      <c r="S1279">
        <f t="shared" si="320"/>
        <v>10934.05169</v>
      </c>
      <c r="U1279">
        <f t="shared" si="307"/>
        <v>3.5908600000000002</v>
      </c>
      <c r="V1279">
        <f t="shared" si="321"/>
        <v>1650.00017</v>
      </c>
      <c r="W1279">
        <f t="shared" si="308"/>
        <v>-103.41676800000005</v>
      </c>
      <c r="X1279">
        <f t="shared" si="309"/>
        <v>3.1965835720000007</v>
      </c>
      <c r="Y1279">
        <f t="shared" si="310"/>
        <v>-106.61335157200004</v>
      </c>
      <c r="Z1279">
        <f t="shared" si="311"/>
        <v>21412.900502508423</v>
      </c>
      <c r="AB1279">
        <f t="shared" si="312"/>
        <v>4.8421890000000003</v>
      </c>
      <c r="AC1279">
        <f t="shared" si="313"/>
        <v>2224.9858455000003</v>
      </c>
      <c r="AD1279">
        <f t="shared" si="314"/>
        <v>-139.45504320000006</v>
      </c>
      <c r="AE1279">
        <f t="shared" si="315"/>
        <v>4.310516647800001</v>
      </c>
      <c r="AF1279">
        <f t="shared" si="316"/>
        <v>-143.76555984780006</v>
      </c>
      <c r="AG1279">
        <f t="shared" si="322"/>
        <v>22106.09510255207</v>
      </c>
      <c r="AH1279" t="b">
        <f t="shared" si="317"/>
        <v>1</v>
      </c>
    </row>
    <row r="1280" spans="4:34" hidden="1" x14ac:dyDescent="0.4">
      <c r="D1280" t="s">
        <v>58</v>
      </c>
      <c r="E1280" t="s">
        <v>37</v>
      </c>
      <c r="F1280" s="9">
        <v>45708.75</v>
      </c>
      <c r="G1280">
        <v>18.21</v>
      </c>
      <c r="H1280" s="9">
        <v>45710.75</v>
      </c>
      <c r="I1280">
        <v>17.95</v>
      </c>
      <c r="J1280">
        <v>366.99</v>
      </c>
      <c r="K1280" s="12">
        <v>6683.01</v>
      </c>
      <c r="L1280">
        <v>9.9499999999999993</v>
      </c>
      <c r="M1280">
        <v>-105.37</v>
      </c>
      <c r="N1280" s="13">
        <v>-1.5800000000000002E-2</v>
      </c>
      <c r="O1280" t="s">
        <v>38</v>
      </c>
      <c r="Q1280">
        <f t="shared" si="318"/>
        <v>-95.417400000000569</v>
      </c>
      <c r="R1280">
        <f t="shared" si="319"/>
        <v>-105.36740000000057</v>
      </c>
      <c r="S1280">
        <f t="shared" si="320"/>
        <v>6587.4705000000004</v>
      </c>
      <c r="U1280">
        <f t="shared" si="307"/>
        <v>90.609555</v>
      </c>
      <c r="V1280">
        <f t="shared" si="321"/>
        <v>1649.9999965500001</v>
      </c>
      <c r="W1280">
        <f t="shared" si="308"/>
        <v>-23.558484300000142</v>
      </c>
      <c r="X1280">
        <f t="shared" si="309"/>
        <v>3.2764415087999996</v>
      </c>
      <c r="Y1280">
        <f t="shared" si="310"/>
        <v>-26.834925808800143</v>
      </c>
      <c r="Z1280">
        <f t="shared" si="311"/>
        <v>21519.513854080422</v>
      </c>
      <c r="AB1280">
        <f t="shared" si="312"/>
        <v>122.383887</v>
      </c>
      <c r="AC1280">
        <f t="shared" si="313"/>
        <v>2228.6105822700001</v>
      </c>
      <c r="AD1280">
        <f t="shared" si="314"/>
        <v>-31.81981062000019</v>
      </c>
      <c r="AE1280">
        <f t="shared" si="315"/>
        <v>4.4254013539199999</v>
      </c>
      <c r="AF1280">
        <f t="shared" si="316"/>
        <v>-36.245211973920192</v>
      </c>
      <c r="AG1280">
        <f t="shared" si="322"/>
        <v>22249.860662399871</v>
      </c>
      <c r="AH1280" t="b">
        <f t="shared" si="317"/>
        <v>1</v>
      </c>
    </row>
    <row r="1281" spans="4:34" hidden="1" x14ac:dyDescent="0.4">
      <c r="D1281" t="s">
        <v>55</v>
      </c>
      <c r="E1281" t="s">
        <v>37</v>
      </c>
      <c r="F1281" s="9">
        <v>45708.708333333336</v>
      </c>
      <c r="G1281">
        <v>7.4930000000000003E-5</v>
      </c>
      <c r="H1281" s="9">
        <v>45710.708333333336</v>
      </c>
      <c r="I1281">
        <v>7.4499999999999995E-5</v>
      </c>
      <c r="J1281" s="12">
        <v>79537458.060000002</v>
      </c>
      <c r="K1281" s="12">
        <v>5959.74</v>
      </c>
      <c r="L1281">
        <v>8.91</v>
      </c>
      <c r="M1281">
        <v>-43.12</v>
      </c>
      <c r="N1281" s="13">
        <v>-7.1999999999999998E-3</v>
      </c>
      <c r="O1281" t="s">
        <v>38</v>
      </c>
      <c r="Q1281">
        <f t="shared" si="318"/>
        <v>-34.201106965800619</v>
      </c>
      <c r="R1281">
        <f t="shared" si="319"/>
        <v>-43.111106965800616</v>
      </c>
      <c r="S1281">
        <f t="shared" si="320"/>
        <v>5925.5406254700001</v>
      </c>
      <c r="U1281">
        <f t="shared" si="307"/>
        <v>22020552.515680999</v>
      </c>
      <c r="V1281">
        <f t="shared" si="321"/>
        <v>1649.9999999999773</v>
      </c>
      <c r="W1281">
        <f t="shared" si="308"/>
        <v>-9.4688375817429993</v>
      </c>
      <c r="X1281">
        <f t="shared" si="309"/>
        <v>3.2905311624182114</v>
      </c>
      <c r="Y1281">
        <f t="shared" si="310"/>
        <v>-12.759368744161211</v>
      </c>
      <c r="Z1281">
        <f t="shared" si="311"/>
        <v>21546.348779889224</v>
      </c>
      <c r="AB1281">
        <f t="shared" si="312"/>
        <v>29765585.14263</v>
      </c>
      <c r="AC1281">
        <f t="shared" si="313"/>
        <v>2230.3352947372659</v>
      </c>
      <c r="AD1281">
        <f t="shared" si="314"/>
        <v>-12.79920161133113</v>
      </c>
      <c r="AE1281">
        <f t="shared" si="315"/>
        <v>4.4478713878632004</v>
      </c>
      <c r="AF1281">
        <f t="shared" si="316"/>
        <v>-17.24707299919433</v>
      </c>
      <c r="AG1281">
        <f t="shared" si="322"/>
        <v>22286.105874373792</v>
      </c>
      <c r="AH1281" t="b">
        <f t="shared" si="317"/>
        <v>1</v>
      </c>
    </row>
    <row r="1282" spans="4:34" hidden="1" x14ac:dyDescent="0.4">
      <c r="D1282" t="s">
        <v>53</v>
      </c>
      <c r="E1282" t="s">
        <v>37</v>
      </c>
      <c r="F1282" s="9">
        <v>45708.583333333336</v>
      </c>
      <c r="G1282">
        <v>650.67999999999995</v>
      </c>
      <c r="H1282" s="9">
        <v>45710.583333333336</v>
      </c>
      <c r="I1282">
        <v>654.41</v>
      </c>
      <c r="J1282">
        <v>13.895</v>
      </c>
      <c r="K1282" s="12">
        <v>9041.31</v>
      </c>
      <c r="L1282">
        <v>13.6</v>
      </c>
      <c r="M1282">
        <v>38.229999999999997</v>
      </c>
      <c r="N1282" s="13">
        <v>4.1999999999999997E-3</v>
      </c>
      <c r="O1282" t="s">
        <v>38</v>
      </c>
      <c r="Q1282">
        <f t="shared" si="318"/>
        <v>51.828350000000249</v>
      </c>
      <c r="R1282">
        <f t="shared" si="319"/>
        <v>38.228350000000248</v>
      </c>
      <c r="S1282">
        <f t="shared" si="320"/>
        <v>9093.0269499999995</v>
      </c>
      <c r="U1282">
        <f t="shared" si="307"/>
        <v>2.535809</v>
      </c>
      <c r="V1282">
        <f t="shared" si="321"/>
        <v>1650.0002001199998</v>
      </c>
      <c r="W1282">
        <f t="shared" si="308"/>
        <v>9.4585675700000458</v>
      </c>
      <c r="X1282">
        <f t="shared" si="309"/>
        <v>3.3094589678099995</v>
      </c>
      <c r="Y1282">
        <f t="shared" si="310"/>
        <v>6.1491086021900463</v>
      </c>
      <c r="Z1282">
        <f t="shared" si="311"/>
        <v>21559.108148633386</v>
      </c>
      <c r="AB1282">
        <f t="shared" si="312"/>
        <v>3.4264220000000001</v>
      </c>
      <c r="AC1282">
        <f t="shared" si="313"/>
        <v>2229.5042669599998</v>
      </c>
      <c r="AD1282">
        <f t="shared" si="314"/>
        <v>12.780554060000062</v>
      </c>
      <c r="AE1282">
        <f t="shared" si="315"/>
        <v>4.4717890879799995</v>
      </c>
      <c r="AF1282">
        <f t="shared" si="316"/>
        <v>8.3087649720200627</v>
      </c>
      <c r="AG1282">
        <f t="shared" si="322"/>
        <v>22303.352947372987</v>
      </c>
      <c r="AH1282" t="b">
        <f t="shared" si="317"/>
        <v>1</v>
      </c>
    </row>
    <row r="1283" spans="4:34" hidden="1" x14ac:dyDescent="0.4">
      <c r="D1283" t="s">
        <v>61</v>
      </c>
      <c r="E1283" t="s">
        <v>37</v>
      </c>
      <c r="F1283" s="9">
        <v>45708.291666666664</v>
      </c>
      <c r="G1283">
        <v>0.78239999999999998</v>
      </c>
      <c r="H1283" s="9">
        <v>45710.291666666664</v>
      </c>
      <c r="I1283">
        <v>0.7661</v>
      </c>
      <c r="J1283" s="12">
        <v>9616.7000000000007</v>
      </c>
      <c r="K1283" s="12">
        <v>7524.16</v>
      </c>
      <c r="L1283">
        <v>11.17</v>
      </c>
      <c r="M1283">
        <v>-167.92</v>
      </c>
      <c r="N1283" s="13">
        <v>-2.23E-2</v>
      </c>
      <c r="O1283" t="s">
        <v>38</v>
      </c>
      <c r="Q1283">
        <f t="shared" si="318"/>
        <v>-156.75220999999982</v>
      </c>
      <c r="R1283">
        <f t="shared" si="319"/>
        <v>-167.92220999999981</v>
      </c>
      <c r="S1283">
        <f t="shared" si="320"/>
        <v>7367.3538700000008</v>
      </c>
      <c r="U1283">
        <f t="shared" si="307"/>
        <v>2108.8957059999998</v>
      </c>
      <c r="V1283">
        <f t="shared" si="321"/>
        <v>1650.0000003743999</v>
      </c>
      <c r="W1283">
        <f t="shared" si="308"/>
        <v>-34.375000007799954</v>
      </c>
      <c r="X1283">
        <f t="shared" si="309"/>
        <v>3.2656250007409997</v>
      </c>
      <c r="Y1283">
        <f t="shared" si="310"/>
        <v>-37.640625008540951</v>
      </c>
      <c r="Z1283">
        <f t="shared" si="311"/>
        <v>21552.959040031197</v>
      </c>
      <c r="AB1283">
        <f t="shared" si="312"/>
        <v>2856.086534</v>
      </c>
      <c r="AC1283">
        <f t="shared" si="313"/>
        <v>2234.6021042016</v>
      </c>
      <c r="AD1283">
        <f t="shared" si="314"/>
        <v>-46.554210504199943</v>
      </c>
      <c r="AE1283">
        <f t="shared" si="315"/>
        <v>4.4226499978989997</v>
      </c>
      <c r="AF1283">
        <f t="shared" si="316"/>
        <v>-50.976860502098944</v>
      </c>
      <c r="AG1283">
        <f t="shared" si="322"/>
        <v>22295.044182400969</v>
      </c>
      <c r="AH1283" t="b">
        <f t="shared" si="317"/>
        <v>1</v>
      </c>
    </row>
    <row r="1284" spans="4:34" hidden="1" x14ac:dyDescent="0.4">
      <c r="D1284" t="s">
        <v>60</v>
      </c>
      <c r="E1284" t="s">
        <v>37</v>
      </c>
      <c r="F1284" s="9">
        <v>45707.666666666664</v>
      </c>
      <c r="G1284">
        <v>2.6073</v>
      </c>
      <c r="H1284" s="9">
        <v>45710.166666666664</v>
      </c>
      <c r="I1284">
        <v>2.5720999999999998</v>
      </c>
      <c r="J1284">
        <v>796.6</v>
      </c>
      <c r="K1284" s="12">
        <v>2076.9899999999998</v>
      </c>
      <c r="L1284">
        <v>3.09</v>
      </c>
      <c r="M1284">
        <v>-31.13</v>
      </c>
      <c r="N1284" s="13">
        <v>-1.4999999999999999E-2</v>
      </c>
      <c r="O1284" t="s">
        <v>57</v>
      </c>
      <c r="Q1284">
        <f t="shared" si="318"/>
        <v>-28.040320000000097</v>
      </c>
      <c r="R1284">
        <f t="shared" si="319"/>
        <v>-31.130320000000097</v>
      </c>
      <c r="S1284">
        <f t="shared" si="320"/>
        <v>2048.9348599999998</v>
      </c>
      <c r="U1284">
        <f t="shared" si="307"/>
        <v>632.83856900000001</v>
      </c>
      <c r="V1284">
        <f t="shared" si="321"/>
        <v>1650.0000009537</v>
      </c>
      <c r="W1284">
        <f t="shared" si="308"/>
        <v>-22.275917628800077</v>
      </c>
      <c r="X1284">
        <f t="shared" si="309"/>
        <v>3.2777240842785997</v>
      </c>
      <c r="Y1284">
        <f t="shared" si="310"/>
        <v>-25.553641713078676</v>
      </c>
      <c r="Z1284">
        <f t="shared" si="311"/>
        <v>21590.599665039739</v>
      </c>
      <c r="AB1284">
        <f t="shared" si="312"/>
        <v>858.38538400000004</v>
      </c>
      <c r="AC1284">
        <f t="shared" si="313"/>
        <v>2238.0682117032002</v>
      </c>
      <c r="AD1284">
        <f t="shared" si="314"/>
        <v>-30.215165516800106</v>
      </c>
      <c r="AE1284">
        <f t="shared" si="315"/>
        <v>4.4459212578895997</v>
      </c>
      <c r="AF1284">
        <f t="shared" si="316"/>
        <v>-34.661086774689707</v>
      </c>
      <c r="AG1284">
        <f t="shared" si="322"/>
        <v>22346.021042903067</v>
      </c>
      <c r="AH1284" t="b">
        <f t="shared" si="317"/>
        <v>1</v>
      </c>
    </row>
    <row r="1285" spans="4:34" hidden="1" x14ac:dyDescent="0.4">
      <c r="D1285" t="s">
        <v>52</v>
      </c>
      <c r="E1285" t="s">
        <v>37</v>
      </c>
      <c r="F1285" s="9">
        <v>45708.125</v>
      </c>
      <c r="G1285">
        <v>6.9119999999999999</v>
      </c>
      <c r="H1285" s="9">
        <v>45710.125</v>
      </c>
      <c r="I1285">
        <v>7.0670000000000002</v>
      </c>
      <c r="J1285">
        <v>332.26</v>
      </c>
      <c r="K1285" s="12">
        <v>2296.59</v>
      </c>
      <c r="L1285">
        <v>3.48</v>
      </c>
      <c r="M1285">
        <v>48.02</v>
      </c>
      <c r="N1285" s="13">
        <v>2.0899999999999998E-2</v>
      </c>
      <c r="O1285" t="s">
        <v>38</v>
      </c>
      <c r="Q1285">
        <f t="shared" si="318"/>
        <v>51.500300000000081</v>
      </c>
      <c r="R1285">
        <f t="shared" si="319"/>
        <v>48.020300000000084</v>
      </c>
      <c r="S1285">
        <f t="shared" si="320"/>
        <v>2348.08142</v>
      </c>
      <c r="U1285">
        <f t="shared" si="307"/>
        <v>238.71527800000001</v>
      </c>
      <c r="V1285">
        <f t="shared" si="321"/>
        <v>1650.0000015360001</v>
      </c>
      <c r="W1285">
        <f t="shared" si="308"/>
        <v>37.000868090000061</v>
      </c>
      <c r="X1285">
        <f t="shared" si="309"/>
        <v>3.3370008711620001</v>
      </c>
      <c r="Y1285">
        <f t="shared" si="310"/>
        <v>33.663867218838064</v>
      </c>
      <c r="Z1285">
        <f t="shared" si="311"/>
        <v>21616.153306752818</v>
      </c>
      <c r="AB1285">
        <f t="shared" si="312"/>
        <v>323.13531899999998</v>
      </c>
      <c r="AC1285">
        <f t="shared" si="313"/>
        <v>2233.5113249279998</v>
      </c>
      <c r="AD1285">
        <f t="shared" si="314"/>
        <v>50.085974445000076</v>
      </c>
      <c r="AE1285">
        <f t="shared" si="315"/>
        <v>4.5171086243009997</v>
      </c>
      <c r="AF1285">
        <f t="shared" si="316"/>
        <v>45.568865820699074</v>
      </c>
      <c r="AG1285">
        <f t="shared" si="322"/>
        <v>22380.682129677756</v>
      </c>
      <c r="AH1285" t="b">
        <f t="shared" si="317"/>
        <v>1</v>
      </c>
    </row>
    <row r="1286" spans="4:34" hidden="1" x14ac:dyDescent="0.4">
      <c r="D1286" t="s">
        <v>54</v>
      </c>
      <c r="E1286" t="s">
        <v>37</v>
      </c>
      <c r="F1286" s="9">
        <v>45708.125</v>
      </c>
      <c r="G1286">
        <v>171.86</v>
      </c>
      <c r="H1286" s="9">
        <v>45710.125</v>
      </c>
      <c r="I1286">
        <v>171.02</v>
      </c>
      <c r="J1286">
        <v>25.952999999999999</v>
      </c>
      <c r="K1286" s="12">
        <v>4460.32</v>
      </c>
      <c r="L1286">
        <v>6.67</v>
      </c>
      <c r="M1286">
        <v>-28.47</v>
      </c>
      <c r="N1286" s="13">
        <v>-6.4000000000000003E-3</v>
      </c>
      <c r="O1286" t="s">
        <v>38</v>
      </c>
      <c r="Q1286">
        <f t="shared" si="318"/>
        <v>-21.800520000000088</v>
      </c>
      <c r="R1286">
        <f t="shared" si="319"/>
        <v>-28.470520000000086</v>
      </c>
      <c r="S1286">
        <f t="shared" si="320"/>
        <v>4438.4820600000003</v>
      </c>
      <c r="U1286">
        <f t="shared" si="307"/>
        <v>9.6008379999999995</v>
      </c>
      <c r="V1286">
        <f t="shared" si="321"/>
        <v>1650.00001868</v>
      </c>
      <c r="W1286">
        <f t="shared" si="308"/>
        <v>-8.0647039200000332</v>
      </c>
      <c r="X1286">
        <f t="shared" si="309"/>
        <v>3.2919353334400001</v>
      </c>
      <c r="Y1286">
        <f t="shared" si="310"/>
        <v>-11.356639253440033</v>
      </c>
      <c r="Z1286">
        <f t="shared" si="311"/>
        <v>21582.48943953398</v>
      </c>
      <c r="AB1286">
        <f t="shared" si="312"/>
        <v>13.00506</v>
      </c>
      <c r="AC1286">
        <f t="shared" si="313"/>
        <v>2235.0496116000004</v>
      </c>
      <c r="AD1286">
        <f t="shared" si="314"/>
        <v>-10.924250400000044</v>
      </c>
      <c r="AE1286">
        <f t="shared" si="315"/>
        <v>4.4591749728000005</v>
      </c>
      <c r="AF1286">
        <f t="shared" si="316"/>
        <v>-15.383425372800044</v>
      </c>
      <c r="AG1286">
        <f t="shared" si="322"/>
        <v>22335.113263857056</v>
      </c>
      <c r="AH1286" t="b">
        <f t="shared" si="317"/>
        <v>1</v>
      </c>
    </row>
    <row r="1287" spans="4:34" hidden="1" x14ac:dyDescent="0.4">
      <c r="D1287" t="s">
        <v>59</v>
      </c>
      <c r="E1287" t="s">
        <v>37</v>
      </c>
      <c r="F1287" s="9">
        <v>45707.291666666664</v>
      </c>
      <c r="G1287" s="12">
        <v>95599.42</v>
      </c>
      <c r="H1287" s="9">
        <v>45709.791666666664</v>
      </c>
      <c r="I1287" s="12">
        <v>96543.12</v>
      </c>
      <c r="J1287">
        <v>0.1043</v>
      </c>
      <c r="K1287" s="12">
        <v>9971.85</v>
      </c>
      <c r="L1287">
        <v>15.03</v>
      </c>
      <c r="M1287">
        <v>83.4</v>
      </c>
      <c r="N1287" s="13">
        <v>8.3999999999999995E-3</v>
      </c>
      <c r="O1287" t="s">
        <v>57</v>
      </c>
      <c r="Q1287">
        <f t="shared" si="318"/>
        <v>98.427909999999699</v>
      </c>
      <c r="R1287">
        <f t="shared" si="319"/>
        <v>83.397909999999698</v>
      </c>
      <c r="S1287">
        <f t="shared" si="320"/>
        <v>10069.447415999999</v>
      </c>
      <c r="U1287">
        <f t="shared" si="307"/>
        <v>1.7260000000000001E-2</v>
      </c>
      <c r="V1287">
        <f t="shared" si="321"/>
        <v>1650.0459892000001</v>
      </c>
      <c r="W1287">
        <f t="shared" si="308"/>
        <v>16.28826199999995</v>
      </c>
      <c r="X1287">
        <f t="shared" si="309"/>
        <v>3.3163802404</v>
      </c>
      <c r="Y1287">
        <f t="shared" si="310"/>
        <v>12.971881759599949</v>
      </c>
      <c r="Z1287">
        <f t="shared" si="311"/>
        <v>21593.846078787421</v>
      </c>
      <c r="AB1287">
        <f t="shared" si="312"/>
        <v>2.3361E-2</v>
      </c>
      <c r="AC1287">
        <f t="shared" si="313"/>
        <v>2233.2980506200001</v>
      </c>
      <c r="AD1287">
        <f t="shared" si="314"/>
        <v>22.045775699999933</v>
      </c>
      <c r="AE1287">
        <f t="shared" si="315"/>
        <v>4.4886418769400001</v>
      </c>
      <c r="AF1287">
        <f t="shared" si="316"/>
        <v>17.557133823059932</v>
      </c>
      <c r="AG1287">
        <f t="shared" si="322"/>
        <v>22350.496689229854</v>
      </c>
      <c r="AH1287" t="b">
        <f t="shared" si="317"/>
        <v>1</v>
      </c>
    </row>
    <row r="1288" spans="4:34" hidden="1" x14ac:dyDescent="0.4">
      <c r="D1288" t="s">
        <v>56</v>
      </c>
      <c r="E1288" t="s">
        <v>37</v>
      </c>
      <c r="F1288" s="9">
        <v>45707.25</v>
      </c>
      <c r="G1288" s="12">
        <v>2686.59</v>
      </c>
      <c r="H1288" s="9">
        <v>45709.75</v>
      </c>
      <c r="I1288" s="12">
        <v>2673.5</v>
      </c>
      <c r="J1288">
        <v>1.9416</v>
      </c>
      <c r="K1288" s="12">
        <v>5216.3</v>
      </c>
      <c r="L1288">
        <v>7.81</v>
      </c>
      <c r="M1288">
        <v>-33.22</v>
      </c>
      <c r="N1288" s="13">
        <v>-6.4000000000000003E-3</v>
      </c>
      <c r="O1288" t="s">
        <v>57</v>
      </c>
      <c r="Q1288">
        <f t="shared" si="318"/>
        <v>-25.415544000000281</v>
      </c>
      <c r="R1288">
        <f t="shared" si="319"/>
        <v>-33.225544000000284</v>
      </c>
      <c r="S1288">
        <f t="shared" si="320"/>
        <v>5190.8675999999996</v>
      </c>
      <c r="U1288">
        <f t="shared" si="307"/>
        <v>0.61416099999999996</v>
      </c>
      <c r="V1288">
        <f t="shared" si="321"/>
        <v>1649.9988009900001</v>
      </c>
      <c r="W1288">
        <f t="shared" si="308"/>
        <v>-8.0393674900000889</v>
      </c>
      <c r="X1288">
        <f t="shared" si="309"/>
        <v>3.29195823449</v>
      </c>
      <c r="Y1288">
        <f t="shared" si="310"/>
        <v>-11.331325724490089</v>
      </c>
      <c r="Z1288">
        <f t="shared" si="311"/>
        <v>21580.874197027821</v>
      </c>
      <c r="AB1288">
        <f t="shared" si="312"/>
        <v>0.83184599999999997</v>
      </c>
      <c r="AC1288">
        <f t="shared" si="313"/>
        <v>2234.82914514</v>
      </c>
      <c r="AD1288">
        <f t="shared" si="314"/>
        <v>-10.888864140000122</v>
      </c>
      <c r="AE1288">
        <f t="shared" si="315"/>
        <v>4.4587694261399999</v>
      </c>
      <c r="AF1288">
        <f t="shared" si="316"/>
        <v>-15.347633566140122</v>
      </c>
      <c r="AG1288">
        <f t="shared" si="322"/>
        <v>22332.939555406796</v>
      </c>
      <c r="AH1288" t="b">
        <f t="shared" si="317"/>
        <v>1</v>
      </c>
    </row>
    <row r="1289" spans="4:34" hidden="1" x14ac:dyDescent="0.4">
      <c r="D1289" t="s">
        <v>43</v>
      </c>
      <c r="E1289" t="s">
        <v>37</v>
      </c>
      <c r="F1289" s="9">
        <v>45707.25</v>
      </c>
      <c r="G1289">
        <v>3.0478999999999998</v>
      </c>
      <c r="H1289" s="9">
        <v>45709.25</v>
      </c>
      <c r="I1289">
        <v>3.5282</v>
      </c>
      <c r="J1289">
        <v>561.6</v>
      </c>
      <c r="K1289" s="12">
        <v>1711.82</v>
      </c>
      <c r="L1289">
        <v>2.77</v>
      </c>
      <c r="M1289">
        <v>266.97000000000003</v>
      </c>
      <c r="N1289" s="13">
        <v>0.156</v>
      </c>
      <c r="O1289" t="s">
        <v>38</v>
      </c>
      <c r="Q1289">
        <f t="shared" si="318"/>
        <v>269.73648000000009</v>
      </c>
      <c r="R1289">
        <f t="shared" si="319"/>
        <v>266.9664800000001</v>
      </c>
      <c r="S1289">
        <f t="shared" si="320"/>
        <v>1981.43712</v>
      </c>
      <c r="U1289">
        <f t="shared" si="307"/>
        <v>541.35634400000004</v>
      </c>
      <c r="V1289">
        <f t="shared" si="321"/>
        <v>1650.0000008776001</v>
      </c>
      <c r="W1289">
        <f t="shared" si="308"/>
        <v>260.0134520232001</v>
      </c>
      <c r="X1289">
        <f t="shared" si="309"/>
        <v>3.5600134537784007</v>
      </c>
      <c r="Y1289">
        <f t="shared" si="310"/>
        <v>256.45343856942168</v>
      </c>
      <c r="Z1289">
        <f t="shared" si="311"/>
        <v>21592.205522752312</v>
      </c>
      <c r="AB1289">
        <f t="shared" si="312"/>
        <v>722.01358600000003</v>
      </c>
      <c r="AC1289">
        <f t="shared" si="313"/>
        <v>2200.6252087694002</v>
      </c>
      <c r="AD1289">
        <f t="shared" si="314"/>
        <v>346.78312535580017</v>
      </c>
      <c r="AE1289">
        <f t="shared" si="315"/>
        <v>4.7480335428946008</v>
      </c>
      <c r="AF1289">
        <f t="shared" si="316"/>
        <v>342.03509181290559</v>
      </c>
      <c r="AG1289">
        <f t="shared" si="322"/>
        <v>22348.287188972936</v>
      </c>
      <c r="AH1289" t="b">
        <f t="shared" si="317"/>
        <v>1</v>
      </c>
    </row>
    <row r="1290" spans="4:34" hidden="1" x14ac:dyDescent="0.4">
      <c r="D1290" t="s">
        <v>48</v>
      </c>
      <c r="E1290" t="s">
        <v>37</v>
      </c>
      <c r="F1290" s="9">
        <v>45707.166666666664</v>
      </c>
      <c r="G1290">
        <v>0.39019999999999999</v>
      </c>
      <c r="H1290" s="9">
        <v>45709.166666666664</v>
      </c>
      <c r="I1290">
        <v>0.45319999999999999</v>
      </c>
      <c r="J1290" s="12">
        <v>7350.1</v>
      </c>
      <c r="K1290" s="12">
        <v>2868.04</v>
      </c>
      <c r="L1290">
        <v>4.6500000000000004</v>
      </c>
      <c r="M1290">
        <v>458.41</v>
      </c>
      <c r="N1290" s="13">
        <v>0.1598</v>
      </c>
      <c r="O1290" t="s">
        <v>38</v>
      </c>
      <c r="Q1290">
        <f t="shared" si="318"/>
        <v>463.05630000000002</v>
      </c>
      <c r="R1290">
        <f t="shared" si="319"/>
        <v>458.40630000000004</v>
      </c>
      <c r="S1290">
        <f t="shared" si="320"/>
        <v>3331.0653200000002</v>
      </c>
      <c r="U1290">
        <f t="shared" si="307"/>
        <v>4228.6007179999997</v>
      </c>
      <c r="V1290">
        <f t="shared" si="321"/>
        <v>1650.0000001635999</v>
      </c>
      <c r="W1290">
        <f t="shared" si="308"/>
        <v>266.40184523400001</v>
      </c>
      <c r="X1290">
        <f t="shared" si="309"/>
        <v>3.5664018455611992</v>
      </c>
      <c r="Y1290">
        <f t="shared" si="310"/>
        <v>262.83544338843882</v>
      </c>
      <c r="Z1290">
        <f t="shared" si="311"/>
        <v>21335.752084182892</v>
      </c>
      <c r="AB1290">
        <f t="shared" si="312"/>
        <v>5551.3074580000002</v>
      </c>
      <c r="AC1290">
        <f t="shared" si="313"/>
        <v>2166.1201701116001</v>
      </c>
      <c r="AD1290">
        <f t="shared" si="314"/>
        <v>349.73236985400001</v>
      </c>
      <c r="AE1290">
        <f t="shared" si="315"/>
        <v>4.6819727100771997</v>
      </c>
      <c r="AF1290">
        <f t="shared" si="316"/>
        <v>345.05039714392279</v>
      </c>
      <c r="AG1290">
        <f t="shared" si="322"/>
        <v>22006.252097160032</v>
      </c>
      <c r="AH1290" t="b">
        <f t="shared" si="317"/>
        <v>1</v>
      </c>
    </row>
    <row r="1291" spans="4:34" hidden="1" x14ac:dyDescent="0.4">
      <c r="D1291" t="s">
        <v>50</v>
      </c>
      <c r="E1291" t="s">
        <v>37</v>
      </c>
      <c r="F1291" s="9">
        <v>45706.791666666664</v>
      </c>
      <c r="G1291">
        <v>366.5</v>
      </c>
      <c r="H1291" s="9">
        <v>45708.791666666664</v>
      </c>
      <c r="I1291">
        <v>457.9</v>
      </c>
      <c r="J1291">
        <v>31.059200000000001</v>
      </c>
      <c r="K1291" s="12">
        <v>11383.23</v>
      </c>
      <c r="L1291">
        <v>19.2</v>
      </c>
      <c r="M1291" s="12">
        <v>2819.61</v>
      </c>
      <c r="N1291" s="13">
        <v>0.2477</v>
      </c>
      <c r="O1291" t="s">
        <v>38</v>
      </c>
      <c r="Q1291">
        <f t="shared" si="318"/>
        <v>2838.8108799999995</v>
      </c>
      <c r="R1291">
        <f t="shared" si="319"/>
        <v>2819.6108799999997</v>
      </c>
      <c r="S1291">
        <f t="shared" si="320"/>
        <v>14222.007679999999</v>
      </c>
      <c r="U1291">
        <f t="shared" si="307"/>
        <v>4.502046</v>
      </c>
      <c r="V1291">
        <f t="shared" si="321"/>
        <v>1649.999859</v>
      </c>
      <c r="W1291">
        <f t="shared" si="308"/>
        <v>411.48700439999988</v>
      </c>
      <c r="X1291">
        <f t="shared" si="309"/>
        <v>3.7114867224000001</v>
      </c>
      <c r="Y1291">
        <f t="shared" si="310"/>
        <v>407.77551767759985</v>
      </c>
      <c r="Z1291">
        <f t="shared" si="311"/>
        <v>21072.916640794454</v>
      </c>
      <c r="AB1291">
        <f t="shared" si="312"/>
        <v>5.7677449999999997</v>
      </c>
      <c r="AC1291">
        <f t="shared" si="313"/>
        <v>2113.8785425000001</v>
      </c>
      <c r="AD1291">
        <f t="shared" si="314"/>
        <v>527.17189299999984</v>
      </c>
      <c r="AE1291">
        <f t="shared" si="315"/>
        <v>4.7549289779999997</v>
      </c>
      <c r="AF1291">
        <f t="shared" si="316"/>
        <v>522.41696402199989</v>
      </c>
      <c r="AG1291">
        <f t="shared" si="322"/>
        <v>21661.20170001611</v>
      </c>
      <c r="AH1291" t="b">
        <f t="shared" si="317"/>
        <v>1</v>
      </c>
    </row>
    <row r="1292" spans="4:34" hidden="1" x14ac:dyDescent="0.4">
      <c r="D1292" t="s">
        <v>58</v>
      </c>
      <c r="E1292" t="s">
        <v>37</v>
      </c>
      <c r="F1292" s="9">
        <v>45705.083333333336</v>
      </c>
      <c r="G1292">
        <v>18.899999999999999</v>
      </c>
      <c r="H1292" s="9">
        <v>45707.083333333336</v>
      </c>
      <c r="I1292">
        <v>17.66</v>
      </c>
      <c r="J1292">
        <v>355.98</v>
      </c>
      <c r="K1292" s="12">
        <v>6728.12</v>
      </c>
      <c r="L1292">
        <v>9.76</v>
      </c>
      <c r="M1292">
        <v>-451.18</v>
      </c>
      <c r="N1292" s="13">
        <v>-6.7100000000000007E-2</v>
      </c>
      <c r="O1292" t="s">
        <v>38</v>
      </c>
      <c r="Q1292">
        <f t="shared" si="318"/>
        <v>-441.41519999999946</v>
      </c>
      <c r="R1292">
        <f t="shared" si="319"/>
        <v>-451.17519999999945</v>
      </c>
      <c r="S1292">
        <f t="shared" si="320"/>
        <v>6286.6068000000005</v>
      </c>
      <c r="U1292">
        <f t="shared" si="307"/>
        <v>87.301586999999998</v>
      </c>
      <c r="V1292">
        <f t="shared" si="321"/>
        <v>1649.9999942999998</v>
      </c>
      <c r="W1292">
        <f t="shared" si="308"/>
        <v>-108.25396787999986</v>
      </c>
      <c r="X1292">
        <f t="shared" si="309"/>
        <v>3.1917460207200001</v>
      </c>
      <c r="Y1292">
        <f t="shared" si="310"/>
        <v>-111.44571390071987</v>
      </c>
      <c r="Z1292">
        <f t="shared" si="311"/>
        <v>20665.141123116853</v>
      </c>
      <c r="AB1292">
        <f t="shared" si="312"/>
        <v>112.60599499999999</v>
      </c>
      <c r="AC1292">
        <f t="shared" si="313"/>
        <v>2128.2533054999999</v>
      </c>
      <c r="AD1292">
        <f t="shared" si="314"/>
        <v>-139.63143379999983</v>
      </c>
      <c r="AE1292">
        <f t="shared" si="315"/>
        <v>4.1168751771999998</v>
      </c>
      <c r="AF1292">
        <f t="shared" si="316"/>
        <v>-143.74830897719983</v>
      </c>
      <c r="AG1292">
        <f t="shared" si="322"/>
        <v>21138.784735994112</v>
      </c>
      <c r="AH1292" t="b">
        <f t="shared" si="317"/>
        <v>1</v>
      </c>
    </row>
    <row r="1293" spans="4:34" hidden="1" x14ac:dyDescent="0.4">
      <c r="D1293" t="s">
        <v>52</v>
      </c>
      <c r="E1293" t="s">
        <v>37</v>
      </c>
      <c r="F1293" s="9">
        <v>45705.041666666664</v>
      </c>
      <c r="G1293">
        <v>7.0209999999999999</v>
      </c>
      <c r="H1293" s="9">
        <v>45707.041666666664</v>
      </c>
      <c r="I1293">
        <v>6.7359999999999998</v>
      </c>
      <c r="J1293">
        <v>328.48</v>
      </c>
      <c r="K1293" s="12">
        <v>2306.29</v>
      </c>
      <c r="L1293">
        <v>3.39</v>
      </c>
      <c r="M1293">
        <v>-97.01</v>
      </c>
      <c r="N1293" s="13">
        <v>-4.2099999999999999E-2</v>
      </c>
      <c r="O1293" t="s">
        <v>38</v>
      </c>
      <c r="Q1293">
        <f t="shared" si="318"/>
        <v>-93.616800000000055</v>
      </c>
      <c r="R1293">
        <f t="shared" si="319"/>
        <v>-97.006800000000055</v>
      </c>
      <c r="S1293">
        <f t="shared" si="320"/>
        <v>2212.6412799999998</v>
      </c>
      <c r="U1293">
        <f t="shared" ref="U1293:U1356" si="323">ROUND(($Q$2)/G1293,6)</f>
        <v>235.00925799999999</v>
      </c>
      <c r="V1293">
        <f t="shared" si="321"/>
        <v>1650.0000004179999</v>
      </c>
      <c r="W1293">
        <f t="shared" ref="W1293:W1356" si="324">U1293*(I1293-G1293)</f>
        <v>-66.977638530000036</v>
      </c>
      <c r="X1293">
        <f t="shared" ref="X1293:X1356" si="325">(G1293+I1293)*$R$2*U1293</f>
        <v>3.2330223623059999</v>
      </c>
      <c r="Y1293">
        <f t="shared" ref="Y1293:Y1356" si="326">W1293-X1293</f>
        <v>-70.210660892306038</v>
      </c>
      <c r="Z1293">
        <f t="shared" ref="Z1293:Z1356" si="327">Z1294+Y1293</f>
        <v>20776.586837017574</v>
      </c>
      <c r="AB1293">
        <f t="shared" ref="AB1293:AB1356" si="328">ROUND(((AH1293*AG1294 +(1-AH1293)*AI1293)/$P$2)/G1293,6)</f>
        <v>304.42218100000002</v>
      </c>
      <c r="AC1293">
        <f t="shared" ref="AC1293:AC1356" si="329">AB1293*G1293</f>
        <v>2137.3481328010002</v>
      </c>
      <c r="AD1293">
        <f t="shared" ref="AD1293:AD1356" si="330">AB1293*(I1293-G1293)</f>
        <v>-86.760321585000057</v>
      </c>
      <c r="AE1293">
        <f t="shared" ref="AE1293:AE1356" si="331">(G1293+I1293)*$R$2*AB1293</f>
        <v>4.1879359440170001</v>
      </c>
      <c r="AF1293">
        <f t="shared" ref="AF1293:AF1356" si="332">AD1293-AE1293</f>
        <v>-90.948257529017056</v>
      </c>
      <c r="AG1293">
        <f t="shared" si="322"/>
        <v>21282.533044971311</v>
      </c>
      <c r="AH1293" t="b">
        <f t="shared" ref="AH1293:AH1356" si="333">ISBLANK(AI1293)</f>
        <v>1</v>
      </c>
    </row>
    <row r="1294" spans="4:34" hidden="1" x14ac:dyDescent="0.4">
      <c r="D1294" t="s">
        <v>61</v>
      </c>
      <c r="E1294" t="s">
        <v>37</v>
      </c>
      <c r="F1294" s="9">
        <v>45705.041666666664</v>
      </c>
      <c r="G1294">
        <v>0.78159999999999996</v>
      </c>
      <c r="H1294" s="9">
        <v>45707.041666666664</v>
      </c>
      <c r="I1294">
        <v>0.74980000000000002</v>
      </c>
      <c r="J1294" s="12">
        <v>9667.2999999999993</v>
      </c>
      <c r="K1294" s="12">
        <v>7556.01</v>
      </c>
      <c r="L1294">
        <v>11.1</v>
      </c>
      <c r="M1294">
        <v>-318.52</v>
      </c>
      <c r="N1294" s="13">
        <v>-4.2200000000000001E-2</v>
      </c>
      <c r="O1294" t="s">
        <v>38</v>
      </c>
      <c r="Q1294">
        <f t="shared" ref="Q1294:Q1357" si="334">(I1294-G1294)*J1294</f>
        <v>-307.42013999999938</v>
      </c>
      <c r="R1294">
        <f t="shared" ref="R1294:R1357" si="335">Q1294-L1294</f>
        <v>-318.5201399999994</v>
      </c>
      <c r="S1294">
        <f t="shared" ref="S1294:S1357" si="336">I1294*J1294</f>
        <v>7248.5415399999993</v>
      </c>
      <c r="U1294">
        <f t="shared" si="323"/>
        <v>2111.0542479999999</v>
      </c>
      <c r="V1294">
        <f t="shared" ref="V1294:V1357" si="337">U1294*G1294</f>
        <v>1650.0000002367999</v>
      </c>
      <c r="W1294">
        <f t="shared" si="324"/>
        <v>-67.131525086399876</v>
      </c>
      <c r="X1294">
        <f t="shared" si="325"/>
        <v>3.2328684753872001</v>
      </c>
      <c r="Y1294">
        <f t="shared" si="326"/>
        <v>-70.364393561787082</v>
      </c>
      <c r="Z1294">
        <f t="shared" si="327"/>
        <v>20846.79749790988</v>
      </c>
      <c r="AB1294">
        <f t="shared" si="328"/>
        <v>2746.292101</v>
      </c>
      <c r="AC1294">
        <f t="shared" si="329"/>
        <v>2146.5019061416001</v>
      </c>
      <c r="AD1294">
        <f t="shared" si="330"/>
        <v>-87.332088811799835</v>
      </c>
      <c r="AE1294">
        <f t="shared" si="331"/>
        <v>4.2056717234713998</v>
      </c>
      <c r="AF1294">
        <f t="shared" si="332"/>
        <v>-91.537760535271232</v>
      </c>
      <c r="AG1294">
        <f t="shared" si="322"/>
        <v>21373.481302500328</v>
      </c>
      <c r="AH1294" t="b">
        <f t="shared" si="333"/>
        <v>1</v>
      </c>
    </row>
    <row r="1295" spans="4:34" hidden="1" x14ac:dyDescent="0.4">
      <c r="D1295" t="s">
        <v>56</v>
      </c>
      <c r="E1295" t="s">
        <v>37</v>
      </c>
      <c r="F1295" s="9">
        <v>45705.25</v>
      </c>
      <c r="G1295" s="12">
        <v>2670.46</v>
      </c>
      <c r="H1295" s="9">
        <v>45706.708333333336</v>
      </c>
      <c r="I1295" s="12">
        <v>2631.36</v>
      </c>
      <c r="J1295">
        <v>1.9563999999999999</v>
      </c>
      <c r="K1295" s="12">
        <v>5224.7299999999996</v>
      </c>
      <c r="L1295">
        <v>7.78</v>
      </c>
      <c r="M1295">
        <v>-84.28</v>
      </c>
      <c r="N1295" s="13">
        <v>-1.61E-2</v>
      </c>
      <c r="O1295" t="s">
        <v>49</v>
      </c>
      <c r="Q1295">
        <f t="shared" si="334"/>
        <v>-76.495239999999825</v>
      </c>
      <c r="R1295">
        <f t="shared" si="335"/>
        <v>-84.275239999999826</v>
      </c>
      <c r="S1295">
        <f t="shared" si="336"/>
        <v>5147.9927040000002</v>
      </c>
      <c r="U1295">
        <f t="shared" si="323"/>
        <v>0.61787099999999995</v>
      </c>
      <c r="V1295">
        <f t="shared" si="337"/>
        <v>1649.9997906599999</v>
      </c>
      <c r="W1295">
        <f t="shared" si="324"/>
        <v>-24.158756099999941</v>
      </c>
      <c r="X1295">
        <f t="shared" si="325"/>
        <v>3.27584082522</v>
      </c>
      <c r="Y1295">
        <f t="shared" si="326"/>
        <v>-27.434596925219942</v>
      </c>
      <c r="Z1295">
        <f t="shared" si="327"/>
        <v>20917.161891471667</v>
      </c>
      <c r="AB1295">
        <f t="shared" si="328"/>
        <v>0.80513400000000002</v>
      </c>
      <c r="AC1295">
        <f t="shared" si="329"/>
        <v>2150.07814164</v>
      </c>
      <c r="AD1295">
        <f t="shared" si="330"/>
        <v>-31.480739399999926</v>
      </c>
      <c r="AE1295">
        <f t="shared" si="331"/>
        <v>4.2686755438800006</v>
      </c>
      <c r="AF1295">
        <f t="shared" si="332"/>
        <v>-35.749414943879927</v>
      </c>
      <c r="AG1295">
        <f t="shared" si="322"/>
        <v>21465.019063035597</v>
      </c>
      <c r="AH1295" t="b">
        <f t="shared" si="333"/>
        <v>1</v>
      </c>
    </row>
    <row r="1296" spans="4:34" hidden="1" x14ac:dyDescent="0.4">
      <c r="D1296" t="s">
        <v>53</v>
      </c>
      <c r="E1296" t="s">
        <v>37</v>
      </c>
      <c r="F1296" s="9">
        <v>45704.208333333336</v>
      </c>
      <c r="G1296">
        <v>661.58</v>
      </c>
      <c r="H1296" s="9">
        <v>45706.208333333336</v>
      </c>
      <c r="I1296">
        <v>661.02</v>
      </c>
      <c r="J1296">
        <v>13.669</v>
      </c>
      <c r="K1296" s="12">
        <v>9043.43</v>
      </c>
      <c r="L1296">
        <v>13.56</v>
      </c>
      <c r="M1296">
        <v>-21.21</v>
      </c>
      <c r="N1296" s="13">
        <v>-2.3E-3</v>
      </c>
      <c r="O1296" t="s">
        <v>38</v>
      </c>
      <c r="Q1296">
        <f t="shared" si="334"/>
        <v>-7.6546400000008079</v>
      </c>
      <c r="R1296">
        <f t="shared" si="335"/>
        <v>-21.214640000000809</v>
      </c>
      <c r="S1296">
        <f t="shared" si="336"/>
        <v>9035.4823799999995</v>
      </c>
      <c r="U1296">
        <f t="shared" si="323"/>
        <v>2.4940289999999998</v>
      </c>
      <c r="V1296">
        <f t="shared" si="337"/>
        <v>1649.9997058199999</v>
      </c>
      <c r="W1296">
        <f t="shared" si="324"/>
        <v>-1.3966562400001474</v>
      </c>
      <c r="X1296">
        <f t="shared" si="325"/>
        <v>3.2986027553999997</v>
      </c>
      <c r="Y1296">
        <f t="shared" si="326"/>
        <v>-4.6952589954001471</v>
      </c>
      <c r="Z1296">
        <f t="shared" si="327"/>
        <v>20944.596488396888</v>
      </c>
      <c r="AB1296">
        <f t="shared" si="328"/>
        <v>3.2508370000000002</v>
      </c>
      <c r="AC1296">
        <f t="shared" si="329"/>
        <v>2150.6887424600004</v>
      </c>
      <c r="AD1296">
        <f t="shared" si="330"/>
        <v>-1.8204687200001923</v>
      </c>
      <c r="AE1296">
        <f t="shared" si="331"/>
        <v>4.2995570162000005</v>
      </c>
      <c r="AF1296">
        <f t="shared" si="332"/>
        <v>-6.1200257362001924</v>
      </c>
      <c r="AG1296">
        <f t="shared" si="322"/>
        <v>21500.768477979476</v>
      </c>
      <c r="AH1296" t="b">
        <f t="shared" si="333"/>
        <v>1</v>
      </c>
    </row>
    <row r="1297" spans="4:34" hidden="1" x14ac:dyDescent="0.4">
      <c r="D1297" t="s">
        <v>60</v>
      </c>
      <c r="E1297" t="s">
        <v>37</v>
      </c>
      <c r="F1297" s="9">
        <v>45703.375</v>
      </c>
      <c r="G1297">
        <v>2.8</v>
      </c>
      <c r="H1297" s="9">
        <v>45705.875</v>
      </c>
      <c r="I1297">
        <v>2.6602999999999999</v>
      </c>
      <c r="J1297">
        <v>745.6</v>
      </c>
      <c r="K1297" s="12">
        <v>2087.71</v>
      </c>
      <c r="L1297">
        <v>3.05</v>
      </c>
      <c r="M1297">
        <v>-107.21</v>
      </c>
      <c r="N1297" s="13">
        <v>-5.1400000000000001E-2</v>
      </c>
      <c r="O1297" t="s">
        <v>57</v>
      </c>
      <c r="Q1297">
        <f t="shared" si="334"/>
        <v>-104.16031999999996</v>
      </c>
      <c r="R1297">
        <f t="shared" si="335"/>
        <v>-107.21031999999995</v>
      </c>
      <c r="S1297">
        <f t="shared" si="336"/>
        <v>1983.5196799999999</v>
      </c>
      <c r="U1297">
        <f t="shared" si="323"/>
        <v>589.28571399999998</v>
      </c>
      <c r="V1297">
        <f t="shared" si="337"/>
        <v>1649.9999991999998</v>
      </c>
      <c r="W1297">
        <f t="shared" si="324"/>
        <v>-82.32321424579996</v>
      </c>
      <c r="X1297">
        <f t="shared" si="325"/>
        <v>3.2176767841542002</v>
      </c>
      <c r="Y1297">
        <f t="shared" si="326"/>
        <v>-85.540891029954167</v>
      </c>
      <c r="Z1297">
        <f t="shared" si="327"/>
        <v>20949.29174739229</v>
      </c>
      <c r="AB1297">
        <f t="shared" si="328"/>
        <v>772.10598700000003</v>
      </c>
      <c r="AC1297">
        <f t="shared" si="329"/>
        <v>2161.8967635999998</v>
      </c>
      <c r="AD1297">
        <f t="shared" si="330"/>
        <v>-107.86320638389995</v>
      </c>
      <c r="AE1297">
        <f t="shared" si="331"/>
        <v>4.2159303208161001</v>
      </c>
      <c r="AF1297">
        <f t="shared" si="332"/>
        <v>-112.07913670471605</v>
      </c>
      <c r="AG1297">
        <f t="shared" si="322"/>
        <v>21506.888503715676</v>
      </c>
      <c r="AH1297" t="b">
        <f t="shared" si="333"/>
        <v>1</v>
      </c>
    </row>
    <row r="1298" spans="4:34" hidden="1" x14ac:dyDescent="0.4">
      <c r="D1298" t="s">
        <v>59</v>
      </c>
      <c r="E1298" t="s">
        <v>37</v>
      </c>
      <c r="F1298" s="9">
        <v>45703.375</v>
      </c>
      <c r="G1298" s="12">
        <v>97533.99</v>
      </c>
      <c r="H1298" s="9">
        <v>45705.875</v>
      </c>
      <c r="I1298" s="12">
        <v>95985.83</v>
      </c>
      <c r="J1298">
        <v>0.10241</v>
      </c>
      <c r="K1298" s="12">
        <v>9989.19</v>
      </c>
      <c r="L1298">
        <v>14.86</v>
      </c>
      <c r="M1298">
        <v>-173.41</v>
      </c>
      <c r="N1298" s="13">
        <v>-1.7399999999999999E-2</v>
      </c>
      <c r="O1298" t="s">
        <v>57</v>
      </c>
      <c r="Q1298">
        <f t="shared" si="334"/>
        <v>-158.54706560000037</v>
      </c>
      <c r="R1298">
        <f t="shared" si="335"/>
        <v>-173.40706560000035</v>
      </c>
      <c r="S1298">
        <f t="shared" si="336"/>
        <v>9829.9088503000003</v>
      </c>
      <c r="U1298">
        <f t="shared" si="323"/>
        <v>1.6917000000000001E-2</v>
      </c>
      <c r="V1298">
        <f t="shared" si="337"/>
        <v>1649.9825088300001</v>
      </c>
      <c r="W1298">
        <f t="shared" si="324"/>
        <v>-26.190222720000062</v>
      </c>
      <c r="X1298">
        <f t="shared" si="325"/>
        <v>3.2737747949400005</v>
      </c>
      <c r="Y1298">
        <f t="shared" si="326"/>
        <v>-29.463997514940061</v>
      </c>
      <c r="Z1298">
        <f t="shared" si="327"/>
        <v>21034.832638422246</v>
      </c>
      <c r="AB1298">
        <f t="shared" si="328"/>
        <v>2.2204999999999999E-2</v>
      </c>
      <c r="AC1298">
        <f t="shared" si="329"/>
        <v>2165.7422479500001</v>
      </c>
      <c r="AD1298">
        <f t="shared" si="330"/>
        <v>-34.376892800000078</v>
      </c>
      <c r="AE1298">
        <f t="shared" si="331"/>
        <v>4.2971076030999997</v>
      </c>
      <c r="AF1298">
        <f t="shared" si="332"/>
        <v>-38.674000403100081</v>
      </c>
      <c r="AG1298">
        <f t="shared" si="322"/>
        <v>21618.967640420393</v>
      </c>
      <c r="AH1298" t="b">
        <f t="shared" si="333"/>
        <v>1</v>
      </c>
    </row>
    <row r="1299" spans="4:34" hidden="1" x14ac:dyDescent="0.4">
      <c r="D1299" t="s">
        <v>48</v>
      </c>
      <c r="E1299" t="s">
        <v>37</v>
      </c>
      <c r="F1299" s="9">
        <v>45703.708333333336</v>
      </c>
      <c r="G1299">
        <v>0.3836</v>
      </c>
      <c r="H1299" s="9">
        <v>45705.708333333336</v>
      </c>
      <c r="I1299">
        <v>0.38219999999999998</v>
      </c>
      <c r="J1299" s="12">
        <v>7480.4</v>
      </c>
      <c r="K1299" s="12">
        <v>2869.52</v>
      </c>
      <c r="L1299">
        <v>4.3</v>
      </c>
      <c r="M1299">
        <v>-14.77</v>
      </c>
      <c r="N1299" s="13">
        <v>-5.1000000000000004E-3</v>
      </c>
      <c r="O1299" t="s">
        <v>38</v>
      </c>
      <c r="Q1299">
        <f t="shared" si="334"/>
        <v>-10.472560000000092</v>
      </c>
      <c r="R1299">
        <f t="shared" si="335"/>
        <v>-14.772560000000091</v>
      </c>
      <c r="S1299">
        <f t="shared" si="336"/>
        <v>2859.0088799999999</v>
      </c>
      <c r="U1299">
        <f t="shared" si="323"/>
        <v>4301.355579</v>
      </c>
      <c r="V1299">
        <f t="shared" si="337"/>
        <v>1650.0000001044</v>
      </c>
      <c r="W1299">
        <f t="shared" si="324"/>
        <v>-6.0218978106000529</v>
      </c>
      <c r="X1299">
        <f t="shared" si="325"/>
        <v>3.2939781023982002</v>
      </c>
      <c r="Y1299">
        <f t="shared" si="326"/>
        <v>-9.3158759129982531</v>
      </c>
      <c r="Z1299">
        <f t="shared" si="327"/>
        <v>21064.296635937186</v>
      </c>
      <c r="AB1299">
        <f t="shared" si="328"/>
        <v>5649.0814449999998</v>
      </c>
      <c r="AC1299">
        <f t="shared" si="329"/>
        <v>2166.987642302</v>
      </c>
      <c r="AD1299">
        <f t="shared" si="330"/>
        <v>-7.9087140230000692</v>
      </c>
      <c r="AE1299">
        <f t="shared" si="331"/>
        <v>4.3260665705810002</v>
      </c>
      <c r="AF1299">
        <f t="shared" si="332"/>
        <v>-12.234780593581069</v>
      </c>
      <c r="AG1299">
        <f t="shared" si="322"/>
        <v>21657.641640823495</v>
      </c>
      <c r="AH1299" t="b">
        <f t="shared" si="333"/>
        <v>1</v>
      </c>
    </row>
    <row r="1300" spans="4:34" hidden="1" x14ac:dyDescent="0.4">
      <c r="D1300" t="s">
        <v>56</v>
      </c>
      <c r="E1300" t="s">
        <v>37</v>
      </c>
      <c r="F1300" s="9">
        <v>45705.083333333336</v>
      </c>
      <c r="G1300" s="12">
        <v>2680.22</v>
      </c>
      <c r="H1300" s="9">
        <v>45705.25</v>
      </c>
      <c r="I1300" s="12">
        <v>2642.02</v>
      </c>
      <c r="J1300">
        <v>1.9523999999999999</v>
      </c>
      <c r="K1300" s="12">
        <v>5232.97</v>
      </c>
      <c r="L1300">
        <v>7.79</v>
      </c>
      <c r="M1300">
        <v>-82.38</v>
      </c>
      <c r="N1300" s="13">
        <v>-1.5699999999999999E-2</v>
      </c>
      <c r="O1300" t="s">
        <v>49</v>
      </c>
      <c r="Q1300">
        <f t="shared" si="334"/>
        <v>-74.581679999999636</v>
      </c>
      <c r="R1300">
        <f t="shared" si="335"/>
        <v>-82.371679999999643</v>
      </c>
      <c r="S1300">
        <f t="shared" si="336"/>
        <v>5158.2798480000001</v>
      </c>
      <c r="U1300">
        <f t="shared" si="323"/>
        <v>0.61562099999999997</v>
      </c>
      <c r="V1300">
        <f t="shared" si="337"/>
        <v>1649.9997166199998</v>
      </c>
      <c r="W1300">
        <f t="shared" si="324"/>
        <v>-23.516722199999887</v>
      </c>
      <c r="X1300">
        <f t="shared" si="325"/>
        <v>3.2764827110399999</v>
      </c>
      <c r="Y1300">
        <f t="shared" si="326"/>
        <v>-26.793204911039886</v>
      </c>
      <c r="Z1300">
        <f t="shared" si="327"/>
        <v>21073.612511850184</v>
      </c>
      <c r="AB1300">
        <f t="shared" si="328"/>
        <v>0.80982600000000005</v>
      </c>
      <c r="AC1300">
        <f t="shared" si="329"/>
        <v>2170.5118417200001</v>
      </c>
      <c r="AD1300">
        <f t="shared" si="330"/>
        <v>-30.935353199999856</v>
      </c>
      <c r="AE1300">
        <f t="shared" si="331"/>
        <v>4.3100883302400002</v>
      </c>
      <c r="AF1300">
        <f t="shared" si="332"/>
        <v>-35.245441530239859</v>
      </c>
      <c r="AG1300">
        <f t="shared" si="322"/>
        <v>21669.876421417077</v>
      </c>
      <c r="AH1300" t="b">
        <f t="shared" si="333"/>
        <v>1</v>
      </c>
    </row>
    <row r="1301" spans="4:34" hidden="1" x14ac:dyDescent="0.4">
      <c r="D1301" t="s">
        <v>58</v>
      </c>
      <c r="E1301" t="s">
        <v>37</v>
      </c>
      <c r="F1301" s="9">
        <v>45702.916666666664</v>
      </c>
      <c r="G1301">
        <v>19.53</v>
      </c>
      <c r="H1301" s="9">
        <v>45704.916666666664</v>
      </c>
      <c r="I1301">
        <v>18.97</v>
      </c>
      <c r="J1301">
        <v>345.54</v>
      </c>
      <c r="K1301" s="12">
        <v>6748.47</v>
      </c>
      <c r="L1301">
        <v>9.98</v>
      </c>
      <c r="M1301">
        <v>-203.48</v>
      </c>
      <c r="N1301" s="13">
        <v>-3.0200000000000001E-2</v>
      </c>
      <c r="O1301" t="s">
        <v>38</v>
      </c>
      <c r="Q1301">
        <f t="shared" si="334"/>
        <v>-193.50240000000079</v>
      </c>
      <c r="R1301">
        <f t="shared" si="335"/>
        <v>-203.48240000000078</v>
      </c>
      <c r="S1301">
        <f t="shared" si="336"/>
        <v>6554.8937999999998</v>
      </c>
      <c r="U1301">
        <f t="shared" si="323"/>
        <v>84.485406999999995</v>
      </c>
      <c r="V1301">
        <f t="shared" si="337"/>
        <v>1649.99999871</v>
      </c>
      <c r="W1301">
        <f t="shared" si="324"/>
        <v>-47.311827920000191</v>
      </c>
      <c r="X1301">
        <f t="shared" si="325"/>
        <v>3.2526881694999998</v>
      </c>
      <c r="Y1301">
        <f t="shared" si="326"/>
        <v>-50.564516089500188</v>
      </c>
      <c r="Z1301">
        <f t="shared" si="327"/>
        <v>21100.405716761223</v>
      </c>
      <c r="AB1301">
        <f t="shared" si="328"/>
        <v>111.478966</v>
      </c>
      <c r="AC1301">
        <f t="shared" si="329"/>
        <v>2177.1842059800001</v>
      </c>
      <c r="AD1301">
        <f t="shared" si="330"/>
        <v>-62.428220960000253</v>
      </c>
      <c r="AE1301">
        <f t="shared" si="331"/>
        <v>4.2919401910000001</v>
      </c>
      <c r="AF1301">
        <f t="shared" si="332"/>
        <v>-66.720161151000255</v>
      </c>
      <c r="AG1301">
        <f t="shared" si="322"/>
        <v>21705.121862947315</v>
      </c>
      <c r="AH1301" t="b">
        <f t="shared" si="333"/>
        <v>1</v>
      </c>
    </row>
    <row r="1302" spans="4:34" hidden="1" x14ac:dyDescent="0.4">
      <c r="D1302" t="s">
        <v>56</v>
      </c>
      <c r="E1302" t="s">
        <v>37</v>
      </c>
      <c r="F1302" s="9">
        <v>45703.791666666664</v>
      </c>
      <c r="G1302" s="12">
        <v>2703.19</v>
      </c>
      <c r="H1302" s="9">
        <v>45704.791666666664</v>
      </c>
      <c r="I1302" s="12">
        <v>2662.62</v>
      </c>
      <c r="J1302">
        <v>1.9390000000000001</v>
      </c>
      <c r="K1302" s="12">
        <v>5241.62</v>
      </c>
      <c r="L1302">
        <v>7.8</v>
      </c>
      <c r="M1302">
        <v>-86.48</v>
      </c>
      <c r="N1302" s="13">
        <v>-1.6500000000000001E-2</v>
      </c>
      <c r="O1302" t="s">
        <v>49</v>
      </c>
      <c r="Q1302">
        <f t="shared" si="334"/>
        <v>-78.665230000000321</v>
      </c>
      <c r="R1302">
        <f t="shared" si="335"/>
        <v>-86.465230000000318</v>
      </c>
      <c r="S1302">
        <f t="shared" si="336"/>
        <v>5162.8201799999997</v>
      </c>
      <c r="U1302">
        <f t="shared" si="323"/>
        <v>0.61038999999999999</v>
      </c>
      <c r="V1302">
        <f t="shared" si="337"/>
        <v>1650.0001440999999</v>
      </c>
      <c r="W1302">
        <f t="shared" si="324"/>
        <v>-24.763522300000098</v>
      </c>
      <c r="X1302">
        <f t="shared" si="325"/>
        <v>3.2752367658999999</v>
      </c>
      <c r="Y1302">
        <f t="shared" si="326"/>
        <v>-28.038759065900098</v>
      </c>
      <c r="Z1302">
        <f t="shared" si="327"/>
        <v>21150.970232850723</v>
      </c>
      <c r="AB1302">
        <f t="shared" si="328"/>
        <v>0.80678399999999995</v>
      </c>
      <c r="AC1302">
        <f t="shared" si="329"/>
        <v>2180.89044096</v>
      </c>
      <c r="AD1302">
        <f t="shared" si="330"/>
        <v>-32.731226880000129</v>
      </c>
      <c r="AE1302">
        <f t="shared" si="331"/>
        <v>4.3290496550399995</v>
      </c>
      <c r="AF1302">
        <f t="shared" si="332"/>
        <v>-37.060276535040131</v>
      </c>
      <c r="AG1302">
        <f t="shared" si="322"/>
        <v>21771.842024098314</v>
      </c>
      <c r="AH1302" t="b">
        <f t="shared" si="333"/>
        <v>1</v>
      </c>
    </row>
    <row r="1303" spans="4:34" hidden="1" x14ac:dyDescent="0.4">
      <c r="D1303" t="s">
        <v>55</v>
      </c>
      <c r="E1303" t="s">
        <v>37</v>
      </c>
      <c r="F1303" s="9">
        <v>45702.583333333336</v>
      </c>
      <c r="G1303">
        <v>7.8910000000000002E-5</v>
      </c>
      <c r="H1303" s="9">
        <v>45704.583333333336</v>
      </c>
      <c r="I1303">
        <v>7.6420000000000004E-5</v>
      </c>
      <c r="J1303" s="12">
        <v>75776108.939999998</v>
      </c>
      <c r="K1303" s="12">
        <v>5979.49</v>
      </c>
      <c r="L1303">
        <v>8.83</v>
      </c>
      <c r="M1303">
        <v>-197.51</v>
      </c>
      <c r="N1303" s="13">
        <v>-3.3000000000000002E-2</v>
      </c>
      <c r="O1303" t="s">
        <v>38</v>
      </c>
      <c r="Q1303">
        <f t="shared" si="334"/>
        <v>-188.68251126059985</v>
      </c>
      <c r="R1303">
        <f t="shared" si="335"/>
        <v>-197.51251126059987</v>
      </c>
      <c r="S1303">
        <f t="shared" si="336"/>
        <v>5790.8102451947998</v>
      </c>
      <c r="U1303">
        <f t="shared" si="323"/>
        <v>20909897.351413</v>
      </c>
      <c r="V1303">
        <f t="shared" si="337"/>
        <v>1650</v>
      </c>
      <c r="W1303">
        <f t="shared" si="324"/>
        <v>-52.065644405018332</v>
      </c>
      <c r="X1303">
        <f t="shared" si="325"/>
        <v>3.2479343555949818</v>
      </c>
      <c r="Y1303">
        <f t="shared" si="326"/>
        <v>-55.313578760613311</v>
      </c>
      <c r="Z1303">
        <f t="shared" si="327"/>
        <v>21179.008991916624</v>
      </c>
      <c r="AB1303">
        <f t="shared" si="328"/>
        <v>27730653.949367002</v>
      </c>
      <c r="AC1303">
        <f t="shared" si="329"/>
        <v>2188.2259031445501</v>
      </c>
      <c r="AD1303">
        <f t="shared" si="330"/>
        <v>-69.049328333923782</v>
      </c>
      <c r="AE1303">
        <f t="shared" si="331"/>
        <v>4.3074024779551774</v>
      </c>
      <c r="AF1303">
        <f t="shared" si="332"/>
        <v>-73.356730811878961</v>
      </c>
      <c r="AG1303">
        <f t="shared" si="322"/>
        <v>21808.902300633355</v>
      </c>
      <c r="AH1303" t="b">
        <f t="shared" si="333"/>
        <v>1</v>
      </c>
    </row>
    <row r="1304" spans="4:34" hidden="1" x14ac:dyDescent="0.4">
      <c r="D1304" t="s">
        <v>52</v>
      </c>
      <c r="E1304" t="s">
        <v>37</v>
      </c>
      <c r="F1304" s="9">
        <v>45702.375</v>
      </c>
      <c r="G1304">
        <v>7.2409999999999997</v>
      </c>
      <c r="H1304" s="9">
        <v>45704.375</v>
      </c>
      <c r="I1304">
        <v>6.9710000000000001</v>
      </c>
      <c r="J1304">
        <v>319.74</v>
      </c>
      <c r="K1304" s="12">
        <v>2315.27</v>
      </c>
      <c r="L1304">
        <v>3.41</v>
      </c>
      <c r="M1304">
        <v>-89.74</v>
      </c>
      <c r="N1304" s="13">
        <v>-3.8800000000000001E-2</v>
      </c>
      <c r="O1304" t="s">
        <v>38</v>
      </c>
      <c r="Q1304">
        <f t="shared" si="334"/>
        <v>-86.329799999999864</v>
      </c>
      <c r="R1304">
        <f t="shared" si="335"/>
        <v>-89.73979999999986</v>
      </c>
      <c r="S1304">
        <f t="shared" si="336"/>
        <v>2228.9075400000002</v>
      </c>
      <c r="U1304">
        <f t="shared" si="323"/>
        <v>227.869079</v>
      </c>
      <c r="V1304">
        <f t="shared" si="337"/>
        <v>1650.0000010389999</v>
      </c>
      <c r="W1304">
        <f t="shared" si="324"/>
        <v>-61.524651329999905</v>
      </c>
      <c r="X1304">
        <f t="shared" si="325"/>
        <v>3.2384753507480002</v>
      </c>
      <c r="Y1304">
        <f t="shared" si="326"/>
        <v>-64.763126680747902</v>
      </c>
      <c r="Z1304">
        <f t="shared" si="327"/>
        <v>21234.322570677235</v>
      </c>
      <c r="AB1304">
        <f t="shared" si="328"/>
        <v>303.39022499999999</v>
      </c>
      <c r="AC1304">
        <f t="shared" si="329"/>
        <v>2196.8486192249998</v>
      </c>
      <c r="AD1304">
        <f t="shared" si="330"/>
        <v>-81.915360749999863</v>
      </c>
      <c r="AE1304">
        <f t="shared" si="331"/>
        <v>4.3117818776999997</v>
      </c>
      <c r="AF1304">
        <f t="shared" si="332"/>
        <v>-86.227142627699862</v>
      </c>
      <c r="AG1304">
        <f t="shared" si="322"/>
        <v>21882.259031445235</v>
      </c>
      <c r="AH1304" t="b">
        <f t="shared" si="333"/>
        <v>1</v>
      </c>
    </row>
    <row r="1305" spans="4:34" hidden="1" x14ac:dyDescent="0.4">
      <c r="D1305" t="s">
        <v>61</v>
      </c>
      <c r="E1305" t="s">
        <v>37</v>
      </c>
      <c r="F1305" s="9">
        <v>45702.375</v>
      </c>
      <c r="G1305">
        <v>0.81289999999999996</v>
      </c>
      <c r="H1305" s="9">
        <v>45704.375</v>
      </c>
      <c r="I1305">
        <v>0.77810000000000001</v>
      </c>
      <c r="J1305" s="12">
        <v>9336.4</v>
      </c>
      <c r="K1305" s="12">
        <v>7589.62</v>
      </c>
      <c r="L1305">
        <v>11.14</v>
      </c>
      <c r="M1305">
        <v>-336.05</v>
      </c>
      <c r="N1305" s="13">
        <v>-4.4299999999999999E-2</v>
      </c>
      <c r="O1305" t="s">
        <v>38</v>
      </c>
      <c r="Q1305">
        <f t="shared" si="334"/>
        <v>-324.90671999999944</v>
      </c>
      <c r="R1305">
        <f t="shared" si="335"/>
        <v>-336.04671999999942</v>
      </c>
      <c r="S1305">
        <f t="shared" si="336"/>
        <v>7264.6528399999997</v>
      </c>
      <c r="U1305">
        <f t="shared" si="323"/>
        <v>2029.769959</v>
      </c>
      <c r="V1305">
        <f t="shared" si="337"/>
        <v>1649.9999996710999</v>
      </c>
      <c r="W1305">
        <f t="shared" si="324"/>
        <v>-70.635994573199881</v>
      </c>
      <c r="X1305">
        <f t="shared" si="325"/>
        <v>3.2293640047689998</v>
      </c>
      <c r="Y1305">
        <f t="shared" si="326"/>
        <v>-73.865358577968877</v>
      </c>
      <c r="Z1305">
        <f t="shared" si="327"/>
        <v>21299.085697357983</v>
      </c>
      <c r="AB1305">
        <f t="shared" si="328"/>
        <v>2714.635808</v>
      </c>
      <c r="AC1305">
        <f t="shared" si="329"/>
        <v>2206.7274483232</v>
      </c>
      <c r="AD1305">
        <f t="shared" si="330"/>
        <v>-94.469326118399849</v>
      </c>
      <c r="AE1305">
        <f t="shared" si="331"/>
        <v>4.3189855705279996</v>
      </c>
      <c r="AF1305">
        <f t="shared" si="332"/>
        <v>-98.788311688927848</v>
      </c>
      <c r="AG1305">
        <f t="shared" si="322"/>
        <v>21968.486174072936</v>
      </c>
      <c r="AH1305" t="b">
        <f t="shared" si="333"/>
        <v>1</v>
      </c>
    </row>
    <row r="1306" spans="4:34" hidden="1" x14ac:dyDescent="0.4">
      <c r="D1306" t="s">
        <v>43</v>
      </c>
      <c r="E1306" t="s">
        <v>37</v>
      </c>
      <c r="F1306" s="9">
        <v>45702.333333333336</v>
      </c>
      <c r="G1306">
        <v>3.4939</v>
      </c>
      <c r="H1306" s="9">
        <v>45704.333333333336</v>
      </c>
      <c r="I1306">
        <v>3.3643999999999998</v>
      </c>
      <c r="J1306">
        <v>491.8</v>
      </c>
      <c r="K1306" s="12">
        <v>1718.44</v>
      </c>
      <c r="L1306">
        <v>2.5299999999999998</v>
      </c>
      <c r="M1306">
        <v>-66.22</v>
      </c>
      <c r="N1306" s="13">
        <v>-3.85E-2</v>
      </c>
      <c r="O1306" t="s">
        <v>38</v>
      </c>
      <c r="Q1306">
        <f t="shared" si="334"/>
        <v>-63.688100000000084</v>
      </c>
      <c r="R1306">
        <f t="shared" si="335"/>
        <v>-66.218100000000078</v>
      </c>
      <c r="S1306">
        <f t="shared" si="336"/>
        <v>1654.6119200000001</v>
      </c>
      <c r="U1306">
        <f t="shared" si="323"/>
        <v>472.25163900000001</v>
      </c>
      <c r="V1306">
        <f t="shared" si="337"/>
        <v>1650.0000015021001</v>
      </c>
      <c r="W1306">
        <f t="shared" si="324"/>
        <v>-61.156587250500081</v>
      </c>
      <c r="X1306">
        <f t="shared" si="325"/>
        <v>3.2388434157537001</v>
      </c>
      <c r="Y1306">
        <f t="shared" si="326"/>
        <v>-64.395430666253787</v>
      </c>
      <c r="Z1306">
        <f t="shared" si="327"/>
        <v>21372.951055935951</v>
      </c>
      <c r="AB1306">
        <f t="shared" si="328"/>
        <v>634.06894999999997</v>
      </c>
      <c r="AC1306">
        <f t="shared" si="329"/>
        <v>2215.3735044049999</v>
      </c>
      <c r="AD1306">
        <f t="shared" si="330"/>
        <v>-82.111929025000109</v>
      </c>
      <c r="AE1306">
        <f t="shared" si="331"/>
        <v>4.3486350797849997</v>
      </c>
      <c r="AF1306">
        <f t="shared" si="332"/>
        <v>-86.460564104785107</v>
      </c>
      <c r="AG1306">
        <f t="shared" si="322"/>
        <v>22067.274485761864</v>
      </c>
      <c r="AH1306" t="b">
        <f t="shared" si="333"/>
        <v>1</v>
      </c>
    </row>
    <row r="1307" spans="4:34" hidden="1" x14ac:dyDescent="0.4">
      <c r="D1307" t="s">
        <v>54</v>
      </c>
      <c r="E1307" t="s">
        <v>37</v>
      </c>
      <c r="F1307" s="9">
        <v>45702.291666666664</v>
      </c>
      <c r="G1307">
        <v>196.27</v>
      </c>
      <c r="H1307" s="9">
        <v>45704.291666666664</v>
      </c>
      <c r="I1307">
        <v>195.31</v>
      </c>
      <c r="J1307">
        <v>22.739000000000001</v>
      </c>
      <c r="K1307" s="12">
        <v>4463.17</v>
      </c>
      <c r="L1307">
        <v>6.68</v>
      </c>
      <c r="M1307">
        <v>-28.51</v>
      </c>
      <c r="N1307" s="13">
        <v>-6.4000000000000003E-3</v>
      </c>
      <c r="O1307" t="s">
        <v>38</v>
      </c>
      <c r="Q1307">
        <f t="shared" si="334"/>
        <v>-21.829440000000183</v>
      </c>
      <c r="R1307">
        <f t="shared" si="335"/>
        <v>-28.509440000000183</v>
      </c>
      <c r="S1307">
        <f t="shared" si="336"/>
        <v>4441.15409</v>
      </c>
      <c r="U1307">
        <f t="shared" si="323"/>
        <v>8.4067869999999996</v>
      </c>
      <c r="V1307">
        <f t="shared" si="337"/>
        <v>1650.0000844900001</v>
      </c>
      <c r="W1307">
        <f t="shared" si="324"/>
        <v>-8.0705155200000664</v>
      </c>
      <c r="X1307">
        <f t="shared" si="325"/>
        <v>3.29192965346</v>
      </c>
      <c r="Y1307">
        <f t="shared" si="326"/>
        <v>-11.362445173460067</v>
      </c>
      <c r="Z1307">
        <f t="shared" si="327"/>
        <v>21437.346486602204</v>
      </c>
      <c r="AB1307">
        <f t="shared" si="328"/>
        <v>11.295154999999999</v>
      </c>
      <c r="AC1307">
        <f t="shared" si="329"/>
        <v>2216.9000718500001</v>
      </c>
      <c r="AD1307">
        <f t="shared" si="330"/>
        <v>-10.84334880000009</v>
      </c>
      <c r="AE1307">
        <f t="shared" si="331"/>
        <v>4.4229567949000002</v>
      </c>
      <c r="AF1307">
        <f t="shared" si="332"/>
        <v>-15.266305594900089</v>
      </c>
      <c r="AG1307">
        <f t="shared" si="322"/>
        <v>22153.735049866649</v>
      </c>
      <c r="AH1307" t="b">
        <f t="shared" si="333"/>
        <v>1</v>
      </c>
    </row>
    <row r="1308" spans="4:34" hidden="1" x14ac:dyDescent="0.4">
      <c r="D1308" t="s">
        <v>56</v>
      </c>
      <c r="E1308" t="s">
        <v>37</v>
      </c>
      <c r="F1308" s="9">
        <v>45703.458333333336</v>
      </c>
      <c r="G1308" s="12">
        <v>2710.7</v>
      </c>
      <c r="H1308" s="9">
        <v>45703.625</v>
      </c>
      <c r="I1308" s="12">
        <v>2667.02</v>
      </c>
      <c r="J1308">
        <v>1.9370000000000001</v>
      </c>
      <c r="K1308" s="12">
        <v>5250.86</v>
      </c>
      <c r="L1308">
        <v>7.81</v>
      </c>
      <c r="M1308">
        <v>-92.42</v>
      </c>
      <c r="N1308" s="13">
        <v>-1.7600000000000001E-2</v>
      </c>
      <c r="O1308" t="s">
        <v>49</v>
      </c>
      <c r="Q1308">
        <f t="shared" si="334"/>
        <v>-84.608159999999685</v>
      </c>
      <c r="R1308">
        <f t="shared" si="335"/>
        <v>-92.418159999999688</v>
      </c>
      <c r="S1308">
        <f t="shared" si="336"/>
        <v>5166.0177400000002</v>
      </c>
      <c r="U1308">
        <f t="shared" si="323"/>
        <v>0.60869899999999999</v>
      </c>
      <c r="V1308">
        <f t="shared" si="337"/>
        <v>1650.0003792999998</v>
      </c>
      <c r="W1308">
        <f t="shared" si="324"/>
        <v>-26.587972319999899</v>
      </c>
      <c r="X1308">
        <f t="shared" si="325"/>
        <v>3.2734127862799993</v>
      </c>
      <c r="Y1308">
        <f t="shared" si="326"/>
        <v>-29.861385106279897</v>
      </c>
      <c r="Z1308">
        <f t="shared" si="327"/>
        <v>21448.708931775665</v>
      </c>
      <c r="AB1308">
        <f t="shared" si="328"/>
        <v>0.81931600000000004</v>
      </c>
      <c r="AC1308">
        <f t="shared" si="329"/>
        <v>2220.9198812</v>
      </c>
      <c r="AD1308">
        <f t="shared" si="330"/>
        <v>-35.787722879999869</v>
      </c>
      <c r="AE1308">
        <f t="shared" si="331"/>
        <v>4.4060520395199996</v>
      </c>
      <c r="AF1308">
        <f t="shared" si="332"/>
        <v>-40.193774919519868</v>
      </c>
      <c r="AG1308">
        <f t="shared" si="322"/>
        <v>22169.001355461551</v>
      </c>
      <c r="AH1308" t="b">
        <f t="shared" si="333"/>
        <v>1</v>
      </c>
    </row>
    <row r="1309" spans="4:34" hidden="1" x14ac:dyDescent="0.4">
      <c r="D1309" t="s">
        <v>48</v>
      </c>
      <c r="E1309" t="s">
        <v>37</v>
      </c>
      <c r="F1309" s="9">
        <v>45701.583333333336</v>
      </c>
      <c r="G1309">
        <v>0.34960000000000002</v>
      </c>
      <c r="H1309" s="9">
        <v>45703.583333333336</v>
      </c>
      <c r="I1309">
        <v>0.38600000000000001</v>
      </c>
      <c r="J1309" s="12">
        <v>8124.6</v>
      </c>
      <c r="K1309" s="12">
        <v>2840.39</v>
      </c>
      <c r="L1309">
        <v>4.4800000000000004</v>
      </c>
      <c r="M1309">
        <v>291.25</v>
      </c>
      <c r="N1309" s="13">
        <v>0.10249999999999999</v>
      </c>
      <c r="O1309" t="s">
        <v>38</v>
      </c>
      <c r="Q1309">
        <f t="shared" si="334"/>
        <v>295.73543999999993</v>
      </c>
      <c r="R1309">
        <f t="shared" si="335"/>
        <v>291.25543999999991</v>
      </c>
      <c r="S1309">
        <f t="shared" si="336"/>
        <v>3136.0956000000001</v>
      </c>
      <c r="U1309">
        <f t="shared" si="323"/>
        <v>4719.6796340000001</v>
      </c>
      <c r="V1309">
        <f t="shared" si="337"/>
        <v>1650.0000000464001</v>
      </c>
      <c r="W1309">
        <f t="shared" si="324"/>
        <v>171.79633867759995</v>
      </c>
      <c r="X1309">
        <f t="shared" si="325"/>
        <v>3.4717963387704005</v>
      </c>
      <c r="Y1309">
        <f t="shared" si="326"/>
        <v>168.32454233882956</v>
      </c>
      <c r="Z1309">
        <f t="shared" si="327"/>
        <v>21478.570316881945</v>
      </c>
      <c r="AB1309">
        <f t="shared" si="328"/>
        <v>6288.5916139999999</v>
      </c>
      <c r="AC1309">
        <f t="shared" si="329"/>
        <v>2198.4916282544</v>
      </c>
      <c r="AD1309">
        <f t="shared" si="330"/>
        <v>228.90473474959992</v>
      </c>
      <c r="AE1309">
        <f t="shared" si="331"/>
        <v>4.6258879912584003</v>
      </c>
      <c r="AF1309">
        <f t="shared" si="332"/>
        <v>224.27884675834153</v>
      </c>
      <c r="AG1309">
        <f t="shared" si="322"/>
        <v>22209.195130381071</v>
      </c>
      <c r="AH1309" t="b">
        <f t="shared" si="333"/>
        <v>1</v>
      </c>
    </row>
    <row r="1310" spans="4:34" hidden="1" x14ac:dyDescent="0.4">
      <c r="D1310" t="s">
        <v>60</v>
      </c>
      <c r="E1310" t="s">
        <v>37</v>
      </c>
      <c r="F1310" s="9">
        <v>45700.708333333336</v>
      </c>
      <c r="G1310">
        <v>2.4278</v>
      </c>
      <c r="H1310" s="9">
        <v>45703.208333333336</v>
      </c>
      <c r="I1310">
        <v>2.7913999999999999</v>
      </c>
      <c r="J1310">
        <v>847.3</v>
      </c>
      <c r="K1310" s="12">
        <v>2057.2399999999998</v>
      </c>
      <c r="L1310">
        <v>3.32</v>
      </c>
      <c r="M1310">
        <v>304.76</v>
      </c>
      <c r="N1310" s="13">
        <v>0.14810000000000001</v>
      </c>
      <c r="O1310" t="s">
        <v>57</v>
      </c>
      <c r="Q1310">
        <f t="shared" si="334"/>
        <v>308.07827999999989</v>
      </c>
      <c r="R1310">
        <f t="shared" si="335"/>
        <v>304.7582799999999</v>
      </c>
      <c r="S1310">
        <f t="shared" si="336"/>
        <v>2365.1532199999997</v>
      </c>
      <c r="U1310">
        <f t="shared" si="323"/>
        <v>679.62764600000003</v>
      </c>
      <c r="V1310">
        <f t="shared" si="337"/>
        <v>1649.9999989588</v>
      </c>
      <c r="W1310">
        <f t="shared" si="324"/>
        <v>247.11261208559995</v>
      </c>
      <c r="X1310">
        <f t="shared" si="325"/>
        <v>3.5471126100032002</v>
      </c>
      <c r="Y1310">
        <f t="shared" si="326"/>
        <v>243.56549947559674</v>
      </c>
      <c r="Z1310">
        <f t="shared" si="327"/>
        <v>21310.245774543117</v>
      </c>
      <c r="AB1310">
        <f t="shared" si="328"/>
        <v>892.37605399999995</v>
      </c>
      <c r="AC1310">
        <f t="shared" si="329"/>
        <v>2166.5105839011999</v>
      </c>
      <c r="AD1310">
        <f t="shared" si="330"/>
        <v>324.46793323439994</v>
      </c>
      <c r="AE1310">
        <f t="shared" si="331"/>
        <v>4.6574891010368002</v>
      </c>
      <c r="AF1310">
        <f t="shared" si="332"/>
        <v>319.81044413336315</v>
      </c>
      <c r="AG1310">
        <f t="shared" si="322"/>
        <v>21984.91628362273</v>
      </c>
      <c r="AH1310" t="b">
        <f t="shared" si="333"/>
        <v>1</v>
      </c>
    </row>
    <row r="1311" spans="4:34" hidden="1" x14ac:dyDescent="0.4">
      <c r="D1311" t="s">
        <v>56</v>
      </c>
      <c r="E1311" t="s">
        <v>37</v>
      </c>
      <c r="F1311" s="9">
        <v>45700.708333333336</v>
      </c>
      <c r="G1311" s="12">
        <v>2648.47</v>
      </c>
      <c r="H1311" s="9">
        <v>45703.208333333336</v>
      </c>
      <c r="I1311" s="12">
        <v>2720.92</v>
      </c>
      <c r="J1311">
        <v>1.9774</v>
      </c>
      <c r="K1311" s="12">
        <v>5237.33</v>
      </c>
      <c r="L1311">
        <v>7.96</v>
      </c>
      <c r="M1311">
        <v>135.30000000000001</v>
      </c>
      <c r="N1311" s="13">
        <v>2.58E-2</v>
      </c>
      <c r="O1311" t="s">
        <v>57</v>
      </c>
      <c r="Q1311">
        <f t="shared" si="334"/>
        <v>143.26263000000054</v>
      </c>
      <c r="R1311">
        <f t="shared" si="335"/>
        <v>135.30263000000053</v>
      </c>
      <c r="S1311">
        <f t="shared" si="336"/>
        <v>5380.3472080000001</v>
      </c>
      <c r="U1311">
        <f t="shared" si="323"/>
        <v>0.62300100000000003</v>
      </c>
      <c r="V1311">
        <f t="shared" si="337"/>
        <v>1649.99945847</v>
      </c>
      <c r="W1311">
        <f t="shared" si="324"/>
        <v>45.136422450000175</v>
      </c>
      <c r="X1311">
        <f t="shared" si="325"/>
        <v>3.3451353393899996</v>
      </c>
      <c r="Y1311">
        <f t="shared" si="326"/>
        <v>41.791287110610178</v>
      </c>
      <c r="Z1311">
        <f t="shared" si="327"/>
        <v>21066.68027506752</v>
      </c>
      <c r="AB1311">
        <f t="shared" si="328"/>
        <v>0.81595700000000004</v>
      </c>
      <c r="AC1311">
        <f t="shared" si="329"/>
        <v>2161.03763579</v>
      </c>
      <c r="AD1311">
        <f t="shared" si="330"/>
        <v>59.116084650000225</v>
      </c>
      <c r="AE1311">
        <f t="shared" si="331"/>
        <v>4.3811913562299996</v>
      </c>
      <c r="AF1311">
        <f t="shared" si="332"/>
        <v>54.734893293770227</v>
      </c>
      <c r="AG1311">
        <f t="shared" si="322"/>
        <v>21665.105839489366</v>
      </c>
      <c r="AH1311" t="b">
        <f t="shared" si="333"/>
        <v>1</v>
      </c>
    </row>
    <row r="1312" spans="4:34" hidden="1" x14ac:dyDescent="0.4">
      <c r="D1312" t="s">
        <v>59</v>
      </c>
      <c r="E1312" t="s">
        <v>37</v>
      </c>
      <c r="F1312" s="9">
        <v>45700.625</v>
      </c>
      <c r="G1312" s="12">
        <v>95644.68</v>
      </c>
      <c r="H1312" s="9">
        <v>45703.125</v>
      </c>
      <c r="I1312" s="12">
        <v>97858.12</v>
      </c>
      <c r="J1312">
        <v>0.10421</v>
      </c>
      <c r="K1312" s="12">
        <v>9967.64</v>
      </c>
      <c r="L1312">
        <v>15.12</v>
      </c>
      <c r="M1312">
        <v>215.54</v>
      </c>
      <c r="N1312" s="13">
        <v>2.1600000000000001E-2</v>
      </c>
      <c r="O1312" t="s">
        <v>57</v>
      </c>
      <c r="Q1312">
        <f t="shared" si="334"/>
        <v>230.66258240000025</v>
      </c>
      <c r="R1312">
        <f t="shared" si="335"/>
        <v>215.54258240000024</v>
      </c>
      <c r="S1312">
        <f t="shared" si="336"/>
        <v>10197.794685199999</v>
      </c>
      <c r="U1312">
        <f t="shared" si="323"/>
        <v>1.7250999999999999E-2</v>
      </c>
      <c r="V1312">
        <f t="shared" si="337"/>
        <v>1649.9663746799997</v>
      </c>
      <c r="W1312">
        <f t="shared" si="324"/>
        <v>38.184053440000035</v>
      </c>
      <c r="X1312">
        <f t="shared" si="325"/>
        <v>3.3381168027999992</v>
      </c>
      <c r="Y1312">
        <f t="shared" si="326"/>
        <v>34.845936637200033</v>
      </c>
      <c r="Z1312">
        <f t="shared" si="327"/>
        <v>21024.888987956911</v>
      </c>
      <c r="AB1312">
        <f t="shared" si="328"/>
        <v>2.2547000000000001E-2</v>
      </c>
      <c r="AC1312">
        <f t="shared" si="329"/>
        <v>2156.5005999599998</v>
      </c>
      <c r="AD1312">
        <f t="shared" si="330"/>
        <v>49.906431680000054</v>
      </c>
      <c r="AE1312">
        <f t="shared" si="331"/>
        <v>4.3629076315999997</v>
      </c>
      <c r="AF1312">
        <f t="shared" si="332"/>
        <v>45.543524048400052</v>
      </c>
      <c r="AG1312">
        <f t="shared" si="322"/>
        <v>21610.370946195595</v>
      </c>
      <c r="AH1312" t="b">
        <f t="shared" si="333"/>
        <v>1</v>
      </c>
    </row>
    <row r="1313" spans="4:34" hidden="1" x14ac:dyDescent="0.4">
      <c r="D1313" t="s">
        <v>58</v>
      </c>
      <c r="E1313" t="s">
        <v>37</v>
      </c>
      <c r="F1313" s="9">
        <v>45700.708333333336</v>
      </c>
      <c r="G1313">
        <v>18.57</v>
      </c>
      <c r="H1313" s="9">
        <v>45702.708333333336</v>
      </c>
      <c r="I1313">
        <v>19.53</v>
      </c>
      <c r="J1313">
        <v>361.59</v>
      </c>
      <c r="K1313" s="12">
        <v>6714.79</v>
      </c>
      <c r="L1313">
        <v>10.33</v>
      </c>
      <c r="M1313">
        <v>336.79</v>
      </c>
      <c r="N1313" s="13">
        <v>5.0200000000000002E-2</v>
      </c>
      <c r="O1313" t="s">
        <v>38</v>
      </c>
      <c r="Q1313">
        <f t="shared" si="334"/>
        <v>347.12640000000027</v>
      </c>
      <c r="R1313">
        <f t="shared" si="335"/>
        <v>336.79640000000029</v>
      </c>
      <c r="S1313">
        <f t="shared" si="336"/>
        <v>7061.8527000000004</v>
      </c>
      <c r="U1313">
        <f t="shared" si="323"/>
        <v>88.852988999999994</v>
      </c>
      <c r="V1313">
        <f t="shared" si="337"/>
        <v>1650.0000057299999</v>
      </c>
      <c r="W1313">
        <f t="shared" si="324"/>
        <v>85.298869440000075</v>
      </c>
      <c r="X1313">
        <f t="shared" si="325"/>
        <v>3.3852988808999998</v>
      </c>
      <c r="Y1313">
        <f t="shared" si="326"/>
        <v>81.91357055910008</v>
      </c>
      <c r="Z1313">
        <f t="shared" si="327"/>
        <v>20990.04305131971</v>
      </c>
      <c r="AB1313">
        <f t="shared" si="328"/>
        <v>115.553573</v>
      </c>
      <c r="AC1313">
        <f t="shared" si="329"/>
        <v>2145.82985061</v>
      </c>
      <c r="AD1313">
        <f t="shared" si="330"/>
        <v>110.9314300800001</v>
      </c>
      <c r="AE1313">
        <f t="shared" si="331"/>
        <v>4.4025911313000003</v>
      </c>
      <c r="AF1313">
        <f t="shared" si="332"/>
        <v>106.5288389487001</v>
      </c>
      <c r="AG1313">
        <f t="shared" si="322"/>
        <v>21564.827422147195</v>
      </c>
      <c r="AH1313" t="b">
        <f t="shared" si="333"/>
        <v>1</v>
      </c>
    </row>
    <row r="1314" spans="4:34" hidden="1" x14ac:dyDescent="0.4">
      <c r="D1314" t="s">
        <v>53</v>
      </c>
      <c r="E1314" t="s">
        <v>37</v>
      </c>
      <c r="F1314" s="9">
        <v>45700.625</v>
      </c>
      <c r="G1314">
        <v>648.14</v>
      </c>
      <c r="H1314" s="9">
        <v>45702.625</v>
      </c>
      <c r="I1314">
        <v>667.49</v>
      </c>
      <c r="J1314">
        <v>13.913</v>
      </c>
      <c r="K1314" s="12">
        <v>9017.8799999999992</v>
      </c>
      <c r="L1314">
        <v>13.73</v>
      </c>
      <c r="M1314">
        <v>255.49</v>
      </c>
      <c r="N1314" s="13">
        <v>2.8299999999999999E-2</v>
      </c>
      <c r="O1314" t="s">
        <v>38</v>
      </c>
      <c r="Q1314">
        <f t="shared" si="334"/>
        <v>269.21655000000032</v>
      </c>
      <c r="R1314">
        <f t="shared" si="335"/>
        <v>255.48655000000034</v>
      </c>
      <c r="S1314">
        <f t="shared" si="336"/>
        <v>9286.7883700000002</v>
      </c>
      <c r="U1314">
        <f t="shared" si="323"/>
        <v>2.5457459999999998</v>
      </c>
      <c r="V1314">
        <f t="shared" si="337"/>
        <v>1649.9998124399999</v>
      </c>
      <c r="W1314">
        <f t="shared" si="324"/>
        <v>49.260185100000058</v>
      </c>
      <c r="X1314">
        <f t="shared" si="325"/>
        <v>3.3492598099799999</v>
      </c>
      <c r="Y1314">
        <f t="shared" si="326"/>
        <v>45.91092529002006</v>
      </c>
      <c r="Z1314">
        <f t="shared" si="327"/>
        <v>20908.12948076061</v>
      </c>
      <c r="AB1314">
        <f t="shared" si="328"/>
        <v>3.3015639999999999</v>
      </c>
      <c r="AC1314">
        <f t="shared" si="329"/>
        <v>2139.8756909599997</v>
      </c>
      <c r="AD1314">
        <f t="shared" si="330"/>
        <v>63.885263400000071</v>
      </c>
      <c r="AE1314">
        <f t="shared" si="331"/>
        <v>4.3436366453200002</v>
      </c>
      <c r="AF1314">
        <f t="shared" si="332"/>
        <v>59.541626754680067</v>
      </c>
      <c r="AG1314">
        <f t="shared" si="322"/>
        <v>21458.298583198495</v>
      </c>
      <c r="AH1314" t="b">
        <f t="shared" si="333"/>
        <v>1</v>
      </c>
    </row>
    <row r="1315" spans="4:34" hidden="1" x14ac:dyDescent="0.4">
      <c r="D1315" t="s">
        <v>43</v>
      </c>
      <c r="E1315" t="s">
        <v>37</v>
      </c>
      <c r="F1315" s="9">
        <v>45700.25</v>
      </c>
      <c r="G1315">
        <v>3.2757000000000001</v>
      </c>
      <c r="H1315" s="9">
        <v>45702.25</v>
      </c>
      <c r="I1315">
        <v>3.4805999999999999</v>
      </c>
      <c r="J1315">
        <v>521.4</v>
      </c>
      <c r="K1315" s="12">
        <v>1708.02</v>
      </c>
      <c r="L1315">
        <v>2.64</v>
      </c>
      <c r="M1315">
        <v>104.19</v>
      </c>
      <c r="N1315" s="13">
        <v>6.0999999999999999E-2</v>
      </c>
      <c r="O1315" t="s">
        <v>38</v>
      </c>
      <c r="Q1315">
        <f t="shared" si="334"/>
        <v>106.83485999999992</v>
      </c>
      <c r="R1315">
        <f t="shared" si="335"/>
        <v>104.19485999999992</v>
      </c>
      <c r="S1315">
        <f t="shared" si="336"/>
        <v>1814.7848399999998</v>
      </c>
      <c r="U1315">
        <f t="shared" si="323"/>
        <v>503.70913100000001</v>
      </c>
      <c r="V1315">
        <f t="shared" si="337"/>
        <v>1650.0000004167</v>
      </c>
      <c r="W1315">
        <f t="shared" si="324"/>
        <v>103.21000094189993</v>
      </c>
      <c r="X1315">
        <f t="shared" si="325"/>
        <v>3.4032100017753</v>
      </c>
      <c r="Y1315">
        <f t="shared" si="326"/>
        <v>99.806790940124628</v>
      </c>
      <c r="Z1315">
        <f t="shared" si="327"/>
        <v>20862.21855547059</v>
      </c>
      <c r="AB1315">
        <f t="shared" si="328"/>
        <v>649.32980299999997</v>
      </c>
      <c r="AC1315">
        <f t="shared" si="329"/>
        <v>2127.0096356870999</v>
      </c>
      <c r="AD1315">
        <f t="shared" si="330"/>
        <v>133.04767663469991</v>
      </c>
      <c r="AE1315">
        <f t="shared" si="331"/>
        <v>4.3870669480088997</v>
      </c>
      <c r="AF1315">
        <f t="shared" si="332"/>
        <v>128.660609686691</v>
      </c>
      <c r="AG1315">
        <f t="shared" si="322"/>
        <v>21398.756956443816</v>
      </c>
      <c r="AH1315" t="b">
        <f t="shared" si="333"/>
        <v>1</v>
      </c>
    </row>
    <row r="1316" spans="4:34" hidden="1" x14ac:dyDescent="0.4">
      <c r="D1316" t="s">
        <v>55</v>
      </c>
      <c r="E1316" t="s">
        <v>37</v>
      </c>
      <c r="F1316" s="9">
        <v>45700.25</v>
      </c>
      <c r="G1316">
        <v>7.5409999999999998E-5</v>
      </c>
      <c r="H1316" s="9">
        <v>45702.25</v>
      </c>
      <c r="I1316">
        <v>7.7799999999999994E-5</v>
      </c>
      <c r="J1316" s="12">
        <v>79054596.260000005</v>
      </c>
      <c r="K1316" s="12">
        <v>5961.51</v>
      </c>
      <c r="L1316">
        <v>9.08</v>
      </c>
      <c r="M1316">
        <v>179.86</v>
      </c>
      <c r="N1316" s="13">
        <v>3.0200000000000001E-2</v>
      </c>
      <c r="O1316" t="s">
        <v>38</v>
      </c>
      <c r="Q1316">
        <f t="shared" si="334"/>
        <v>188.94048506139967</v>
      </c>
      <c r="R1316">
        <f t="shared" si="335"/>
        <v>179.86048506139966</v>
      </c>
      <c r="S1316">
        <f t="shared" si="336"/>
        <v>6150.447589028</v>
      </c>
      <c r="U1316">
        <f t="shared" si="323"/>
        <v>21880387.21655</v>
      </c>
      <c r="V1316">
        <f t="shared" si="337"/>
        <v>1650.0000000000355</v>
      </c>
      <c r="W1316">
        <f t="shared" si="324"/>
        <v>52.294125447554407</v>
      </c>
      <c r="X1316">
        <f t="shared" si="325"/>
        <v>3.3522941254476253</v>
      </c>
      <c r="Y1316">
        <f t="shared" si="326"/>
        <v>48.941831322106779</v>
      </c>
      <c r="Z1316">
        <f t="shared" si="327"/>
        <v>20762.411764530465</v>
      </c>
      <c r="AB1316">
        <f t="shared" si="328"/>
        <v>28122519.792746</v>
      </c>
      <c r="AC1316">
        <f t="shared" si="329"/>
        <v>2120.7192175709756</v>
      </c>
      <c r="AD1316">
        <f t="shared" si="330"/>
        <v>67.212822304662822</v>
      </c>
      <c r="AE1316">
        <f t="shared" si="331"/>
        <v>4.3086512574466145</v>
      </c>
      <c r="AF1316">
        <f t="shared" si="332"/>
        <v>62.904171047216209</v>
      </c>
      <c r="AG1316">
        <f t="shared" si="322"/>
        <v>21270.096346757124</v>
      </c>
      <c r="AH1316" t="b">
        <f t="shared" si="333"/>
        <v>1</v>
      </c>
    </row>
    <row r="1317" spans="4:34" hidden="1" x14ac:dyDescent="0.4">
      <c r="D1317" t="s">
        <v>61</v>
      </c>
      <c r="E1317" t="s">
        <v>37</v>
      </c>
      <c r="F1317" s="9">
        <v>45700.25</v>
      </c>
      <c r="G1317">
        <v>0.76670000000000005</v>
      </c>
      <c r="H1317" s="9">
        <v>45702.25</v>
      </c>
      <c r="I1317">
        <v>0.79849999999999999</v>
      </c>
      <c r="J1317" s="12">
        <v>9859.6</v>
      </c>
      <c r="K1317" s="12">
        <v>7559.42</v>
      </c>
      <c r="L1317">
        <v>11.57</v>
      </c>
      <c r="M1317">
        <v>301.95999999999998</v>
      </c>
      <c r="N1317" s="13">
        <v>3.9899999999999998E-2</v>
      </c>
      <c r="O1317" t="s">
        <v>38</v>
      </c>
      <c r="Q1317">
        <f t="shared" si="334"/>
        <v>313.53527999999943</v>
      </c>
      <c r="R1317">
        <f t="shared" si="335"/>
        <v>301.96527999999944</v>
      </c>
      <c r="S1317">
        <f t="shared" si="336"/>
        <v>7872.8905999999997</v>
      </c>
      <c r="U1317">
        <f t="shared" si="323"/>
        <v>2152.080344</v>
      </c>
      <c r="V1317">
        <f t="shared" si="337"/>
        <v>1649.9999997448001</v>
      </c>
      <c r="W1317">
        <f t="shared" si="324"/>
        <v>68.436154939199866</v>
      </c>
      <c r="X1317">
        <f t="shared" si="325"/>
        <v>3.3684361544287995</v>
      </c>
      <c r="Y1317">
        <f t="shared" si="326"/>
        <v>65.067718784771074</v>
      </c>
      <c r="Z1317">
        <f t="shared" si="327"/>
        <v>20713.469933208358</v>
      </c>
      <c r="AB1317">
        <f t="shared" si="328"/>
        <v>2755.1702300000002</v>
      </c>
      <c r="AC1317">
        <f t="shared" si="329"/>
        <v>2112.3890153410002</v>
      </c>
      <c r="AD1317">
        <f t="shared" si="330"/>
        <v>87.614413313999833</v>
      </c>
      <c r="AE1317">
        <f t="shared" si="331"/>
        <v>4.312392443996</v>
      </c>
      <c r="AF1317">
        <f t="shared" si="332"/>
        <v>83.30202087000383</v>
      </c>
      <c r="AG1317">
        <f t="shared" si="322"/>
        <v>21207.192175709908</v>
      </c>
      <c r="AH1317" t="b">
        <f t="shared" si="333"/>
        <v>1</v>
      </c>
    </row>
    <row r="1318" spans="4:34" hidden="1" x14ac:dyDescent="0.4">
      <c r="D1318" t="s">
        <v>52</v>
      </c>
      <c r="E1318" t="s">
        <v>37</v>
      </c>
      <c r="F1318" s="9">
        <v>45699.375</v>
      </c>
      <c r="G1318">
        <v>7.3970000000000002</v>
      </c>
      <c r="H1318" s="9">
        <v>45701.375</v>
      </c>
      <c r="I1318">
        <v>7.1630000000000003</v>
      </c>
      <c r="J1318">
        <v>314.04000000000002</v>
      </c>
      <c r="K1318" s="12">
        <v>2322.96</v>
      </c>
      <c r="L1318">
        <v>3.43</v>
      </c>
      <c r="M1318">
        <v>-76.91</v>
      </c>
      <c r="N1318" s="13">
        <v>-3.3099999999999997E-2</v>
      </c>
      <c r="O1318" t="s">
        <v>38</v>
      </c>
      <c r="Q1318">
        <f t="shared" si="334"/>
        <v>-73.48536</v>
      </c>
      <c r="R1318">
        <f t="shared" si="335"/>
        <v>-76.915360000000007</v>
      </c>
      <c r="S1318">
        <f t="shared" si="336"/>
        <v>2249.4685200000004</v>
      </c>
      <c r="U1318">
        <f t="shared" si="323"/>
        <v>223.06340399999999</v>
      </c>
      <c r="V1318">
        <f t="shared" si="337"/>
        <v>1649.9999993879999</v>
      </c>
      <c r="W1318">
        <f t="shared" si="324"/>
        <v>-52.196836535999992</v>
      </c>
      <c r="X1318">
        <f t="shared" si="325"/>
        <v>3.2478031622399999</v>
      </c>
      <c r="Y1318">
        <f t="shared" si="326"/>
        <v>-55.444639698239989</v>
      </c>
      <c r="Z1318">
        <f t="shared" si="327"/>
        <v>20648.402214423586</v>
      </c>
      <c r="AB1318">
        <f t="shared" si="328"/>
        <v>286.53659199999998</v>
      </c>
      <c r="AC1318">
        <f t="shared" si="329"/>
        <v>2119.5111710239999</v>
      </c>
      <c r="AD1318">
        <f t="shared" si="330"/>
        <v>-67.049562527999996</v>
      </c>
      <c r="AE1318">
        <f t="shared" si="331"/>
        <v>4.1719727795199999</v>
      </c>
      <c r="AF1318">
        <f t="shared" si="332"/>
        <v>-71.22153530752</v>
      </c>
      <c r="AG1318">
        <f t="shared" si="322"/>
        <v>21123.890154839904</v>
      </c>
      <c r="AH1318" t="b">
        <f t="shared" si="333"/>
        <v>1</v>
      </c>
    </row>
    <row r="1319" spans="4:34" hidden="1" x14ac:dyDescent="0.4">
      <c r="D1319" t="s">
        <v>48</v>
      </c>
      <c r="E1319" t="s">
        <v>37</v>
      </c>
      <c r="F1319" s="9">
        <v>45699.25</v>
      </c>
      <c r="G1319">
        <v>0.3634</v>
      </c>
      <c r="H1319" s="9">
        <v>45701.25</v>
      </c>
      <c r="I1319">
        <v>0.35749999999999998</v>
      </c>
      <c r="J1319" s="12">
        <v>7830</v>
      </c>
      <c r="K1319" s="12">
        <v>2845.44</v>
      </c>
      <c r="L1319">
        <v>4.2300000000000004</v>
      </c>
      <c r="M1319">
        <v>-50.43</v>
      </c>
      <c r="N1319" s="13">
        <v>-1.77E-2</v>
      </c>
      <c r="O1319" t="s">
        <v>38</v>
      </c>
      <c r="Q1319">
        <f t="shared" si="334"/>
        <v>-46.197000000000131</v>
      </c>
      <c r="R1319">
        <f t="shared" si="335"/>
        <v>-50.427000000000135</v>
      </c>
      <c r="S1319">
        <f t="shared" si="336"/>
        <v>2799.2249999999999</v>
      </c>
      <c r="U1319">
        <f t="shared" si="323"/>
        <v>4540.4512930000001</v>
      </c>
      <c r="V1319">
        <f t="shared" si="337"/>
        <v>1649.9999998762</v>
      </c>
      <c r="W1319">
        <f t="shared" si="324"/>
        <v>-26.788662628700074</v>
      </c>
      <c r="X1319">
        <f t="shared" si="325"/>
        <v>3.2732113371236999</v>
      </c>
      <c r="Y1319">
        <f t="shared" si="326"/>
        <v>-30.061873965823775</v>
      </c>
      <c r="Z1319">
        <f t="shared" si="327"/>
        <v>20703.846854121824</v>
      </c>
      <c r="AB1319">
        <f t="shared" si="328"/>
        <v>5843.0925209999996</v>
      </c>
      <c r="AC1319">
        <f t="shared" si="329"/>
        <v>2123.3798221314</v>
      </c>
      <c r="AD1319">
        <f t="shared" si="330"/>
        <v>-34.474245873900095</v>
      </c>
      <c r="AE1319">
        <f t="shared" si="331"/>
        <v>4.2122853983889001</v>
      </c>
      <c r="AF1319">
        <f t="shared" si="332"/>
        <v>-38.686531272288995</v>
      </c>
      <c r="AG1319">
        <f t="shared" si="322"/>
        <v>21195.111690147423</v>
      </c>
      <c r="AH1319" t="b">
        <f t="shared" si="333"/>
        <v>1</v>
      </c>
    </row>
    <row r="1320" spans="4:34" hidden="1" x14ac:dyDescent="0.4">
      <c r="D1320" t="s">
        <v>50</v>
      </c>
      <c r="E1320" t="s">
        <v>37</v>
      </c>
      <c r="F1320" s="9">
        <v>45698.75</v>
      </c>
      <c r="G1320">
        <v>393.7</v>
      </c>
      <c r="H1320" s="9">
        <v>45700.75</v>
      </c>
      <c r="I1320">
        <v>407.2</v>
      </c>
      <c r="J1320">
        <v>28.818999999999999</v>
      </c>
      <c r="K1320" s="12">
        <v>11346.06</v>
      </c>
      <c r="L1320">
        <v>17.309999999999999</v>
      </c>
      <c r="M1320">
        <v>371.75</v>
      </c>
      <c r="N1320" s="13">
        <v>3.2800000000000003E-2</v>
      </c>
      <c r="O1320" t="s">
        <v>38</v>
      </c>
      <c r="Q1320">
        <f t="shared" si="334"/>
        <v>389.05649999999997</v>
      </c>
      <c r="R1320">
        <f t="shared" si="335"/>
        <v>371.74649999999997</v>
      </c>
      <c r="S1320">
        <f t="shared" si="336"/>
        <v>11735.096799999999</v>
      </c>
      <c r="U1320">
        <f t="shared" si="323"/>
        <v>4.1910080000000001</v>
      </c>
      <c r="V1320">
        <f t="shared" si="337"/>
        <v>1649.9998496000001</v>
      </c>
      <c r="W1320">
        <f t="shared" si="324"/>
        <v>56.578608000000003</v>
      </c>
      <c r="X1320">
        <f t="shared" si="325"/>
        <v>3.3565783071999999</v>
      </c>
      <c r="Y1320">
        <f t="shared" si="326"/>
        <v>53.2220296928</v>
      </c>
      <c r="Z1320">
        <f t="shared" si="327"/>
        <v>20733.908728087648</v>
      </c>
      <c r="AB1320">
        <f t="shared" si="328"/>
        <v>5.376055</v>
      </c>
      <c r="AC1320">
        <f t="shared" si="329"/>
        <v>2116.5528534999999</v>
      </c>
      <c r="AD1320">
        <f t="shared" si="330"/>
        <v>72.576742499999995</v>
      </c>
      <c r="AE1320">
        <f t="shared" si="331"/>
        <v>4.3056824494999999</v>
      </c>
      <c r="AF1320">
        <f t="shared" si="332"/>
        <v>68.271060050499997</v>
      </c>
      <c r="AG1320">
        <f t="shared" si="322"/>
        <v>21233.798221419711</v>
      </c>
      <c r="AH1320" t="b">
        <f t="shared" si="333"/>
        <v>1</v>
      </c>
    </row>
    <row r="1321" spans="4:34" hidden="1" x14ac:dyDescent="0.4">
      <c r="D1321" t="s">
        <v>60</v>
      </c>
      <c r="E1321" t="s">
        <v>37</v>
      </c>
      <c r="F1321" s="9">
        <v>45698.166666666664</v>
      </c>
      <c r="G1321">
        <v>2.3833000000000002</v>
      </c>
      <c r="H1321" s="9">
        <v>45700.666666666664</v>
      </c>
      <c r="I1321">
        <v>2.4001999999999999</v>
      </c>
      <c r="J1321">
        <v>862.7</v>
      </c>
      <c r="K1321" s="12">
        <v>2056.09</v>
      </c>
      <c r="L1321">
        <v>3.1</v>
      </c>
      <c r="M1321">
        <v>11.48</v>
      </c>
      <c r="N1321" s="13">
        <v>5.5999999999999999E-3</v>
      </c>
      <c r="O1321" t="s">
        <v>57</v>
      </c>
      <c r="Q1321">
        <f t="shared" si="334"/>
        <v>14.579629999999735</v>
      </c>
      <c r="R1321">
        <f t="shared" si="335"/>
        <v>11.479629999999736</v>
      </c>
      <c r="S1321">
        <f t="shared" si="336"/>
        <v>2070.65254</v>
      </c>
      <c r="U1321">
        <f t="shared" si="323"/>
        <v>692.31737499999997</v>
      </c>
      <c r="V1321">
        <f t="shared" si="337"/>
        <v>1649.9999998375001</v>
      </c>
      <c r="W1321">
        <f t="shared" si="324"/>
        <v>11.700163637499786</v>
      </c>
      <c r="X1321">
        <f t="shared" si="325"/>
        <v>3.3117001633125001</v>
      </c>
      <c r="Y1321">
        <f t="shared" si="326"/>
        <v>8.3884634741872866</v>
      </c>
      <c r="Z1321">
        <f t="shared" si="327"/>
        <v>20680.686698394849</v>
      </c>
      <c r="AB1321">
        <f t="shared" si="328"/>
        <v>887.62523599999997</v>
      </c>
      <c r="AC1321">
        <f t="shared" si="329"/>
        <v>2115.4772249588</v>
      </c>
      <c r="AD1321">
        <f t="shared" si="330"/>
        <v>15.000866488399726</v>
      </c>
      <c r="AE1321">
        <f t="shared" si="331"/>
        <v>4.2459553164060004</v>
      </c>
      <c r="AF1321">
        <f t="shared" si="332"/>
        <v>10.754911171993726</v>
      </c>
      <c r="AG1321">
        <f t="shared" si="322"/>
        <v>21165.527161369209</v>
      </c>
      <c r="AH1321" t="b">
        <f t="shared" si="333"/>
        <v>1</v>
      </c>
    </row>
    <row r="1322" spans="4:34" hidden="1" x14ac:dyDescent="0.4">
      <c r="D1322" t="s">
        <v>56</v>
      </c>
      <c r="E1322" t="s">
        <v>37</v>
      </c>
      <c r="F1322" s="9">
        <v>45698.166666666664</v>
      </c>
      <c r="G1322" s="12">
        <v>2626.33</v>
      </c>
      <c r="H1322" s="9">
        <v>45700.625</v>
      </c>
      <c r="I1322" s="12">
        <v>2545.92</v>
      </c>
      <c r="J1322">
        <v>2.0005000000000002</v>
      </c>
      <c r="K1322" s="12">
        <v>5254.19</v>
      </c>
      <c r="L1322">
        <v>7.76</v>
      </c>
      <c r="M1322">
        <v>-168.61</v>
      </c>
      <c r="N1322" s="13">
        <v>-3.2099999999999997E-2</v>
      </c>
      <c r="O1322" t="s">
        <v>49</v>
      </c>
      <c r="Q1322">
        <f t="shared" si="334"/>
        <v>-160.86020499999972</v>
      </c>
      <c r="R1322">
        <f t="shared" si="335"/>
        <v>-168.62020499999971</v>
      </c>
      <c r="S1322">
        <f t="shared" si="336"/>
        <v>5093.1129600000004</v>
      </c>
      <c r="U1322">
        <f t="shared" si="323"/>
        <v>0.62825299999999995</v>
      </c>
      <c r="V1322">
        <f t="shared" si="337"/>
        <v>1649.9997014899998</v>
      </c>
      <c r="W1322">
        <f t="shared" si="324"/>
        <v>-50.517823729999904</v>
      </c>
      <c r="X1322">
        <f t="shared" si="325"/>
        <v>3.2494815792499998</v>
      </c>
      <c r="Y1322">
        <f t="shared" si="326"/>
        <v>-53.767305309249906</v>
      </c>
      <c r="Z1322">
        <f t="shared" si="327"/>
        <v>20672.298234920661</v>
      </c>
      <c r="AB1322">
        <f t="shared" si="328"/>
        <v>0.80812099999999998</v>
      </c>
      <c r="AC1322">
        <f t="shared" si="329"/>
        <v>2122.3924259299997</v>
      </c>
      <c r="AD1322">
        <f t="shared" si="330"/>
        <v>-64.981009609999887</v>
      </c>
      <c r="AE1322">
        <f t="shared" si="331"/>
        <v>4.1798038422500001</v>
      </c>
      <c r="AF1322">
        <f t="shared" si="332"/>
        <v>-69.160813452249883</v>
      </c>
      <c r="AG1322">
        <f t="shared" ref="AG1322:AG1385" si="338">AG1323*AH1322 + (1-AH1322)*AI1322+AF1322</f>
        <v>21154.772250197217</v>
      </c>
      <c r="AH1322" t="b">
        <f t="shared" si="333"/>
        <v>1</v>
      </c>
    </row>
    <row r="1323" spans="4:34" hidden="1" x14ac:dyDescent="0.4">
      <c r="D1323" t="s">
        <v>53</v>
      </c>
      <c r="E1323" t="s">
        <v>37</v>
      </c>
      <c r="F1323" s="9">
        <v>45698.458333333336</v>
      </c>
      <c r="G1323">
        <v>605.85</v>
      </c>
      <c r="H1323" s="9">
        <v>45700.458333333336</v>
      </c>
      <c r="I1323">
        <v>647.94000000000005</v>
      </c>
      <c r="J1323">
        <v>14.784000000000001</v>
      </c>
      <c r="K1323" s="12">
        <v>8957.0499999999993</v>
      </c>
      <c r="L1323">
        <v>13.9</v>
      </c>
      <c r="M1323">
        <v>608.36</v>
      </c>
      <c r="N1323" s="13">
        <v>6.7900000000000002E-2</v>
      </c>
      <c r="O1323" t="s">
        <v>38</v>
      </c>
      <c r="Q1323">
        <f t="shared" si="334"/>
        <v>622.25856000000044</v>
      </c>
      <c r="R1323">
        <f t="shared" si="335"/>
        <v>608.35856000000047</v>
      </c>
      <c r="S1323">
        <f t="shared" si="336"/>
        <v>9579.1449600000014</v>
      </c>
      <c r="U1323">
        <f t="shared" si="323"/>
        <v>2.723446</v>
      </c>
      <c r="V1323">
        <f t="shared" si="337"/>
        <v>1649.9997591000001</v>
      </c>
      <c r="W1323">
        <f t="shared" si="324"/>
        <v>114.62984214000009</v>
      </c>
      <c r="X1323">
        <f t="shared" si="325"/>
        <v>3.4146293603399998</v>
      </c>
      <c r="Y1323">
        <f t="shared" si="326"/>
        <v>111.21521277966009</v>
      </c>
      <c r="Z1323">
        <f t="shared" si="327"/>
        <v>20726.065540229913</v>
      </c>
      <c r="AB1323">
        <f t="shared" si="328"/>
        <v>3.4797120000000001</v>
      </c>
      <c r="AC1323">
        <f t="shared" si="329"/>
        <v>2108.1835152000003</v>
      </c>
      <c r="AD1323">
        <f t="shared" si="330"/>
        <v>146.46107808000011</v>
      </c>
      <c r="AE1323">
        <f t="shared" si="331"/>
        <v>4.3628281084800005</v>
      </c>
      <c r="AF1323">
        <f t="shared" si="332"/>
        <v>142.09824997152012</v>
      </c>
      <c r="AG1323">
        <f t="shared" si="338"/>
        <v>21223.933063649467</v>
      </c>
      <c r="AH1323" t="b">
        <f t="shared" si="333"/>
        <v>1</v>
      </c>
    </row>
    <row r="1324" spans="4:34" hidden="1" x14ac:dyDescent="0.4">
      <c r="D1324" t="s">
        <v>43</v>
      </c>
      <c r="E1324" t="s">
        <v>37</v>
      </c>
      <c r="F1324" s="9">
        <v>45698.166666666664</v>
      </c>
      <c r="G1324">
        <v>3.0895000000000001</v>
      </c>
      <c r="H1324" s="9">
        <v>45700.166666666664</v>
      </c>
      <c r="I1324">
        <v>3.2528000000000001</v>
      </c>
      <c r="J1324">
        <v>550</v>
      </c>
      <c r="K1324" s="12">
        <v>1699.31</v>
      </c>
      <c r="L1324">
        <v>2.62</v>
      </c>
      <c r="M1324">
        <v>87.2</v>
      </c>
      <c r="N1324" s="13">
        <v>5.1299999999999998E-2</v>
      </c>
      <c r="O1324" t="s">
        <v>38</v>
      </c>
      <c r="Q1324">
        <f t="shared" si="334"/>
        <v>89.814999999999998</v>
      </c>
      <c r="R1324">
        <f t="shared" si="335"/>
        <v>87.194999999999993</v>
      </c>
      <c r="S1324">
        <f t="shared" si="336"/>
        <v>1789.04</v>
      </c>
      <c r="U1324">
        <f t="shared" si="323"/>
        <v>534.067001</v>
      </c>
      <c r="V1324">
        <f t="shared" si="337"/>
        <v>1649.9999995895</v>
      </c>
      <c r="W1324">
        <f t="shared" si="324"/>
        <v>87.213141263300002</v>
      </c>
      <c r="X1324">
        <f t="shared" si="325"/>
        <v>3.3872131404423</v>
      </c>
      <c r="Y1324">
        <f t="shared" si="326"/>
        <v>83.825928122857704</v>
      </c>
      <c r="Z1324">
        <f t="shared" si="327"/>
        <v>20614.850327450251</v>
      </c>
      <c r="AB1324">
        <f t="shared" si="328"/>
        <v>678.92127800000003</v>
      </c>
      <c r="AC1324">
        <f t="shared" si="329"/>
        <v>2097.5272883810003</v>
      </c>
      <c r="AD1324">
        <f t="shared" si="330"/>
        <v>110.8678446974</v>
      </c>
      <c r="AE1324">
        <f t="shared" si="331"/>
        <v>4.3059224214594005</v>
      </c>
      <c r="AF1324">
        <f t="shared" si="332"/>
        <v>106.5619222759406</v>
      </c>
      <c r="AG1324">
        <f t="shared" si="338"/>
        <v>21081.834813677946</v>
      </c>
      <c r="AH1324" t="b">
        <f t="shared" si="333"/>
        <v>1</v>
      </c>
    </row>
    <row r="1325" spans="4:34" hidden="1" x14ac:dyDescent="0.4">
      <c r="D1325" t="s">
        <v>55</v>
      </c>
      <c r="E1325" t="s">
        <v>37</v>
      </c>
      <c r="F1325" s="9">
        <v>45698.166666666664</v>
      </c>
      <c r="G1325">
        <v>6.9820000000000006E-5</v>
      </c>
      <c r="H1325" s="9">
        <v>45700.166666666664</v>
      </c>
      <c r="I1325">
        <v>7.538E-5</v>
      </c>
      <c r="J1325" s="12">
        <v>84722486.819999993</v>
      </c>
      <c r="K1325" s="12">
        <v>5915.32</v>
      </c>
      <c r="L1325">
        <v>9.23</v>
      </c>
      <c r="M1325">
        <v>461.83</v>
      </c>
      <c r="N1325" s="13">
        <v>7.8100000000000003E-2</v>
      </c>
      <c r="O1325" t="s">
        <v>38</v>
      </c>
      <c r="Q1325">
        <f t="shared" si="334"/>
        <v>471.05702671919948</v>
      </c>
      <c r="R1325">
        <f t="shared" si="335"/>
        <v>461.82702671919947</v>
      </c>
      <c r="S1325">
        <f t="shared" si="336"/>
        <v>6386.3810564915993</v>
      </c>
      <c r="U1325">
        <f t="shared" si="323"/>
        <v>23632197.078201</v>
      </c>
      <c r="V1325">
        <f t="shared" si="337"/>
        <v>1649.9999999999939</v>
      </c>
      <c r="W1325">
        <f t="shared" si="324"/>
        <v>131.39501575479741</v>
      </c>
      <c r="X1325">
        <f t="shared" si="325"/>
        <v>3.4313950157547852</v>
      </c>
      <c r="Y1325">
        <f t="shared" si="326"/>
        <v>127.96362073904263</v>
      </c>
      <c r="Z1325">
        <f t="shared" si="327"/>
        <v>20531.024399327394</v>
      </c>
      <c r="AB1325">
        <f t="shared" si="328"/>
        <v>29810732.934273001</v>
      </c>
      <c r="AC1325">
        <f t="shared" si="329"/>
        <v>2081.385373470941</v>
      </c>
      <c r="AD1325">
        <f t="shared" si="330"/>
        <v>165.74767511455772</v>
      </c>
      <c r="AE1325">
        <f t="shared" si="331"/>
        <v>4.3285184220564394</v>
      </c>
      <c r="AF1325">
        <f t="shared" si="332"/>
        <v>161.41915669250128</v>
      </c>
      <c r="AG1325">
        <f t="shared" si="338"/>
        <v>20975.272891402004</v>
      </c>
      <c r="AH1325" t="b">
        <f t="shared" si="333"/>
        <v>1</v>
      </c>
    </row>
    <row r="1326" spans="4:34" hidden="1" x14ac:dyDescent="0.4">
      <c r="D1326" t="s">
        <v>61</v>
      </c>
      <c r="E1326" t="s">
        <v>37</v>
      </c>
      <c r="F1326" s="9">
        <v>45698.166666666664</v>
      </c>
      <c r="G1326">
        <v>0.68710000000000004</v>
      </c>
      <c r="H1326" s="9">
        <v>45700.166666666664</v>
      </c>
      <c r="I1326">
        <v>0.76329999999999998</v>
      </c>
      <c r="J1326" s="12">
        <v>10882.9</v>
      </c>
      <c r="K1326" s="12">
        <v>7477.68</v>
      </c>
      <c r="L1326">
        <v>11.84</v>
      </c>
      <c r="M1326">
        <v>817.44</v>
      </c>
      <c r="N1326" s="13">
        <v>0.10929999999999999</v>
      </c>
      <c r="O1326" t="s">
        <v>38</v>
      </c>
      <c r="Q1326">
        <f t="shared" si="334"/>
        <v>829.2769799999993</v>
      </c>
      <c r="R1326">
        <f t="shared" si="335"/>
        <v>817.43697999999927</v>
      </c>
      <c r="S1326">
        <f t="shared" si="336"/>
        <v>8306.9175699999996</v>
      </c>
      <c r="U1326">
        <f t="shared" si="323"/>
        <v>2401.3971769999998</v>
      </c>
      <c r="V1326">
        <f t="shared" si="337"/>
        <v>1650.0000003166999</v>
      </c>
      <c r="W1326">
        <f t="shared" si="324"/>
        <v>182.98646488739982</v>
      </c>
      <c r="X1326">
        <f t="shared" si="325"/>
        <v>3.4829864655208</v>
      </c>
      <c r="Y1326">
        <f t="shared" si="326"/>
        <v>179.50347842187901</v>
      </c>
      <c r="Z1326">
        <f t="shared" si="327"/>
        <v>20403.060778588351</v>
      </c>
      <c r="AB1326">
        <f t="shared" si="328"/>
        <v>2996.6317439999998</v>
      </c>
      <c r="AC1326">
        <f t="shared" si="329"/>
        <v>2058.9856713024001</v>
      </c>
      <c r="AD1326">
        <f t="shared" si="330"/>
        <v>228.34333889279978</v>
      </c>
      <c r="AE1326">
        <f t="shared" si="331"/>
        <v>4.3463146814976001</v>
      </c>
      <c r="AF1326">
        <f t="shared" si="332"/>
        <v>223.99702421130218</v>
      </c>
      <c r="AG1326">
        <f t="shared" si="338"/>
        <v>20813.853734709504</v>
      </c>
      <c r="AH1326" t="b">
        <f t="shared" si="333"/>
        <v>1</v>
      </c>
    </row>
    <row r="1327" spans="4:34" hidden="1" x14ac:dyDescent="0.4">
      <c r="D1327" t="s">
        <v>59</v>
      </c>
      <c r="E1327" t="s">
        <v>37</v>
      </c>
      <c r="F1327" s="9">
        <v>45697.666666666664</v>
      </c>
      <c r="G1327" s="12">
        <v>96504.28</v>
      </c>
      <c r="H1327" s="9">
        <v>45700.166666666664</v>
      </c>
      <c r="I1327" s="12">
        <v>95283.99</v>
      </c>
      <c r="J1327">
        <v>0.10342999999999999</v>
      </c>
      <c r="K1327" s="12">
        <v>9981.75</v>
      </c>
      <c r="L1327">
        <v>14.88</v>
      </c>
      <c r="M1327">
        <v>-141.09</v>
      </c>
      <c r="N1327" s="13">
        <v>-1.41E-2</v>
      </c>
      <c r="O1327" t="s">
        <v>57</v>
      </c>
      <c r="Q1327">
        <f t="shared" si="334"/>
        <v>-126.21459469999932</v>
      </c>
      <c r="R1327">
        <f t="shared" si="335"/>
        <v>-141.09459469999933</v>
      </c>
      <c r="S1327">
        <f t="shared" si="336"/>
        <v>9855.2230856999995</v>
      </c>
      <c r="U1327">
        <f t="shared" si="323"/>
        <v>1.7097999999999999E-2</v>
      </c>
      <c r="V1327">
        <f t="shared" si="337"/>
        <v>1650.0301794399998</v>
      </c>
      <c r="W1327">
        <f t="shared" si="324"/>
        <v>-20.864518419999889</v>
      </c>
      <c r="X1327">
        <f t="shared" si="325"/>
        <v>3.2791958404599999</v>
      </c>
      <c r="Y1327">
        <f t="shared" si="326"/>
        <v>-24.143714260459888</v>
      </c>
      <c r="Z1327">
        <f t="shared" si="327"/>
        <v>20223.557300166471</v>
      </c>
      <c r="AB1327">
        <f t="shared" si="328"/>
        <v>2.1367000000000001E-2</v>
      </c>
      <c r="AC1327">
        <f t="shared" si="329"/>
        <v>2062.0069507600001</v>
      </c>
      <c r="AD1327">
        <f t="shared" si="330"/>
        <v>-26.073936429999865</v>
      </c>
      <c r="AE1327">
        <f t="shared" si="331"/>
        <v>4.0979399650900001</v>
      </c>
      <c r="AF1327">
        <f t="shared" si="332"/>
        <v>-30.171876395089864</v>
      </c>
      <c r="AG1327">
        <f t="shared" si="338"/>
        <v>20589.856710498203</v>
      </c>
      <c r="AH1327" t="b">
        <f t="shared" si="333"/>
        <v>1</v>
      </c>
    </row>
    <row r="1328" spans="4:34" hidden="1" x14ac:dyDescent="0.4">
      <c r="D1328" t="s">
        <v>58</v>
      </c>
      <c r="E1328" t="s">
        <v>37</v>
      </c>
      <c r="F1328" s="9">
        <v>45698.041666666664</v>
      </c>
      <c r="G1328">
        <v>18.45</v>
      </c>
      <c r="H1328" s="9">
        <v>45700.041666666664</v>
      </c>
      <c r="I1328">
        <v>18.829999999999998</v>
      </c>
      <c r="J1328">
        <v>363.25</v>
      </c>
      <c r="K1328" s="12">
        <v>6702</v>
      </c>
      <c r="L1328">
        <v>10.16</v>
      </c>
      <c r="M1328">
        <v>127.88</v>
      </c>
      <c r="N1328" s="13">
        <v>1.9099999999999999E-2</v>
      </c>
      <c r="O1328" t="s">
        <v>38</v>
      </c>
      <c r="Q1328">
        <f t="shared" si="334"/>
        <v>138.03499999999963</v>
      </c>
      <c r="R1328">
        <f t="shared" si="335"/>
        <v>127.87499999999963</v>
      </c>
      <c r="S1328">
        <f t="shared" si="336"/>
        <v>6839.9974999999995</v>
      </c>
      <c r="U1328">
        <f t="shared" si="323"/>
        <v>89.430893999999995</v>
      </c>
      <c r="V1328">
        <f t="shared" si="337"/>
        <v>1649.9999942999998</v>
      </c>
      <c r="W1328">
        <f t="shared" si="324"/>
        <v>33.98373971999991</v>
      </c>
      <c r="X1328">
        <f t="shared" si="325"/>
        <v>3.3339837283199998</v>
      </c>
      <c r="Y1328">
        <f t="shared" si="326"/>
        <v>30.64975599167991</v>
      </c>
      <c r="Z1328">
        <f t="shared" si="327"/>
        <v>20247.70101442693</v>
      </c>
      <c r="AB1328">
        <f t="shared" si="328"/>
        <v>111.554453</v>
      </c>
      <c r="AC1328">
        <f t="shared" si="329"/>
        <v>2058.1796578499998</v>
      </c>
      <c r="AD1328">
        <f t="shared" si="330"/>
        <v>42.390692139999885</v>
      </c>
      <c r="AE1328">
        <f t="shared" si="331"/>
        <v>4.1587500078400002</v>
      </c>
      <c r="AF1328">
        <f t="shared" si="332"/>
        <v>38.231942132159887</v>
      </c>
      <c r="AG1328">
        <f t="shared" si="338"/>
        <v>20620.028586893292</v>
      </c>
      <c r="AH1328" t="b">
        <f t="shared" si="333"/>
        <v>1</v>
      </c>
    </row>
    <row r="1329" spans="4:34" hidden="1" x14ac:dyDescent="0.4">
      <c r="D1329" t="s">
        <v>54</v>
      </c>
      <c r="E1329" t="s">
        <v>37</v>
      </c>
      <c r="F1329" s="9">
        <v>45697.666666666664</v>
      </c>
      <c r="G1329">
        <v>200.72</v>
      </c>
      <c r="H1329" s="9">
        <v>45699.666666666664</v>
      </c>
      <c r="I1329">
        <v>199.47</v>
      </c>
      <c r="J1329">
        <v>22.251999999999999</v>
      </c>
      <c r="K1329" s="12">
        <v>4466.62</v>
      </c>
      <c r="L1329">
        <v>6.68</v>
      </c>
      <c r="M1329">
        <v>-34.49</v>
      </c>
      <c r="N1329" s="13">
        <v>-7.7000000000000002E-3</v>
      </c>
      <c r="O1329" t="s">
        <v>38</v>
      </c>
      <c r="Q1329">
        <f t="shared" si="334"/>
        <v>-27.814999999999998</v>
      </c>
      <c r="R1329">
        <f t="shared" si="335"/>
        <v>-34.494999999999997</v>
      </c>
      <c r="S1329">
        <f t="shared" si="336"/>
        <v>4438.6064399999996</v>
      </c>
      <c r="U1329">
        <f t="shared" si="323"/>
        <v>8.2204069999999998</v>
      </c>
      <c r="V1329">
        <f t="shared" si="337"/>
        <v>1650.0000930399999</v>
      </c>
      <c r="W1329">
        <f t="shared" si="324"/>
        <v>-10.27550875</v>
      </c>
      <c r="X1329">
        <f t="shared" si="325"/>
        <v>3.2897246773299997</v>
      </c>
      <c r="Y1329">
        <f t="shared" si="326"/>
        <v>-13.56523342733</v>
      </c>
      <c r="Z1329">
        <f t="shared" si="327"/>
        <v>20217.051258435251</v>
      </c>
      <c r="AB1329">
        <f t="shared" si="328"/>
        <v>10.262421</v>
      </c>
      <c r="AC1329">
        <f t="shared" si="329"/>
        <v>2059.8731431199999</v>
      </c>
      <c r="AD1329">
        <f t="shared" si="330"/>
        <v>-12.828026250000001</v>
      </c>
      <c r="AE1329">
        <f t="shared" si="331"/>
        <v>4.1069182599899996</v>
      </c>
      <c r="AF1329">
        <f t="shared" si="332"/>
        <v>-16.93494450999</v>
      </c>
      <c r="AG1329">
        <f t="shared" si="338"/>
        <v>20581.796644761132</v>
      </c>
      <c r="AH1329" t="b">
        <f t="shared" si="333"/>
        <v>1</v>
      </c>
    </row>
    <row r="1330" spans="4:34" hidden="1" x14ac:dyDescent="0.4">
      <c r="D1330" t="s">
        <v>52</v>
      </c>
      <c r="E1330" t="s">
        <v>37</v>
      </c>
      <c r="F1330" s="9">
        <v>45697.166666666664</v>
      </c>
      <c r="G1330">
        <v>7.1180000000000003</v>
      </c>
      <c r="H1330" s="9">
        <v>45699.166666666664</v>
      </c>
      <c r="I1330">
        <v>7.1559999999999997</v>
      </c>
      <c r="J1330">
        <v>326.22000000000003</v>
      </c>
      <c r="K1330" s="12">
        <v>2322.0700000000002</v>
      </c>
      <c r="L1330">
        <v>3.49</v>
      </c>
      <c r="M1330">
        <v>8.9</v>
      </c>
      <c r="N1330" s="13">
        <v>3.8E-3</v>
      </c>
      <c r="O1330" t="s">
        <v>38</v>
      </c>
      <c r="Q1330">
        <f t="shared" si="334"/>
        <v>12.396359999999795</v>
      </c>
      <c r="R1330">
        <f t="shared" si="335"/>
        <v>8.9063599999997951</v>
      </c>
      <c r="S1330">
        <f t="shared" si="336"/>
        <v>2334.4303199999999</v>
      </c>
      <c r="U1330">
        <f t="shared" si="323"/>
        <v>231.80668700000001</v>
      </c>
      <c r="V1330">
        <f t="shared" si="337"/>
        <v>1649.9999980660002</v>
      </c>
      <c r="W1330">
        <f t="shared" si="324"/>
        <v>8.8086541059998531</v>
      </c>
      <c r="X1330">
        <f t="shared" si="325"/>
        <v>3.3088086502380007</v>
      </c>
      <c r="Y1330">
        <f t="shared" si="326"/>
        <v>5.4998454557618519</v>
      </c>
      <c r="Z1330">
        <f t="shared" si="327"/>
        <v>20230.61649186258</v>
      </c>
      <c r="AB1330">
        <f t="shared" si="328"/>
        <v>289.292889</v>
      </c>
      <c r="AC1330">
        <f t="shared" si="329"/>
        <v>2059.1867839020001</v>
      </c>
      <c r="AD1330">
        <f t="shared" si="330"/>
        <v>10.993129781999817</v>
      </c>
      <c r="AE1330">
        <f t="shared" si="331"/>
        <v>4.1293666975860006</v>
      </c>
      <c r="AF1330">
        <f t="shared" si="332"/>
        <v>6.8637630844138169</v>
      </c>
      <c r="AG1330">
        <f t="shared" si="338"/>
        <v>20598.731589271123</v>
      </c>
      <c r="AH1330" t="b">
        <f t="shared" si="333"/>
        <v>1</v>
      </c>
    </row>
    <row r="1331" spans="4:34" hidden="1" x14ac:dyDescent="0.4">
      <c r="D1331" t="s">
        <v>48</v>
      </c>
      <c r="E1331" t="s">
        <v>37</v>
      </c>
      <c r="F1331" s="9">
        <v>45697.166666666664</v>
      </c>
      <c r="G1331">
        <v>0.33700000000000002</v>
      </c>
      <c r="H1331" s="9">
        <v>45699.166666666664</v>
      </c>
      <c r="I1331">
        <v>0.35420000000000001</v>
      </c>
      <c r="J1331" s="12">
        <v>8401.7999999999993</v>
      </c>
      <c r="K1331" s="12">
        <v>2831.42</v>
      </c>
      <c r="L1331">
        <v>4.3600000000000003</v>
      </c>
      <c r="M1331">
        <v>140.16</v>
      </c>
      <c r="N1331" s="13">
        <v>4.9500000000000002E-2</v>
      </c>
      <c r="O1331" t="s">
        <v>38</v>
      </c>
      <c r="Q1331">
        <f t="shared" si="334"/>
        <v>144.51095999999993</v>
      </c>
      <c r="R1331">
        <f t="shared" si="335"/>
        <v>140.15095999999991</v>
      </c>
      <c r="S1331">
        <f t="shared" si="336"/>
        <v>2975.9175599999999</v>
      </c>
      <c r="U1331">
        <f t="shared" si="323"/>
        <v>4896.142433</v>
      </c>
      <c r="V1331">
        <f t="shared" si="337"/>
        <v>1649.9999999210002</v>
      </c>
      <c r="W1331">
        <f t="shared" si="324"/>
        <v>84.213649847599967</v>
      </c>
      <c r="X1331">
        <f t="shared" si="325"/>
        <v>3.3842136496896007</v>
      </c>
      <c r="Y1331">
        <f t="shared" si="326"/>
        <v>80.829436197910368</v>
      </c>
      <c r="Z1331">
        <f t="shared" si="327"/>
        <v>20225.116646406819</v>
      </c>
      <c r="AB1331">
        <f t="shared" si="328"/>
        <v>6080.5593730000001</v>
      </c>
      <c r="AC1331">
        <f t="shared" si="329"/>
        <v>2049.1485087010001</v>
      </c>
      <c r="AD1331">
        <f t="shared" si="330"/>
        <v>104.58562121559996</v>
      </c>
      <c r="AE1331">
        <f t="shared" si="331"/>
        <v>4.2028826386176004</v>
      </c>
      <c r="AF1331">
        <f t="shared" si="332"/>
        <v>100.38273857698236</v>
      </c>
      <c r="AG1331">
        <f t="shared" si="338"/>
        <v>20591.86782618671</v>
      </c>
      <c r="AH1331" t="b">
        <f t="shared" si="333"/>
        <v>1</v>
      </c>
    </row>
    <row r="1332" spans="4:34" hidden="1" x14ac:dyDescent="0.4">
      <c r="D1332" t="s">
        <v>50</v>
      </c>
      <c r="E1332" t="s">
        <v>37</v>
      </c>
      <c r="F1332" s="9">
        <v>45696.708333333336</v>
      </c>
      <c r="G1332">
        <v>334.7</v>
      </c>
      <c r="H1332" s="9">
        <v>45698.708333333336</v>
      </c>
      <c r="I1332">
        <v>390.8</v>
      </c>
      <c r="J1332">
        <v>33.345599999999997</v>
      </c>
      <c r="K1332" s="12">
        <v>11160.8</v>
      </c>
      <c r="L1332">
        <v>18.14</v>
      </c>
      <c r="M1332" s="12">
        <v>1852.54</v>
      </c>
      <c r="N1332" s="13">
        <v>0.16600000000000001</v>
      </c>
      <c r="O1332" t="s">
        <v>38</v>
      </c>
      <c r="Q1332">
        <f t="shared" si="334"/>
        <v>1870.6881600000006</v>
      </c>
      <c r="R1332">
        <f t="shared" si="335"/>
        <v>1852.5481600000005</v>
      </c>
      <c r="S1332">
        <f t="shared" si="336"/>
        <v>13031.46048</v>
      </c>
      <c r="U1332">
        <f t="shared" si="323"/>
        <v>4.9297880000000003</v>
      </c>
      <c r="V1332">
        <f t="shared" si="337"/>
        <v>1650.0000436</v>
      </c>
      <c r="W1332">
        <f t="shared" si="324"/>
        <v>276.56110680000012</v>
      </c>
      <c r="X1332">
        <f t="shared" si="325"/>
        <v>3.5765611940000004</v>
      </c>
      <c r="Y1332">
        <f t="shared" si="326"/>
        <v>272.9845456060001</v>
      </c>
      <c r="Z1332">
        <f t="shared" si="327"/>
        <v>20144.28721020891</v>
      </c>
      <c r="AB1332">
        <f t="shared" si="328"/>
        <v>6.0227009999999996</v>
      </c>
      <c r="AC1332">
        <f t="shared" si="329"/>
        <v>2015.7980246999998</v>
      </c>
      <c r="AD1332">
        <f t="shared" si="330"/>
        <v>337.87352610000011</v>
      </c>
      <c r="AE1332">
        <f t="shared" si="331"/>
        <v>4.3694695755000001</v>
      </c>
      <c r="AF1332">
        <f t="shared" si="332"/>
        <v>333.50405652450013</v>
      </c>
      <c r="AG1332">
        <f t="shared" si="338"/>
        <v>20491.485087609726</v>
      </c>
      <c r="AH1332" t="b">
        <f t="shared" si="333"/>
        <v>1</v>
      </c>
    </row>
    <row r="1333" spans="4:34" hidden="1" x14ac:dyDescent="0.4">
      <c r="D1333" t="s">
        <v>53</v>
      </c>
      <c r="E1333" t="s">
        <v>37</v>
      </c>
      <c r="F1333" s="9">
        <v>45696.416666666664</v>
      </c>
      <c r="G1333">
        <v>579.11</v>
      </c>
      <c r="H1333" s="9">
        <v>45698.416666666664</v>
      </c>
      <c r="I1333">
        <v>604.79</v>
      </c>
      <c r="J1333">
        <v>15.4</v>
      </c>
      <c r="K1333" s="12">
        <v>8918.8700000000008</v>
      </c>
      <c r="L1333">
        <v>13.67</v>
      </c>
      <c r="M1333">
        <v>381.8</v>
      </c>
      <c r="N1333" s="13">
        <v>4.2799999999999998E-2</v>
      </c>
      <c r="O1333" t="s">
        <v>38</v>
      </c>
      <c r="Q1333">
        <f t="shared" si="334"/>
        <v>395.47199999999924</v>
      </c>
      <c r="R1333">
        <f t="shared" si="335"/>
        <v>381.80199999999923</v>
      </c>
      <c r="S1333">
        <f t="shared" si="336"/>
        <v>9313.7659999999996</v>
      </c>
      <c r="U1333">
        <f t="shared" si="323"/>
        <v>2.8492000000000002</v>
      </c>
      <c r="V1333">
        <f t="shared" si="337"/>
        <v>1650.0002120000001</v>
      </c>
      <c r="W1333">
        <f t="shared" si="324"/>
        <v>73.167455999999859</v>
      </c>
      <c r="X1333">
        <f t="shared" si="325"/>
        <v>3.3731678800000009</v>
      </c>
      <c r="Y1333">
        <f t="shared" si="326"/>
        <v>69.794288119999862</v>
      </c>
      <c r="Z1333">
        <f t="shared" si="327"/>
        <v>19871.30266460291</v>
      </c>
      <c r="AB1333">
        <f t="shared" si="328"/>
        <v>3.4661930000000001</v>
      </c>
      <c r="AC1333">
        <f t="shared" si="329"/>
        <v>2007.30702823</v>
      </c>
      <c r="AD1333">
        <f t="shared" si="330"/>
        <v>89.011836239999823</v>
      </c>
      <c r="AE1333">
        <f t="shared" si="331"/>
        <v>4.1036258927000011</v>
      </c>
      <c r="AF1333">
        <f t="shared" si="332"/>
        <v>84.908210347299828</v>
      </c>
      <c r="AG1333">
        <f t="shared" si="338"/>
        <v>20157.981031085226</v>
      </c>
      <c r="AH1333" t="b">
        <f t="shared" si="333"/>
        <v>1</v>
      </c>
    </row>
    <row r="1334" spans="4:34" hidden="1" x14ac:dyDescent="0.4">
      <c r="D1334" t="s">
        <v>55</v>
      </c>
      <c r="E1334" t="s">
        <v>37</v>
      </c>
      <c r="F1334" s="9">
        <v>45696</v>
      </c>
      <c r="G1334">
        <v>6.4259999999999998E-5</v>
      </c>
      <c r="H1334" s="9">
        <v>45698</v>
      </c>
      <c r="I1334">
        <v>6.9010000000000005E-5</v>
      </c>
      <c r="J1334" s="12">
        <v>91391635.310000002</v>
      </c>
      <c r="K1334" s="12">
        <v>5872.83</v>
      </c>
      <c r="L1334">
        <v>9.1300000000000008</v>
      </c>
      <c r="M1334">
        <v>424.98</v>
      </c>
      <c r="N1334" s="13">
        <v>7.2400000000000006E-2</v>
      </c>
      <c r="O1334" t="s">
        <v>38</v>
      </c>
      <c r="Q1334">
        <f t="shared" si="334"/>
        <v>434.11026772250068</v>
      </c>
      <c r="R1334">
        <f t="shared" si="335"/>
        <v>424.98026772250068</v>
      </c>
      <c r="S1334">
        <f t="shared" si="336"/>
        <v>6306.9367527431004</v>
      </c>
      <c r="U1334">
        <f t="shared" si="323"/>
        <v>25676937.441643</v>
      </c>
      <c r="V1334">
        <f t="shared" si="337"/>
        <v>1649.9999999999791</v>
      </c>
      <c r="W1334">
        <f t="shared" si="324"/>
        <v>121.96545284780443</v>
      </c>
      <c r="X1334">
        <f t="shared" si="325"/>
        <v>3.4219654528477625</v>
      </c>
      <c r="Y1334">
        <f t="shared" si="326"/>
        <v>118.54348739495667</v>
      </c>
      <c r="Z1334">
        <f t="shared" si="327"/>
        <v>19801.508376482911</v>
      </c>
      <c r="AB1334">
        <f t="shared" si="328"/>
        <v>31014452.949537002</v>
      </c>
      <c r="AC1334">
        <f t="shared" si="329"/>
        <v>1992.9887465372476</v>
      </c>
      <c r="AD1334">
        <f t="shared" si="330"/>
        <v>147.31865151030098</v>
      </c>
      <c r="AE1334">
        <f t="shared" si="331"/>
        <v>4.1332961445847962</v>
      </c>
      <c r="AF1334">
        <f t="shared" si="332"/>
        <v>143.18535536571619</v>
      </c>
      <c r="AG1334">
        <f t="shared" si="338"/>
        <v>20073.072820737925</v>
      </c>
      <c r="AH1334" t="b">
        <f t="shared" si="333"/>
        <v>1</v>
      </c>
    </row>
    <row r="1335" spans="4:34" hidden="1" x14ac:dyDescent="0.4">
      <c r="D1335" t="s">
        <v>60</v>
      </c>
      <c r="E1335" t="s">
        <v>37</v>
      </c>
      <c r="F1335" s="9">
        <v>45695.083333333336</v>
      </c>
      <c r="G1335">
        <v>2.3557999999999999</v>
      </c>
      <c r="H1335" s="9">
        <v>45697.583333333336</v>
      </c>
      <c r="I1335">
        <v>2.3891</v>
      </c>
      <c r="J1335">
        <v>871.6</v>
      </c>
      <c r="K1335" s="12">
        <v>2053.4899999999998</v>
      </c>
      <c r="L1335">
        <v>3.1</v>
      </c>
      <c r="M1335">
        <v>25.92</v>
      </c>
      <c r="N1335" s="13">
        <v>1.26E-2</v>
      </c>
      <c r="O1335" t="s">
        <v>57</v>
      </c>
      <c r="Q1335">
        <f t="shared" si="334"/>
        <v>29.024280000000093</v>
      </c>
      <c r="R1335">
        <f t="shared" si="335"/>
        <v>25.924280000000092</v>
      </c>
      <c r="S1335">
        <f t="shared" si="336"/>
        <v>2082.3395599999999</v>
      </c>
      <c r="U1335">
        <f t="shared" si="323"/>
        <v>700.39901499999996</v>
      </c>
      <c r="V1335">
        <f t="shared" si="337"/>
        <v>1649.9999995369999</v>
      </c>
      <c r="W1335">
        <f t="shared" si="324"/>
        <v>23.323287199500076</v>
      </c>
      <c r="X1335">
        <f t="shared" si="325"/>
        <v>3.3233232862734998</v>
      </c>
      <c r="Y1335">
        <f t="shared" si="326"/>
        <v>19.999963913226576</v>
      </c>
      <c r="Z1335">
        <f t="shared" si="327"/>
        <v>19682.964889087954</v>
      </c>
      <c r="AB1335">
        <f t="shared" si="328"/>
        <v>844.96813499999996</v>
      </c>
      <c r="AC1335">
        <f t="shared" si="329"/>
        <v>1990.5759324329997</v>
      </c>
      <c r="AD1335">
        <f t="shared" si="330"/>
        <v>28.13743889550009</v>
      </c>
      <c r="AE1335">
        <f t="shared" si="331"/>
        <v>4.0092893037614994</v>
      </c>
      <c r="AF1335">
        <f t="shared" si="332"/>
        <v>24.128149591738591</v>
      </c>
      <c r="AG1335">
        <f t="shared" si="338"/>
        <v>19929.887465372209</v>
      </c>
      <c r="AH1335" t="b">
        <f t="shared" si="333"/>
        <v>1</v>
      </c>
    </row>
    <row r="1336" spans="4:34" hidden="1" x14ac:dyDescent="0.4">
      <c r="D1336" t="s">
        <v>56</v>
      </c>
      <c r="E1336" t="s">
        <v>37</v>
      </c>
      <c r="F1336" s="9">
        <v>45697.375</v>
      </c>
      <c r="G1336" s="12">
        <v>2666.93</v>
      </c>
      <c r="H1336" s="9">
        <v>45697.583333333336</v>
      </c>
      <c r="I1336" s="12">
        <v>2621.66</v>
      </c>
      <c r="J1336">
        <v>1.9737</v>
      </c>
      <c r="K1336" s="12">
        <v>5263.91</v>
      </c>
      <c r="L1336">
        <v>7.83</v>
      </c>
      <c r="M1336">
        <v>-97.19</v>
      </c>
      <c r="N1336" s="13">
        <v>-1.8499999999999999E-2</v>
      </c>
      <c r="O1336" t="s">
        <v>49</v>
      </c>
      <c r="Q1336">
        <f t="shared" si="334"/>
        <v>-89.349398999999963</v>
      </c>
      <c r="R1336">
        <f t="shared" si="335"/>
        <v>-97.179398999999961</v>
      </c>
      <c r="S1336">
        <f t="shared" si="336"/>
        <v>5174.3703420000002</v>
      </c>
      <c r="U1336">
        <f t="shared" si="323"/>
        <v>0.61868900000000004</v>
      </c>
      <c r="V1336">
        <f t="shared" si="337"/>
        <v>1650.0002547700001</v>
      </c>
      <c r="W1336">
        <f t="shared" si="324"/>
        <v>-28.00805102999999</v>
      </c>
      <c r="X1336">
        <f t="shared" si="325"/>
        <v>3.2719924585100002</v>
      </c>
      <c r="Y1336">
        <f t="shared" si="326"/>
        <v>-31.280043488509989</v>
      </c>
      <c r="Z1336">
        <f t="shared" si="327"/>
        <v>19662.964925174729</v>
      </c>
      <c r="AB1336">
        <f t="shared" si="328"/>
        <v>0.74780999999999997</v>
      </c>
      <c r="AC1336">
        <f t="shared" si="329"/>
        <v>1994.3569232999998</v>
      </c>
      <c r="AD1336">
        <f t="shared" si="330"/>
        <v>-33.853358699999987</v>
      </c>
      <c r="AE1336">
        <f t="shared" si="331"/>
        <v>3.9548604879</v>
      </c>
      <c r="AF1336">
        <f t="shared" si="332"/>
        <v>-37.808219187899986</v>
      </c>
      <c r="AG1336">
        <f t="shared" si="338"/>
        <v>19905.759315780469</v>
      </c>
      <c r="AH1336" t="b">
        <f t="shared" si="333"/>
        <v>1</v>
      </c>
    </row>
    <row r="1337" spans="4:34" hidden="1" x14ac:dyDescent="0.4">
      <c r="D1337" t="s">
        <v>59</v>
      </c>
      <c r="E1337" t="s">
        <v>37</v>
      </c>
      <c r="F1337" s="9">
        <v>45695.083333333336</v>
      </c>
      <c r="G1337" s="12">
        <v>97408.02</v>
      </c>
      <c r="H1337" s="9">
        <v>45697.583333333336</v>
      </c>
      <c r="I1337" s="12">
        <v>95895.8</v>
      </c>
      <c r="J1337">
        <v>0.10264</v>
      </c>
      <c r="K1337" s="12">
        <v>9998.76</v>
      </c>
      <c r="L1337">
        <v>14.88</v>
      </c>
      <c r="M1337">
        <v>-170.09</v>
      </c>
      <c r="N1337" s="13">
        <v>-1.7000000000000001E-2</v>
      </c>
      <c r="O1337" t="s">
        <v>57</v>
      </c>
      <c r="Q1337">
        <f t="shared" si="334"/>
        <v>-155.21426080000012</v>
      </c>
      <c r="R1337">
        <f t="shared" si="335"/>
        <v>-170.09426080000011</v>
      </c>
      <c r="S1337">
        <f t="shared" si="336"/>
        <v>9842.7449120000001</v>
      </c>
      <c r="U1337">
        <f t="shared" si="323"/>
        <v>1.6938999999999999E-2</v>
      </c>
      <c r="V1337">
        <f t="shared" si="337"/>
        <v>1649.9944507800001</v>
      </c>
      <c r="W1337">
        <f t="shared" si="324"/>
        <v>-25.615494580000018</v>
      </c>
      <c r="X1337">
        <f t="shared" si="325"/>
        <v>3.2743734069799997</v>
      </c>
      <c r="Y1337">
        <f t="shared" si="326"/>
        <v>-28.889867986980018</v>
      </c>
      <c r="Z1337">
        <f t="shared" si="327"/>
        <v>19694.244968663239</v>
      </c>
      <c r="AB1337">
        <f t="shared" si="328"/>
        <v>2.051E-2</v>
      </c>
      <c r="AC1337">
        <f t="shared" si="329"/>
        <v>1997.8384902</v>
      </c>
      <c r="AD1337">
        <f t="shared" si="330"/>
        <v>-31.015632200000024</v>
      </c>
      <c r="AE1337">
        <f t="shared" si="331"/>
        <v>3.9646613481999999</v>
      </c>
      <c r="AF1337">
        <f t="shared" si="332"/>
        <v>-34.980293548200024</v>
      </c>
      <c r="AG1337">
        <f t="shared" si="338"/>
        <v>19943.56753496837</v>
      </c>
      <c r="AH1337" t="b">
        <f t="shared" si="333"/>
        <v>1</v>
      </c>
    </row>
    <row r="1338" spans="4:34" hidden="1" x14ac:dyDescent="0.4">
      <c r="D1338" t="s">
        <v>48</v>
      </c>
      <c r="E1338" t="s">
        <v>37</v>
      </c>
      <c r="F1338" s="9">
        <v>45695.083333333336</v>
      </c>
      <c r="G1338">
        <v>0.29770000000000002</v>
      </c>
      <c r="H1338" s="9">
        <v>45697.083333333336</v>
      </c>
      <c r="I1338">
        <v>0.33179999999999998</v>
      </c>
      <c r="J1338" s="12">
        <v>9404.7000000000007</v>
      </c>
      <c r="K1338" s="12">
        <v>2799.79</v>
      </c>
      <c r="L1338">
        <v>4.4400000000000004</v>
      </c>
      <c r="M1338">
        <v>316.26</v>
      </c>
      <c r="N1338" s="13">
        <v>0.113</v>
      </c>
      <c r="O1338" t="s">
        <v>38</v>
      </c>
      <c r="Q1338">
        <f t="shared" si="334"/>
        <v>320.7002699999997</v>
      </c>
      <c r="R1338">
        <f t="shared" si="335"/>
        <v>316.26026999999971</v>
      </c>
      <c r="S1338">
        <f t="shared" si="336"/>
        <v>3120.47946</v>
      </c>
      <c r="U1338">
        <f t="shared" si="323"/>
        <v>5542.4924419999998</v>
      </c>
      <c r="V1338">
        <f t="shared" si="337"/>
        <v>1649.9999999834001</v>
      </c>
      <c r="W1338">
        <f t="shared" si="324"/>
        <v>188.99899227219979</v>
      </c>
      <c r="X1338">
        <f t="shared" si="325"/>
        <v>3.4889989922389995</v>
      </c>
      <c r="Y1338">
        <f t="shared" si="326"/>
        <v>185.50999327996078</v>
      </c>
      <c r="Z1338">
        <f t="shared" si="327"/>
        <v>19723.134836650221</v>
      </c>
      <c r="AB1338">
        <f t="shared" si="328"/>
        <v>6636.3539609999998</v>
      </c>
      <c r="AC1338">
        <f t="shared" si="329"/>
        <v>1975.6425741897001</v>
      </c>
      <c r="AD1338">
        <f t="shared" si="330"/>
        <v>226.29967007009975</v>
      </c>
      <c r="AE1338">
        <f t="shared" si="331"/>
        <v>4.1775848184494997</v>
      </c>
      <c r="AF1338">
        <f t="shared" si="332"/>
        <v>222.12208525165025</v>
      </c>
      <c r="AG1338">
        <f t="shared" si="338"/>
        <v>19978.54782851657</v>
      </c>
      <c r="AH1338" t="b">
        <f t="shared" si="333"/>
        <v>1</v>
      </c>
    </row>
    <row r="1339" spans="4:34" hidden="1" x14ac:dyDescent="0.4">
      <c r="D1339" t="s">
        <v>54</v>
      </c>
      <c r="E1339" t="s">
        <v>37</v>
      </c>
      <c r="F1339" s="9">
        <v>45695.083333333336</v>
      </c>
      <c r="G1339">
        <v>192.28</v>
      </c>
      <c r="H1339" s="9">
        <v>45697.083333333336</v>
      </c>
      <c r="I1339">
        <v>202.03</v>
      </c>
      <c r="J1339">
        <v>23.116</v>
      </c>
      <c r="K1339" s="12">
        <v>4444.76</v>
      </c>
      <c r="L1339">
        <v>6.84</v>
      </c>
      <c r="M1339">
        <v>218.54</v>
      </c>
      <c r="N1339" s="13">
        <v>4.9200000000000001E-2</v>
      </c>
      <c r="O1339" t="s">
        <v>38</v>
      </c>
      <c r="Q1339">
        <f t="shared" si="334"/>
        <v>225.381</v>
      </c>
      <c r="R1339">
        <f t="shared" si="335"/>
        <v>218.541</v>
      </c>
      <c r="S1339">
        <f t="shared" si="336"/>
        <v>4670.1254799999997</v>
      </c>
      <c r="U1339">
        <f t="shared" si="323"/>
        <v>8.5812360000000005</v>
      </c>
      <c r="V1339">
        <f t="shared" si="337"/>
        <v>1650.0000580800001</v>
      </c>
      <c r="W1339">
        <f t="shared" si="324"/>
        <v>83.667051000000001</v>
      </c>
      <c r="X1339">
        <f t="shared" si="325"/>
        <v>3.38366716716</v>
      </c>
      <c r="Y1339">
        <f t="shared" si="326"/>
        <v>80.283383832840002</v>
      </c>
      <c r="Z1339">
        <f t="shared" si="327"/>
        <v>19537.62484337026</v>
      </c>
      <c r="AB1339">
        <f t="shared" si="328"/>
        <v>10.225069</v>
      </c>
      <c r="AC1339">
        <f t="shared" si="329"/>
        <v>1966.0762673199999</v>
      </c>
      <c r="AD1339">
        <f t="shared" si="330"/>
        <v>99.694422750000001</v>
      </c>
      <c r="AE1339">
        <f t="shared" si="331"/>
        <v>4.03184695739</v>
      </c>
      <c r="AF1339">
        <f t="shared" si="332"/>
        <v>95.662575792609999</v>
      </c>
      <c r="AG1339">
        <f t="shared" si="338"/>
        <v>19756.425743264921</v>
      </c>
      <c r="AH1339" t="b">
        <f t="shared" si="333"/>
        <v>1</v>
      </c>
    </row>
    <row r="1340" spans="4:34" hidden="1" x14ac:dyDescent="0.4">
      <c r="D1340" t="s">
        <v>58</v>
      </c>
      <c r="E1340" t="s">
        <v>37</v>
      </c>
      <c r="F1340" s="9">
        <v>45695.083333333336</v>
      </c>
      <c r="G1340">
        <v>18.899999999999999</v>
      </c>
      <c r="H1340" s="9">
        <v>45697.083333333336</v>
      </c>
      <c r="I1340">
        <v>18.53</v>
      </c>
      <c r="J1340">
        <v>355.35</v>
      </c>
      <c r="K1340" s="12">
        <v>6716.15</v>
      </c>
      <c r="L1340">
        <v>9.98</v>
      </c>
      <c r="M1340">
        <v>-141.46</v>
      </c>
      <c r="N1340" s="13">
        <v>-2.1100000000000001E-2</v>
      </c>
      <c r="O1340" t="s">
        <v>38</v>
      </c>
      <c r="Q1340">
        <f t="shared" si="334"/>
        <v>-131.47949999999909</v>
      </c>
      <c r="R1340">
        <f t="shared" si="335"/>
        <v>-141.45949999999908</v>
      </c>
      <c r="S1340">
        <f t="shared" si="336"/>
        <v>6584.6355000000012</v>
      </c>
      <c r="U1340">
        <f t="shared" si="323"/>
        <v>87.301586999999998</v>
      </c>
      <c r="V1340">
        <f t="shared" si="337"/>
        <v>1649.9999942999998</v>
      </c>
      <c r="W1340">
        <f t="shared" si="324"/>
        <v>-32.301587189999779</v>
      </c>
      <c r="X1340">
        <f t="shared" si="325"/>
        <v>3.2676984014099997</v>
      </c>
      <c r="Y1340">
        <f t="shared" si="326"/>
        <v>-35.569285591409781</v>
      </c>
      <c r="Z1340">
        <f t="shared" si="327"/>
        <v>19457.34145953742</v>
      </c>
      <c r="AB1340">
        <f t="shared" si="328"/>
        <v>104.24993499999999</v>
      </c>
      <c r="AC1340">
        <f t="shared" si="329"/>
        <v>1970.3237714999998</v>
      </c>
      <c r="AD1340">
        <f t="shared" si="330"/>
        <v>-38.572475949999728</v>
      </c>
      <c r="AE1340">
        <f t="shared" si="331"/>
        <v>3.9020750670499997</v>
      </c>
      <c r="AF1340">
        <f t="shared" si="332"/>
        <v>-42.474551017049727</v>
      </c>
      <c r="AG1340">
        <f t="shared" si="338"/>
        <v>19660.763167472312</v>
      </c>
      <c r="AH1340" t="b">
        <f t="shared" si="333"/>
        <v>1</v>
      </c>
    </row>
    <row r="1341" spans="4:34" hidden="1" x14ac:dyDescent="0.4">
      <c r="D1341" t="s">
        <v>52</v>
      </c>
      <c r="E1341" t="s">
        <v>37</v>
      </c>
      <c r="F1341" s="9">
        <v>45695.041666666664</v>
      </c>
      <c r="G1341">
        <v>6.7560000000000002</v>
      </c>
      <c r="H1341" s="9">
        <v>45697.041666666664</v>
      </c>
      <c r="I1341">
        <v>6.9909999999999997</v>
      </c>
      <c r="J1341">
        <v>342.56</v>
      </c>
      <c r="K1341" s="12">
        <v>2314.37</v>
      </c>
      <c r="L1341">
        <v>3.53</v>
      </c>
      <c r="M1341">
        <v>76.97</v>
      </c>
      <c r="N1341" s="13">
        <v>3.3300000000000003E-2</v>
      </c>
      <c r="O1341" t="s">
        <v>38</v>
      </c>
      <c r="Q1341">
        <f t="shared" si="334"/>
        <v>80.501599999999812</v>
      </c>
      <c r="R1341">
        <f t="shared" si="335"/>
        <v>76.97159999999981</v>
      </c>
      <c r="S1341">
        <f t="shared" si="336"/>
        <v>2394.8369600000001</v>
      </c>
      <c r="U1341">
        <f t="shared" si="323"/>
        <v>244.22735299999999</v>
      </c>
      <c r="V1341">
        <f t="shared" si="337"/>
        <v>1649.9999968679999</v>
      </c>
      <c r="W1341">
        <f t="shared" si="324"/>
        <v>57.393427954999858</v>
      </c>
      <c r="X1341">
        <f t="shared" si="325"/>
        <v>3.357393421691</v>
      </c>
      <c r="Y1341">
        <f t="shared" si="326"/>
        <v>54.036034533308857</v>
      </c>
      <c r="Z1341">
        <f t="shared" si="327"/>
        <v>19492.910745128829</v>
      </c>
      <c r="AB1341">
        <f t="shared" si="328"/>
        <v>290.688603</v>
      </c>
      <c r="AC1341">
        <f t="shared" si="329"/>
        <v>1963.892201868</v>
      </c>
      <c r="AD1341">
        <f t="shared" si="330"/>
        <v>68.311821704999829</v>
      </c>
      <c r="AE1341">
        <f t="shared" si="331"/>
        <v>3.9960962254410002</v>
      </c>
      <c r="AF1341">
        <f t="shared" si="332"/>
        <v>64.315725479558836</v>
      </c>
      <c r="AG1341">
        <f t="shared" si="338"/>
        <v>19703.237718489363</v>
      </c>
      <c r="AH1341" t="b">
        <f t="shared" si="333"/>
        <v>1</v>
      </c>
    </row>
    <row r="1342" spans="4:34" hidden="1" x14ac:dyDescent="0.4">
      <c r="D1342" t="s">
        <v>53</v>
      </c>
      <c r="E1342" t="s">
        <v>37</v>
      </c>
      <c r="F1342" s="9">
        <v>45694.416666666664</v>
      </c>
      <c r="G1342">
        <v>580.61</v>
      </c>
      <c r="H1342" s="9">
        <v>45696.416666666664</v>
      </c>
      <c r="I1342">
        <v>579.11</v>
      </c>
      <c r="J1342">
        <v>15.367000000000001</v>
      </c>
      <c r="K1342" s="12">
        <v>8922.51</v>
      </c>
      <c r="L1342">
        <v>13.37</v>
      </c>
      <c r="M1342">
        <v>-36.42</v>
      </c>
      <c r="N1342" s="13">
        <v>-4.1000000000000003E-3</v>
      </c>
      <c r="O1342" t="s">
        <v>38</v>
      </c>
      <c r="Q1342">
        <f t="shared" si="334"/>
        <v>-23.0505</v>
      </c>
      <c r="R1342">
        <f t="shared" si="335"/>
        <v>-36.420499999999997</v>
      </c>
      <c r="S1342">
        <f t="shared" si="336"/>
        <v>8899.1833700000007</v>
      </c>
      <c r="U1342">
        <f t="shared" si="323"/>
        <v>2.8418389999999998</v>
      </c>
      <c r="V1342">
        <f t="shared" si="337"/>
        <v>1650.0001417899998</v>
      </c>
      <c r="W1342">
        <f t="shared" si="324"/>
        <v>-4.2627584999999995</v>
      </c>
      <c r="X1342">
        <f t="shared" si="325"/>
        <v>3.2957375250799998</v>
      </c>
      <c r="Y1342">
        <f t="shared" si="326"/>
        <v>-7.5584960250799993</v>
      </c>
      <c r="Z1342">
        <f t="shared" si="327"/>
        <v>19438.874710595519</v>
      </c>
      <c r="AB1342">
        <f t="shared" si="328"/>
        <v>3.3840140000000001</v>
      </c>
      <c r="AC1342">
        <f t="shared" si="329"/>
        <v>1964.7923685400001</v>
      </c>
      <c r="AD1342">
        <f t="shared" si="330"/>
        <v>-5.0760209999999999</v>
      </c>
      <c r="AE1342">
        <f t="shared" si="331"/>
        <v>3.9245087160800005</v>
      </c>
      <c r="AF1342">
        <f t="shared" si="332"/>
        <v>-9.0005297160800009</v>
      </c>
      <c r="AG1342">
        <f t="shared" si="338"/>
        <v>19638.921993009804</v>
      </c>
      <c r="AH1342" t="b">
        <f t="shared" si="333"/>
        <v>1</v>
      </c>
    </row>
    <row r="1343" spans="4:34" hidden="1" x14ac:dyDescent="0.4">
      <c r="D1343" t="s">
        <v>50</v>
      </c>
      <c r="E1343" t="s">
        <v>37</v>
      </c>
      <c r="F1343" s="9">
        <v>45694.125</v>
      </c>
      <c r="G1343">
        <v>351.9</v>
      </c>
      <c r="H1343" s="9">
        <v>45696.125</v>
      </c>
      <c r="I1343">
        <v>322.2</v>
      </c>
      <c r="J1343">
        <v>31.990400000000001</v>
      </c>
      <c r="K1343" s="12">
        <v>11257.43</v>
      </c>
      <c r="L1343">
        <v>16.170000000000002</v>
      </c>
      <c r="M1343">
        <v>-966.29</v>
      </c>
      <c r="N1343" s="13">
        <v>-8.5800000000000001E-2</v>
      </c>
      <c r="O1343" t="s">
        <v>38</v>
      </c>
      <c r="Q1343">
        <f t="shared" si="334"/>
        <v>-950.11487999999963</v>
      </c>
      <c r="R1343">
        <f t="shared" si="335"/>
        <v>-966.28487999999959</v>
      </c>
      <c r="S1343">
        <f t="shared" si="336"/>
        <v>10307.30688</v>
      </c>
      <c r="U1343">
        <f t="shared" si="323"/>
        <v>4.6888319999999997</v>
      </c>
      <c r="V1343">
        <f t="shared" si="337"/>
        <v>1649.9999807999998</v>
      </c>
      <c r="W1343">
        <f t="shared" si="324"/>
        <v>-139.25831039999994</v>
      </c>
      <c r="X1343">
        <f t="shared" si="325"/>
        <v>3.1607416511999995</v>
      </c>
      <c r="Y1343">
        <f t="shared" si="326"/>
        <v>-142.41905205119994</v>
      </c>
      <c r="Z1343">
        <f t="shared" si="327"/>
        <v>19446.433206620601</v>
      </c>
      <c r="AB1343">
        <f t="shared" si="328"/>
        <v>5.6319949999999999</v>
      </c>
      <c r="AC1343">
        <f t="shared" si="329"/>
        <v>1981.8990404999997</v>
      </c>
      <c r="AD1343">
        <f t="shared" si="330"/>
        <v>-167.27025149999994</v>
      </c>
      <c r="AE1343">
        <f t="shared" si="331"/>
        <v>3.7965278294999996</v>
      </c>
      <c r="AF1343">
        <f t="shared" si="332"/>
        <v>-171.06677932949995</v>
      </c>
      <c r="AG1343">
        <f t="shared" si="338"/>
        <v>19647.922522725883</v>
      </c>
      <c r="AH1343" t="b">
        <f t="shared" si="333"/>
        <v>1</v>
      </c>
    </row>
    <row r="1344" spans="4:34" hidden="1" x14ac:dyDescent="0.4">
      <c r="D1344" t="s">
        <v>61</v>
      </c>
      <c r="E1344" t="s">
        <v>37</v>
      </c>
      <c r="F1344" s="9">
        <v>45694.041666666664</v>
      </c>
      <c r="G1344">
        <v>0.73529999999999995</v>
      </c>
      <c r="H1344" s="9">
        <v>45696.041666666664</v>
      </c>
      <c r="I1344">
        <v>0.71279999999999999</v>
      </c>
      <c r="J1344" s="12">
        <v>10202.200000000001</v>
      </c>
      <c r="K1344" s="12">
        <v>7501.74</v>
      </c>
      <c r="L1344">
        <v>11.08</v>
      </c>
      <c r="M1344">
        <v>-240.63</v>
      </c>
      <c r="N1344" s="13">
        <v>-3.2099999999999997E-2</v>
      </c>
      <c r="O1344" t="s">
        <v>38</v>
      </c>
      <c r="Q1344">
        <f t="shared" si="334"/>
        <v>-229.54949999999965</v>
      </c>
      <c r="R1344">
        <f t="shared" si="335"/>
        <v>-240.62949999999967</v>
      </c>
      <c r="S1344">
        <f t="shared" si="336"/>
        <v>7272.1281600000002</v>
      </c>
      <c r="U1344">
        <f t="shared" si="323"/>
        <v>2243.9820479999998</v>
      </c>
      <c r="V1344">
        <f t="shared" si="337"/>
        <v>1649.9999998943997</v>
      </c>
      <c r="W1344">
        <f t="shared" si="324"/>
        <v>-50.48959607999992</v>
      </c>
      <c r="X1344">
        <f t="shared" si="325"/>
        <v>3.2495104037087996</v>
      </c>
      <c r="Y1344">
        <f t="shared" si="326"/>
        <v>-53.739106483708717</v>
      </c>
      <c r="Z1344">
        <f t="shared" si="327"/>
        <v>19588.852258671799</v>
      </c>
      <c r="AB1344">
        <f t="shared" si="328"/>
        <v>2704.1682300000002</v>
      </c>
      <c r="AC1344">
        <f t="shared" si="329"/>
        <v>1988.3748995190001</v>
      </c>
      <c r="AD1344">
        <f t="shared" si="330"/>
        <v>-60.843785174999908</v>
      </c>
      <c r="AE1344">
        <f t="shared" si="331"/>
        <v>3.9159060138630002</v>
      </c>
      <c r="AF1344">
        <f t="shared" si="332"/>
        <v>-64.759691188862902</v>
      </c>
      <c r="AG1344">
        <f t="shared" si="338"/>
        <v>19818.989302055383</v>
      </c>
      <c r="AH1344" t="b">
        <f t="shared" si="333"/>
        <v>1</v>
      </c>
    </row>
    <row r="1345" spans="4:34" hidden="1" x14ac:dyDescent="0.4">
      <c r="D1345" t="s">
        <v>55</v>
      </c>
      <c r="E1345" t="s">
        <v>37</v>
      </c>
      <c r="F1345" s="9">
        <v>45693.666666666664</v>
      </c>
      <c r="G1345">
        <v>6.8269999999999995E-5</v>
      </c>
      <c r="H1345" s="9">
        <v>45695.666666666664</v>
      </c>
      <c r="I1345">
        <v>6.5240000000000006E-5</v>
      </c>
      <c r="J1345" s="12">
        <v>86419760</v>
      </c>
      <c r="K1345" s="12">
        <v>5899.88</v>
      </c>
      <c r="L1345">
        <v>8.65</v>
      </c>
      <c r="M1345">
        <v>-270.51</v>
      </c>
      <c r="N1345" s="13">
        <v>-4.58E-2</v>
      </c>
      <c r="O1345" t="s">
        <v>38</v>
      </c>
      <c r="Q1345">
        <f t="shared" si="334"/>
        <v>-261.85187279999911</v>
      </c>
      <c r="R1345">
        <f t="shared" si="335"/>
        <v>-270.50187279999909</v>
      </c>
      <c r="S1345">
        <f t="shared" si="336"/>
        <v>5638.0251424000007</v>
      </c>
      <c r="U1345">
        <f t="shared" si="323"/>
        <v>24168741.760655999</v>
      </c>
      <c r="V1345">
        <f t="shared" si="337"/>
        <v>1649.999999999985</v>
      </c>
      <c r="W1345">
        <f t="shared" si="324"/>
        <v>-73.231287534787427</v>
      </c>
      <c r="X1345">
        <f t="shared" si="325"/>
        <v>3.2267687124651818</v>
      </c>
      <c r="Y1345">
        <f t="shared" si="326"/>
        <v>-76.458056247252614</v>
      </c>
      <c r="Z1345">
        <f t="shared" si="327"/>
        <v>19642.591365155509</v>
      </c>
      <c r="AB1345">
        <f t="shared" si="328"/>
        <v>29260752.418526001</v>
      </c>
      <c r="AC1345">
        <f t="shared" si="329"/>
        <v>1997.6315676127699</v>
      </c>
      <c r="AD1345">
        <f t="shared" si="330"/>
        <v>-88.660079828133476</v>
      </c>
      <c r="AE1345">
        <f t="shared" si="331"/>
        <v>3.9066030553974058</v>
      </c>
      <c r="AF1345">
        <f t="shared" si="332"/>
        <v>-92.566682883530888</v>
      </c>
      <c r="AG1345">
        <f t="shared" si="338"/>
        <v>19883.748993244244</v>
      </c>
      <c r="AH1345" t="b">
        <f t="shared" si="333"/>
        <v>1</v>
      </c>
    </row>
    <row r="1346" spans="4:34" hidden="1" x14ac:dyDescent="0.4">
      <c r="D1346" t="s">
        <v>56</v>
      </c>
      <c r="E1346" t="s">
        <v>37</v>
      </c>
      <c r="F1346" s="9">
        <v>45693.125</v>
      </c>
      <c r="G1346" s="12">
        <v>2740.6</v>
      </c>
      <c r="H1346" s="9">
        <v>45695.625</v>
      </c>
      <c r="I1346" s="12">
        <v>2784.5</v>
      </c>
      <c r="J1346">
        <v>1.9178999999999999</v>
      </c>
      <c r="K1346" s="12">
        <v>5256.28</v>
      </c>
      <c r="L1346">
        <v>7.95</v>
      </c>
      <c r="M1346">
        <v>76.25</v>
      </c>
      <c r="N1346" s="13">
        <v>1.4500000000000001E-2</v>
      </c>
      <c r="O1346" t="s">
        <v>57</v>
      </c>
      <c r="Q1346">
        <f t="shared" si="334"/>
        <v>84.195810000000165</v>
      </c>
      <c r="R1346">
        <f t="shared" si="335"/>
        <v>76.245810000000162</v>
      </c>
      <c r="S1346">
        <f t="shared" si="336"/>
        <v>5340.3925499999996</v>
      </c>
      <c r="U1346">
        <f t="shared" si="323"/>
        <v>0.60205799999999998</v>
      </c>
      <c r="V1346">
        <f t="shared" si="337"/>
        <v>1650.0001547999998</v>
      </c>
      <c r="W1346">
        <f t="shared" si="324"/>
        <v>26.430346200000052</v>
      </c>
      <c r="X1346">
        <f t="shared" si="325"/>
        <v>3.3264306557999999</v>
      </c>
      <c r="Y1346">
        <f t="shared" si="326"/>
        <v>23.103915544200053</v>
      </c>
      <c r="Z1346">
        <f t="shared" si="327"/>
        <v>19719.04942140276</v>
      </c>
      <c r="AB1346">
        <f t="shared" si="328"/>
        <v>0.72788399999999998</v>
      </c>
      <c r="AC1346">
        <f t="shared" si="329"/>
        <v>1994.8388903999999</v>
      </c>
      <c r="AD1346">
        <f t="shared" si="330"/>
        <v>31.954107600000064</v>
      </c>
      <c r="AE1346">
        <f t="shared" si="331"/>
        <v>4.0216318884</v>
      </c>
      <c r="AF1346">
        <f t="shared" si="332"/>
        <v>27.932475711600063</v>
      </c>
      <c r="AG1346">
        <f t="shared" si="338"/>
        <v>19976.315676127775</v>
      </c>
      <c r="AH1346" t="b">
        <f t="shared" si="333"/>
        <v>1</v>
      </c>
    </row>
    <row r="1347" spans="4:34" hidden="1" x14ac:dyDescent="0.4">
      <c r="D1347" t="s">
        <v>60</v>
      </c>
      <c r="E1347" t="s">
        <v>37</v>
      </c>
      <c r="F1347" s="9">
        <v>45691.625</v>
      </c>
      <c r="G1347">
        <v>2.3751000000000002</v>
      </c>
      <c r="H1347" s="9">
        <v>45694.125</v>
      </c>
      <c r="I1347">
        <v>2.4207999999999998</v>
      </c>
      <c r="J1347">
        <v>863</v>
      </c>
      <c r="K1347" s="12">
        <v>2049.86</v>
      </c>
      <c r="L1347">
        <v>3.1</v>
      </c>
      <c r="M1347">
        <v>36.33</v>
      </c>
      <c r="N1347" s="13">
        <v>1.77E-2</v>
      </c>
      <c r="O1347" t="s">
        <v>57</v>
      </c>
      <c r="Q1347">
        <f t="shared" si="334"/>
        <v>39.439099999999684</v>
      </c>
      <c r="R1347">
        <f t="shared" si="335"/>
        <v>36.339099999999682</v>
      </c>
      <c r="S1347">
        <f t="shared" si="336"/>
        <v>2089.1504</v>
      </c>
      <c r="U1347">
        <f t="shared" si="323"/>
        <v>694.70759099999998</v>
      </c>
      <c r="V1347">
        <f t="shared" si="337"/>
        <v>1649.9999993841002</v>
      </c>
      <c r="W1347">
        <f t="shared" si="324"/>
        <v>31.748136908699742</v>
      </c>
      <c r="X1347">
        <f t="shared" si="325"/>
        <v>3.3317481356768996</v>
      </c>
      <c r="Y1347">
        <f t="shared" si="326"/>
        <v>28.416388773022842</v>
      </c>
      <c r="Z1347">
        <f t="shared" si="327"/>
        <v>19695.945505858559</v>
      </c>
      <c r="AB1347">
        <f t="shared" si="328"/>
        <v>838.45257300000003</v>
      </c>
      <c r="AC1347">
        <f t="shared" si="329"/>
        <v>1991.4087061323003</v>
      </c>
      <c r="AD1347">
        <f t="shared" si="330"/>
        <v>38.317282586099694</v>
      </c>
      <c r="AE1347">
        <f t="shared" si="331"/>
        <v>4.0211346948506996</v>
      </c>
      <c r="AF1347">
        <f t="shared" si="332"/>
        <v>34.296147891248992</v>
      </c>
      <c r="AG1347">
        <f t="shared" si="338"/>
        <v>19948.383200416174</v>
      </c>
      <c r="AH1347" t="b">
        <f t="shared" si="333"/>
        <v>1</v>
      </c>
    </row>
    <row r="1348" spans="4:34" hidden="1" x14ac:dyDescent="0.4">
      <c r="D1348" t="s">
        <v>59</v>
      </c>
      <c r="E1348" t="s">
        <v>37</v>
      </c>
      <c r="F1348" s="9">
        <v>45691.625</v>
      </c>
      <c r="G1348" s="12">
        <v>96692.01</v>
      </c>
      <c r="H1348" s="9">
        <v>45694.125</v>
      </c>
      <c r="I1348" s="12">
        <v>97376.5</v>
      </c>
      <c r="J1348">
        <v>0.10335</v>
      </c>
      <c r="K1348" s="12">
        <v>9993.19</v>
      </c>
      <c r="L1348">
        <v>15.04</v>
      </c>
      <c r="M1348">
        <v>55.7</v>
      </c>
      <c r="N1348" s="13">
        <v>5.5999999999999999E-3</v>
      </c>
      <c r="O1348" t="s">
        <v>57</v>
      </c>
      <c r="Q1348">
        <f t="shared" si="334"/>
        <v>70.742041500000539</v>
      </c>
      <c r="R1348">
        <f t="shared" si="335"/>
        <v>55.70204150000054</v>
      </c>
      <c r="S1348">
        <f t="shared" si="336"/>
        <v>10063.861274999999</v>
      </c>
      <c r="U1348">
        <f t="shared" si="323"/>
        <v>1.7063999999999999E-2</v>
      </c>
      <c r="V1348">
        <f t="shared" si="337"/>
        <v>1649.9524586399998</v>
      </c>
      <c r="W1348">
        <f t="shared" si="324"/>
        <v>11.680137360000089</v>
      </c>
      <c r="X1348">
        <f t="shared" si="325"/>
        <v>3.3115850546400001</v>
      </c>
      <c r="Y1348">
        <f t="shared" si="326"/>
        <v>8.3685523053600885</v>
      </c>
      <c r="Z1348">
        <f t="shared" si="327"/>
        <v>19667.529117085538</v>
      </c>
      <c r="AB1348">
        <f t="shared" si="328"/>
        <v>2.0584999999999999E-2</v>
      </c>
      <c r="AC1348">
        <f t="shared" si="329"/>
        <v>1990.4050258499999</v>
      </c>
      <c r="AD1348">
        <f t="shared" si="330"/>
        <v>14.090226650000107</v>
      </c>
      <c r="AE1348">
        <f t="shared" si="331"/>
        <v>3.9949002783499998</v>
      </c>
      <c r="AF1348">
        <f t="shared" si="332"/>
        <v>10.095326371650106</v>
      </c>
      <c r="AG1348">
        <f t="shared" si="338"/>
        <v>19914.087052524927</v>
      </c>
      <c r="AH1348" t="b">
        <f t="shared" si="333"/>
        <v>1</v>
      </c>
    </row>
    <row r="1349" spans="4:34" hidden="1" x14ac:dyDescent="0.4">
      <c r="D1349" t="s">
        <v>43</v>
      </c>
      <c r="E1349" t="s">
        <v>37</v>
      </c>
      <c r="F1349" s="9">
        <v>45691.625</v>
      </c>
      <c r="G1349">
        <v>3.2734999999999999</v>
      </c>
      <c r="H1349" s="9">
        <v>45693.625</v>
      </c>
      <c r="I1349">
        <v>3.5449999999999999</v>
      </c>
      <c r="J1349">
        <v>514.9</v>
      </c>
      <c r="K1349" s="12">
        <v>1685.59</v>
      </c>
      <c r="L1349">
        <v>2.63</v>
      </c>
      <c r="M1349">
        <v>137.16</v>
      </c>
      <c r="N1349" s="13">
        <v>8.14E-2</v>
      </c>
      <c r="O1349" t="s">
        <v>38</v>
      </c>
      <c r="Q1349">
        <f t="shared" si="334"/>
        <v>139.79535000000004</v>
      </c>
      <c r="R1349">
        <f t="shared" si="335"/>
        <v>137.16535000000005</v>
      </c>
      <c r="S1349">
        <f t="shared" si="336"/>
        <v>1825.3204999999998</v>
      </c>
      <c r="U1349">
        <f t="shared" si="323"/>
        <v>504.04765500000002</v>
      </c>
      <c r="V1349">
        <f t="shared" si="337"/>
        <v>1649.9999986425</v>
      </c>
      <c r="W1349">
        <f t="shared" si="324"/>
        <v>136.84893833250004</v>
      </c>
      <c r="X1349">
        <f t="shared" si="325"/>
        <v>3.4368489356175007</v>
      </c>
      <c r="Y1349">
        <f t="shared" si="326"/>
        <v>133.41208939688255</v>
      </c>
      <c r="Z1349">
        <f t="shared" si="327"/>
        <v>19659.160564780177</v>
      </c>
      <c r="AB1349">
        <f t="shared" si="328"/>
        <v>603.15708600000005</v>
      </c>
      <c r="AC1349">
        <f t="shared" si="329"/>
        <v>1974.4347210210001</v>
      </c>
      <c r="AD1349">
        <f t="shared" si="330"/>
        <v>163.75714884900006</v>
      </c>
      <c r="AE1349">
        <f t="shared" si="331"/>
        <v>4.1126265908910007</v>
      </c>
      <c r="AF1349">
        <f t="shared" si="332"/>
        <v>159.64452225810905</v>
      </c>
      <c r="AG1349">
        <f t="shared" si="338"/>
        <v>19903.991726153276</v>
      </c>
      <c r="AH1349" t="b">
        <f t="shared" si="333"/>
        <v>1</v>
      </c>
    </row>
    <row r="1350" spans="4:34" hidden="1" x14ac:dyDescent="0.4">
      <c r="D1350" t="s">
        <v>54</v>
      </c>
      <c r="E1350" t="s">
        <v>37</v>
      </c>
      <c r="F1350" s="9">
        <v>45691.625</v>
      </c>
      <c r="G1350">
        <v>199.87</v>
      </c>
      <c r="H1350" s="9">
        <v>45693.625</v>
      </c>
      <c r="I1350">
        <v>203.98</v>
      </c>
      <c r="J1350">
        <v>22.195</v>
      </c>
      <c r="K1350" s="12">
        <v>4436.3100000000004</v>
      </c>
      <c r="L1350">
        <v>6.72</v>
      </c>
      <c r="M1350">
        <v>84.5</v>
      </c>
      <c r="N1350" s="13">
        <v>1.9E-2</v>
      </c>
      <c r="O1350" t="s">
        <v>38</v>
      </c>
      <c r="Q1350">
        <f t="shared" si="334"/>
        <v>91.221449999999678</v>
      </c>
      <c r="R1350">
        <f t="shared" si="335"/>
        <v>84.501449999999679</v>
      </c>
      <c r="S1350">
        <f t="shared" si="336"/>
        <v>4527.3360999999995</v>
      </c>
      <c r="U1350">
        <f t="shared" si="323"/>
        <v>8.2553660000000004</v>
      </c>
      <c r="V1350">
        <f t="shared" si="337"/>
        <v>1650.0000024200001</v>
      </c>
      <c r="W1350">
        <f t="shared" si="324"/>
        <v>33.929554259999883</v>
      </c>
      <c r="X1350">
        <f t="shared" si="325"/>
        <v>3.3339295591000004</v>
      </c>
      <c r="Y1350">
        <f t="shared" si="326"/>
        <v>30.595624700899883</v>
      </c>
      <c r="Z1350">
        <f t="shared" si="327"/>
        <v>19525.748475383294</v>
      </c>
      <c r="AB1350">
        <f t="shared" si="328"/>
        <v>9.8603109999999994</v>
      </c>
      <c r="AC1350">
        <f t="shared" si="329"/>
        <v>1970.78035957</v>
      </c>
      <c r="AD1350">
        <f t="shared" si="330"/>
        <v>40.525878209999853</v>
      </c>
      <c r="AE1350">
        <f t="shared" si="331"/>
        <v>3.9820865973500004</v>
      </c>
      <c r="AF1350">
        <f t="shared" si="332"/>
        <v>36.543791612649855</v>
      </c>
      <c r="AG1350">
        <f t="shared" si="338"/>
        <v>19744.347203895166</v>
      </c>
      <c r="AH1350" t="b">
        <f t="shared" si="333"/>
        <v>1</v>
      </c>
    </row>
    <row r="1351" spans="4:34" hidden="1" x14ac:dyDescent="0.4">
      <c r="D1351" t="s">
        <v>55</v>
      </c>
      <c r="E1351" t="s">
        <v>37</v>
      </c>
      <c r="F1351" s="9">
        <v>45691.625</v>
      </c>
      <c r="G1351">
        <v>6.0430000000000002E-5</v>
      </c>
      <c r="H1351" s="9">
        <v>45693.625</v>
      </c>
      <c r="I1351">
        <v>6.5419999999999994E-5</v>
      </c>
      <c r="J1351" s="12">
        <v>96847004.379999995</v>
      </c>
      <c r="K1351" s="12">
        <v>5852.46</v>
      </c>
      <c r="L1351">
        <v>9.14</v>
      </c>
      <c r="M1351">
        <v>474.13</v>
      </c>
      <c r="N1351" s="13">
        <v>8.1000000000000003E-2</v>
      </c>
      <c r="O1351" t="s">
        <v>38</v>
      </c>
      <c r="Q1351">
        <f t="shared" si="334"/>
        <v>483.2665518561991</v>
      </c>
      <c r="R1351">
        <f t="shared" si="335"/>
        <v>474.12655185619911</v>
      </c>
      <c r="S1351">
        <f t="shared" si="336"/>
        <v>6335.731026539599</v>
      </c>
      <c r="U1351">
        <f t="shared" si="323"/>
        <v>27304319.046831001</v>
      </c>
      <c r="V1351">
        <f t="shared" si="337"/>
        <v>1649.9999999999975</v>
      </c>
      <c r="W1351">
        <f t="shared" si="324"/>
        <v>136.24855204368646</v>
      </c>
      <c r="X1351">
        <f t="shared" si="325"/>
        <v>3.4362485520436814</v>
      </c>
      <c r="Y1351">
        <f t="shared" si="326"/>
        <v>132.81230349164278</v>
      </c>
      <c r="Z1351">
        <f t="shared" si="327"/>
        <v>19495.152850682392</v>
      </c>
      <c r="AB1351">
        <f t="shared" si="328"/>
        <v>32352204.922568999</v>
      </c>
      <c r="AC1351">
        <f t="shared" si="329"/>
        <v>1955.0437434708447</v>
      </c>
      <c r="AD1351">
        <f t="shared" si="330"/>
        <v>161.43750256361903</v>
      </c>
      <c r="AE1351">
        <f t="shared" si="331"/>
        <v>4.0715249895053089</v>
      </c>
      <c r="AF1351">
        <f t="shared" si="332"/>
        <v>157.36597757411371</v>
      </c>
      <c r="AG1351">
        <f t="shared" si="338"/>
        <v>19707.803412282516</v>
      </c>
      <c r="AH1351" t="b">
        <f t="shared" si="333"/>
        <v>1</v>
      </c>
    </row>
    <row r="1352" spans="4:34" hidden="1" x14ac:dyDescent="0.4">
      <c r="D1352" t="s">
        <v>58</v>
      </c>
      <c r="E1352" t="s">
        <v>37</v>
      </c>
      <c r="F1352" s="9">
        <v>45691.625</v>
      </c>
      <c r="G1352">
        <v>19.3</v>
      </c>
      <c r="H1352" s="9">
        <v>45693.625</v>
      </c>
      <c r="I1352">
        <v>19.73</v>
      </c>
      <c r="J1352">
        <v>347.26</v>
      </c>
      <c r="K1352" s="12">
        <v>6702.23</v>
      </c>
      <c r="L1352">
        <v>10.17</v>
      </c>
      <c r="M1352">
        <v>139.16</v>
      </c>
      <c r="N1352" s="13">
        <v>2.0799999999999999E-2</v>
      </c>
      <c r="O1352" t="s">
        <v>38</v>
      </c>
      <c r="Q1352">
        <f t="shared" si="334"/>
        <v>149.32179999999991</v>
      </c>
      <c r="R1352">
        <f t="shared" si="335"/>
        <v>139.15179999999992</v>
      </c>
      <c r="S1352">
        <f t="shared" si="336"/>
        <v>6851.4398000000001</v>
      </c>
      <c r="U1352">
        <f t="shared" si="323"/>
        <v>85.492227999999997</v>
      </c>
      <c r="V1352">
        <f t="shared" si="337"/>
        <v>1650.0000004000001</v>
      </c>
      <c r="W1352">
        <f t="shared" si="324"/>
        <v>36.761658039999972</v>
      </c>
      <c r="X1352">
        <f t="shared" si="325"/>
        <v>3.33676165884</v>
      </c>
      <c r="Y1352">
        <f t="shared" si="326"/>
        <v>33.424896381159975</v>
      </c>
      <c r="Z1352">
        <f t="shared" si="327"/>
        <v>19362.34054719075</v>
      </c>
      <c r="AB1352">
        <f t="shared" si="328"/>
        <v>101.092814</v>
      </c>
      <c r="AC1352">
        <f t="shared" si="329"/>
        <v>1951.0913102000002</v>
      </c>
      <c r="AD1352">
        <f t="shared" si="330"/>
        <v>43.469910019999972</v>
      </c>
      <c r="AE1352">
        <f t="shared" si="331"/>
        <v>3.9456525304200003</v>
      </c>
      <c r="AF1352">
        <f t="shared" si="332"/>
        <v>39.524257489579973</v>
      </c>
      <c r="AG1352">
        <f t="shared" si="338"/>
        <v>19550.437434708401</v>
      </c>
      <c r="AH1352" t="b">
        <f t="shared" si="333"/>
        <v>1</v>
      </c>
    </row>
    <row r="1353" spans="4:34" hidden="1" x14ac:dyDescent="0.4">
      <c r="D1353" t="s">
        <v>50</v>
      </c>
      <c r="E1353" t="s">
        <v>37</v>
      </c>
      <c r="F1353" s="9">
        <v>45691.625</v>
      </c>
      <c r="G1353">
        <v>337.7</v>
      </c>
      <c r="H1353" s="9">
        <v>45693.625</v>
      </c>
      <c r="I1353">
        <v>360.2</v>
      </c>
      <c r="J1353">
        <v>33.119999999999997</v>
      </c>
      <c r="K1353" s="12">
        <v>11184.64</v>
      </c>
      <c r="L1353">
        <v>17.34</v>
      </c>
      <c r="M1353">
        <v>727.86</v>
      </c>
      <c r="N1353" s="13">
        <v>6.5100000000000005E-2</v>
      </c>
      <c r="O1353" t="s">
        <v>38</v>
      </c>
      <c r="Q1353">
        <f t="shared" si="334"/>
        <v>745.19999999999993</v>
      </c>
      <c r="R1353">
        <f t="shared" si="335"/>
        <v>727.8599999999999</v>
      </c>
      <c r="S1353">
        <f t="shared" si="336"/>
        <v>11929.823999999999</v>
      </c>
      <c r="U1353">
        <f t="shared" si="323"/>
        <v>4.885993</v>
      </c>
      <c r="V1353">
        <f t="shared" si="337"/>
        <v>1649.9998361</v>
      </c>
      <c r="W1353">
        <f t="shared" si="324"/>
        <v>109.9348425</v>
      </c>
      <c r="X1353">
        <f t="shared" si="325"/>
        <v>3.4099345146999998</v>
      </c>
      <c r="Y1353">
        <f t="shared" si="326"/>
        <v>106.5249079853</v>
      </c>
      <c r="Z1353">
        <f t="shared" si="327"/>
        <v>19328.915650809591</v>
      </c>
      <c r="AB1353">
        <f t="shared" si="328"/>
        <v>5.740526</v>
      </c>
      <c r="AC1353">
        <f t="shared" si="329"/>
        <v>1938.5756302</v>
      </c>
      <c r="AD1353">
        <f t="shared" si="330"/>
        <v>129.161835</v>
      </c>
      <c r="AE1353">
        <f t="shared" si="331"/>
        <v>4.0063130953999995</v>
      </c>
      <c r="AF1353">
        <f t="shared" si="332"/>
        <v>125.15552190459999</v>
      </c>
      <c r="AG1353">
        <f t="shared" si="338"/>
        <v>19510.913177218823</v>
      </c>
      <c r="AH1353" t="b">
        <f t="shared" si="333"/>
        <v>1</v>
      </c>
    </row>
    <row r="1354" spans="4:34" hidden="1" x14ac:dyDescent="0.4">
      <c r="D1354" t="s">
        <v>58</v>
      </c>
      <c r="E1354" t="s">
        <v>37</v>
      </c>
      <c r="F1354" s="9">
        <v>45689</v>
      </c>
      <c r="G1354">
        <v>25.14</v>
      </c>
      <c r="H1354" s="9">
        <v>45691</v>
      </c>
      <c r="I1354">
        <v>20.46</v>
      </c>
      <c r="J1354">
        <v>271.69</v>
      </c>
      <c r="K1354" s="12">
        <v>6830.31</v>
      </c>
      <c r="L1354">
        <v>9.2899999999999991</v>
      </c>
      <c r="M1354" s="12">
        <v>-1280.8</v>
      </c>
      <c r="N1354" s="13">
        <v>-0.1875</v>
      </c>
      <c r="O1354" t="s">
        <v>38</v>
      </c>
      <c r="Q1354">
        <f t="shared" si="334"/>
        <v>-1271.5092</v>
      </c>
      <c r="R1354">
        <f t="shared" si="335"/>
        <v>-1280.7991999999999</v>
      </c>
      <c r="S1354">
        <f t="shared" si="336"/>
        <v>5558.7773999999999</v>
      </c>
      <c r="U1354">
        <f t="shared" si="323"/>
        <v>65.632458</v>
      </c>
      <c r="V1354">
        <f t="shared" si="337"/>
        <v>1649.9999941200001</v>
      </c>
      <c r="W1354">
        <f t="shared" si="324"/>
        <v>-307.15990343999999</v>
      </c>
      <c r="X1354">
        <f t="shared" si="325"/>
        <v>2.9928400848000001</v>
      </c>
      <c r="Y1354">
        <f t="shared" si="326"/>
        <v>-310.15274352479997</v>
      </c>
      <c r="Z1354">
        <f t="shared" si="327"/>
        <v>19222.390742824293</v>
      </c>
      <c r="AB1354">
        <f t="shared" si="328"/>
        <v>78.588446000000005</v>
      </c>
      <c r="AC1354">
        <f t="shared" si="329"/>
        <v>1975.7135324400001</v>
      </c>
      <c r="AD1354">
        <f t="shared" si="330"/>
        <v>-367.79392727999999</v>
      </c>
      <c r="AE1354">
        <f t="shared" si="331"/>
        <v>3.5836331376000001</v>
      </c>
      <c r="AF1354">
        <f t="shared" si="332"/>
        <v>-371.37756041759997</v>
      </c>
      <c r="AG1354">
        <f t="shared" si="338"/>
        <v>19385.757655314224</v>
      </c>
      <c r="AH1354" t="b">
        <f t="shared" si="333"/>
        <v>1</v>
      </c>
    </row>
    <row r="1355" spans="4:34" hidden="1" x14ac:dyDescent="0.4">
      <c r="D1355" t="s">
        <v>59</v>
      </c>
      <c r="E1355" t="s">
        <v>37</v>
      </c>
      <c r="F1355" s="9">
        <v>45687.625</v>
      </c>
      <c r="G1355" s="12">
        <v>105915.99</v>
      </c>
      <c r="H1355" s="9">
        <v>45690.125</v>
      </c>
      <c r="I1355" s="12">
        <v>100430</v>
      </c>
      <c r="J1355">
        <v>9.4850000000000004E-2</v>
      </c>
      <c r="K1355" s="12">
        <v>10046.69</v>
      </c>
      <c r="L1355">
        <v>14.68</v>
      </c>
      <c r="M1355">
        <v>-535.03</v>
      </c>
      <c r="N1355" s="13">
        <v>-5.33E-2</v>
      </c>
      <c r="O1355" t="s">
        <v>57</v>
      </c>
      <c r="Q1355">
        <f t="shared" si="334"/>
        <v>-520.34615150000047</v>
      </c>
      <c r="R1355">
        <f t="shared" si="335"/>
        <v>-535.02615150000042</v>
      </c>
      <c r="S1355">
        <f t="shared" si="336"/>
        <v>9525.7855</v>
      </c>
      <c r="U1355">
        <f t="shared" si="323"/>
        <v>1.5578E-2</v>
      </c>
      <c r="V1355">
        <f t="shared" si="337"/>
        <v>1649.95929222</v>
      </c>
      <c r="W1355">
        <f t="shared" si="324"/>
        <v>-85.460752220000074</v>
      </c>
      <c r="X1355">
        <f t="shared" si="325"/>
        <v>3.2144578322199999</v>
      </c>
      <c r="Y1355">
        <f t="shared" si="326"/>
        <v>-88.675210052220081</v>
      </c>
      <c r="Z1355">
        <f t="shared" si="327"/>
        <v>19532.543486349092</v>
      </c>
      <c r="AB1355">
        <f t="shared" si="328"/>
        <v>1.8754E-2</v>
      </c>
      <c r="AC1355">
        <f t="shared" si="329"/>
        <v>1986.34847646</v>
      </c>
      <c r="AD1355">
        <f t="shared" si="330"/>
        <v>-102.8842564600001</v>
      </c>
      <c r="AE1355">
        <f t="shared" si="331"/>
        <v>3.8698126964599999</v>
      </c>
      <c r="AF1355">
        <f t="shared" si="332"/>
        <v>-106.7540691564601</v>
      </c>
      <c r="AG1355">
        <f t="shared" si="338"/>
        <v>19757.135215731825</v>
      </c>
      <c r="AH1355" t="b">
        <f t="shared" si="333"/>
        <v>1</v>
      </c>
    </row>
    <row r="1356" spans="4:34" hidden="1" x14ac:dyDescent="0.4">
      <c r="D1356" t="s">
        <v>55</v>
      </c>
      <c r="E1356" t="s">
        <v>37</v>
      </c>
      <c r="F1356" s="9">
        <v>45688.041666666664</v>
      </c>
      <c r="G1356">
        <v>7.8079999999999998E-5</v>
      </c>
      <c r="H1356" s="9">
        <v>45690.041666666664</v>
      </c>
      <c r="I1356">
        <v>7.2719999999999995E-5</v>
      </c>
      <c r="J1356" s="12">
        <v>75483831.069999993</v>
      </c>
      <c r="K1356" s="12">
        <v>5893.78</v>
      </c>
      <c r="L1356">
        <v>8.5399999999999991</v>
      </c>
      <c r="M1356">
        <v>-413.13</v>
      </c>
      <c r="N1356" s="13">
        <v>-7.0099999999999996E-2</v>
      </c>
      <c r="O1356" t="s">
        <v>38</v>
      </c>
      <c r="Q1356">
        <f t="shared" si="334"/>
        <v>-404.5933345352002</v>
      </c>
      <c r="R1356">
        <f t="shared" si="335"/>
        <v>-413.13333453520022</v>
      </c>
      <c r="S1356">
        <f t="shared" si="336"/>
        <v>5489.1841954103993</v>
      </c>
      <c r="U1356">
        <f t="shared" si="323"/>
        <v>21132172.131147999</v>
      </c>
      <c r="V1356">
        <f t="shared" si="337"/>
        <v>1650.0000000000357</v>
      </c>
      <c r="W1356">
        <f t="shared" si="324"/>
        <v>-113.26844262295334</v>
      </c>
      <c r="X1356">
        <f t="shared" si="325"/>
        <v>3.1867315573771178</v>
      </c>
      <c r="Y1356">
        <f t="shared" si="326"/>
        <v>-116.45517418033046</v>
      </c>
      <c r="Z1356">
        <f t="shared" si="327"/>
        <v>19621.218696401313</v>
      </c>
      <c r="AB1356">
        <f t="shared" si="328"/>
        <v>25621264.019786</v>
      </c>
      <c r="AC1356">
        <f t="shared" si="329"/>
        <v>2000.5082946648909</v>
      </c>
      <c r="AD1356">
        <f t="shared" si="330"/>
        <v>-137.32997514605304</v>
      </c>
      <c r="AE1356">
        <f t="shared" si="331"/>
        <v>3.8636866141837283</v>
      </c>
      <c r="AF1356">
        <f t="shared" si="332"/>
        <v>-141.19366176023678</v>
      </c>
      <c r="AG1356">
        <f t="shared" si="338"/>
        <v>19863.889284888286</v>
      </c>
      <c r="AH1356" t="b">
        <f t="shared" si="333"/>
        <v>1</v>
      </c>
    </row>
    <row r="1357" spans="4:34" hidden="1" x14ac:dyDescent="0.4">
      <c r="D1357" t="s">
        <v>61</v>
      </c>
      <c r="E1357" t="s">
        <v>37</v>
      </c>
      <c r="F1357" s="9">
        <v>45687.625</v>
      </c>
      <c r="G1357">
        <v>0.97799999999999998</v>
      </c>
      <c r="H1357" s="9">
        <v>45689.625</v>
      </c>
      <c r="I1357">
        <v>0.92300000000000004</v>
      </c>
      <c r="J1357" s="12">
        <v>7715</v>
      </c>
      <c r="K1357" s="12">
        <v>7545.27</v>
      </c>
      <c r="L1357">
        <v>11</v>
      </c>
      <c r="M1357">
        <v>-435.32</v>
      </c>
      <c r="N1357" s="13">
        <v>-5.7700000000000001E-2</v>
      </c>
      <c r="O1357" t="s">
        <v>38</v>
      </c>
      <c r="Q1357">
        <f t="shared" si="334"/>
        <v>-424.32499999999953</v>
      </c>
      <c r="R1357">
        <f t="shared" si="335"/>
        <v>-435.32499999999953</v>
      </c>
      <c r="S1357">
        <f t="shared" si="336"/>
        <v>7120.9450000000006</v>
      </c>
      <c r="U1357">
        <f t="shared" ref="U1357:U1420" si="339">ROUND(($Q$2)/G1357,6)</f>
        <v>1687.1165639999999</v>
      </c>
      <c r="V1357">
        <f t="shared" si="337"/>
        <v>1649.999999592</v>
      </c>
      <c r="W1357">
        <f t="shared" ref="W1357:W1420" si="340">U1357*(I1357-G1357)</f>
        <v>-92.791411019999885</v>
      </c>
      <c r="X1357">
        <f t="shared" ref="X1357:X1420" si="341">(G1357+I1357)*$R$2*U1357</f>
        <v>3.2072085881640002</v>
      </c>
      <c r="Y1357">
        <f t="shared" ref="Y1357:Y1420" si="342">W1357-X1357</f>
        <v>-95.998619608163878</v>
      </c>
      <c r="Z1357">
        <f t="shared" ref="Z1357:Z1420" si="343">Z1358+Y1357</f>
        <v>19737.673870581642</v>
      </c>
      <c r="AB1357">
        <f t="shared" ref="AB1357:AB1420" si="344">ROUND(((AH1357*AG1358 +(1-AH1357)*AI1357)/$P$2)/G1357,6)</f>
        <v>2057.480125</v>
      </c>
      <c r="AC1357">
        <f t="shared" ref="AC1357:AC1420" si="345">AB1357*G1357</f>
        <v>2012.2155622499999</v>
      </c>
      <c r="AD1357">
        <f t="shared" ref="AD1357:AD1420" si="346">AB1357*(I1357-G1357)</f>
        <v>-113.16140687499987</v>
      </c>
      <c r="AE1357">
        <f t="shared" ref="AE1357:AE1420" si="347">(G1357+I1357)*$R$2*AB1357</f>
        <v>3.9112697176250002</v>
      </c>
      <c r="AF1357">
        <f t="shared" ref="AF1357:AF1420" si="348">AD1357-AE1357</f>
        <v>-117.07267659262487</v>
      </c>
      <c r="AG1357">
        <f t="shared" si="338"/>
        <v>20005.082946648523</v>
      </c>
      <c r="AH1357" t="b">
        <f t="shared" ref="AH1357:AH1420" si="349">ISBLANK(AI1357)</f>
        <v>1</v>
      </c>
    </row>
    <row r="1358" spans="4:34" hidden="1" x14ac:dyDescent="0.4">
      <c r="D1358" t="s">
        <v>52</v>
      </c>
      <c r="E1358" t="s">
        <v>37</v>
      </c>
      <c r="F1358" s="9">
        <v>45687.583333333336</v>
      </c>
      <c r="G1358">
        <v>9</v>
      </c>
      <c r="H1358" s="9">
        <v>45689.583333333336</v>
      </c>
      <c r="I1358">
        <v>8.9689999999999994</v>
      </c>
      <c r="J1358">
        <v>257.27</v>
      </c>
      <c r="K1358" s="12">
        <v>2315.5100000000002</v>
      </c>
      <c r="L1358">
        <v>3.47</v>
      </c>
      <c r="M1358">
        <v>-11.44</v>
      </c>
      <c r="N1358" s="13">
        <v>-4.8999999999999998E-3</v>
      </c>
      <c r="O1358" t="s">
        <v>38</v>
      </c>
      <c r="Q1358">
        <f t="shared" ref="Q1358:Q1421" si="350">(I1358-G1358)*J1358</f>
        <v>-7.9753700000001491</v>
      </c>
      <c r="R1358">
        <f t="shared" ref="R1358:R1421" si="351">Q1358-L1358</f>
        <v>-11.44537000000015</v>
      </c>
      <c r="S1358">
        <f t="shared" ref="S1358:S1421" si="352">I1358*J1358</f>
        <v>2307.4546299999997</v>
      </c>
      <c r="U1358">
        <f t="shared" si="339"/>
        <v>183.33333300000001</v>
      </c>
      <c r="V1358">
        <f t="shared" ref="V1358:V1421" si="353">U1358*G1358</f>
        <v>1649.9999970000001</v>
      </c>
      <c r="W1358">
        <f t="shared" si="340"/>
        <v>-5.6833333230001069</v>
      </c>
      <c r="X1358">
        <f t="shared" si="341"/>
        <v>3.2943166606770005</v>
      </c>
      <c r="Y1358">
        <f t="shared" si="342"/>
        <v>-8.9776499836771073</v>
      </c>
      <c r="Z1358">
        <f t="shared" si="343"/>
        <v>19833.672490189805</v>
      </c>
      <c r="AB1358">
        <f t="shared" si="344"/>
        <v>223.701223</v>
      </c>
      <c r="AC1358">
        <f t="shared" si="345"/>
        <v>2013.311007</v>
      </c>
      <c r="AD1358">
        <f t="shared" si="346"/>
        <v>-6.9347379130001299</v>
      </c>
      <c r="AE1358">
        <f t="shared" si="347"/>
        <v>4.0196872760870006</v>
      </c>
      <c r="AF1358">
        <f t="shared" si="348"/>
        <v>-10.95442518908713</v>
      </c>
      <c r="AG1358">
        <f t="shared" si="338"/>
        <v>20122.155623241149</v>
      </c>
      <c r="AH1358" t="b">
        <f t="shared" si="349"/>
        <v>1</v>
      </c>
    </row>
    <row r="1359" spans="4:34" hidden="1" x14ac:dyDescent="0.4">
      <c r="D1359" t="s">
        <v>56</v>
      </c>
      <c r="E1359" t="s">
        <v>37</v>
      </c>
      <c r="F1359" s="9">
        <v>45687.083333333336</v>
      </c>
      <c r="G1359" s="12">
        <v>3138.28</v>
      </c>
      <c r="H1359" s="9">
        <v>45689.583333333336</v>
      </c>
      <c r="I1359" s="12">
        <v>3245.21</v>
      </c>
      <c r="J1359">
        <v>1.6694</v>
      </c>
      <c r="K1359" s="12">
        <v>5239.2299999999996</v>
      </c>
      <c r="L1359">
        <v>7.99</v>
      </c>
      <c r="M1359">
        <v>170.52</v>
      </c>
      <c r="N1359" s="13">
        <v>3.2500000000000001E-2</v>
      </c>
      <c r="O1359" t="s">
        <v>57</v>
      </c>
      <c r="Q1359">
        <f t="shared" si="350"/>
        <v>178.50894199999973</v>
      </c>
      <c r="R1359">
        <f t="shared" si="351"/>
        <v>170.51894199999973</v>
      </c>
      <c r="S1359">
        <f t="shared" si="352"/>
        <v>5417.5535740000005</v>
      </c>
      <c r="U1359">
        <f t="shared" si="339"/>
        <v>0.52576599999999996</v>
      </c>
      <c r="V1359">
        <f t="shared" si="353"/>
        <v>1650.0009224799999</v>
      </c>
      <c r="W1359">
        <f t="shared" si="340"/>
        <v>56.220158379999909</v>
      </c>
      <c r="X1359">
        <f t="shared" si="341"/>
        <v>3.3562220033399996</v>
      </c>
      <c r="Y1359">
        <f t="shared" si="342"/>
        <v>52.863936376659908</v>
      </c>
      <c r="Z1359">
        <f t="shared" si="343"/>
        <v>19842.650140173482</v>
      </c>
      <c r="AB1359">
        <f t="shared" si="344"/>
        <v>0.63948400000000005</v>
      </c>
      <c r="AC1359">
        <f t="shared" si="345"/>
        <v>2006.8798475200003</v>
      </c>
      <c r="AD1359">
        <f t="shared" si="346"/>
        <v>68.380024119999902</v>
      </c>
      <c r="AE1359">
        <f t="shared" si="347"/>
        <v>4.0821397191600006</v>
      </c>
      <c r="AF1359">
        <f t="shared" si="348"/>
        <v>64.297884400839905</v>
      </c>
      <c r="AG1359">
        <f t="shared" si="338"/>
        <v>20133.110048430237</v>
      </c>
      <c r="AH1359" t="b">
        <f t="shared" si="349"/>
        <v>1</v>
      </c>
    </row>
    <row r="1360" spans="4:34" hidden="1" x14ac:dyDescent="0.4">
      <c r="D1360" t="s">
        <v>60</v>
      </c>
      <c r="E1360" t="s">
        <v>37</v>
      </c>
      <c r="F1360" s="9">
        <v>45687.041666666664</v>
      </c>
      <c r="G1360">
        <v>3.0798999999999999</v>
      </c>
      <c r="H1360" s="9">
        <v>45689.541666666664</v>
      </c>
      <c r="I1360">
        <v>3.0004</v>
      </c>
      <c r="J1360">
        <v>667.3</v>
      </c>
      <c r="K1360" s="12">
        <v>2055.4699999999998</v>
      </c>
      <c r="L1360">
        <v>3.04</v>
      </c>
      <c r="M1360">
        <v>-56.09</v>
      </c>
      <c r="N1360" s="13">
        <v>-2.7300000000000001E-2</v>
      </c>
      <c r="O1360" t="s">
        <v>57</v>
      </c>
      <c r="Q1360">
        <f t="shared" si="350"/>
        <v>-53.050349999999931</v>
      </c>
      <c r="R1360">
        <f t="shared" si="351"/>
        <v>-56.09034999999993</v>
      </c>
      <c r="S1360">
        <f t="shared" si="352"/>
        <v>2002.1669199999999</v>
      </c>
      <c r="U1360">
        <f t="shared" si="339"/>
        <v>535.73167999999998</v>
      </c>
      <c r="V1360">
        <f t="shared" si="353"/>
        <v>1650.0000012319999</v>
      </c>
      <c r="W1360">
        <f t="shared" si="340"/>
        <v>-42.590668559999948</v>
      </c>
      <c r="X1360">
        <f t="shared" si="341"/>
        <v>3.2574093339039996</v>
      </c>
      <c r="Y1360">
        <f t="shared" si="342"/>
        <v>-45.848077893903948</v>
      </c>
      <c r="Z1360">
        <f t="shared" si="343"/>
        <v>19789.786203796823</v>
      </c>
      <c r="AB1360">
        <f t="shared" si="344"/>
        <v>653.42160999999999</v>
      </c>
      <c r="AC1360">
        <f t="shared" si="345"/>
        <v>2012.4732166389999</v>
      </c>
      <c r="AD1360">
        <f t="shared" si="346"/>
        <v>-51.947017994999939</v>
      </c>
      <c r="AE1360">
        <f t="shared" si="347"/>
        <v>3.9729994152829997</v>
      </c>
      <c r="AF1360">
        <f t="shared" si="348"/>
        <v>-55.920017410282938</v>
      </c>
      <c r="AG1360">
        <f t="shared" si="338"/>
        <v>20068.812164029398</v>
      </c>
      <c r="AH1360" t="b">
        <f t="shared" si="349"/>
        <v>1</v>
      </c>
    </row>
    <row r="1361" spans="4:34" hidden="1" x14ac:dyDescent="0.4">
      <c r="D1361" t="s">
        <v>43</v>
      </c>
      <c r="E1361" t="s">
        <v>37</v>
      </c>
      <c r="F1361" s="9">
        <v>45687.083333333336</v>
      </c>
      <c r="G1361">
        <v>3.7871000000000001</v>
      </c>
      <c r="H1361" s="9">
        <v>45689.083333333336</v>
      </c>
      <c r="I1361">
        <v>4.0698999999999996</v>
      </c>
      <c r="J1361">
        <v>441.8</v>
      </c>
      <c r="K1361" s="12">
        <v>1673.36</v>
      </c>
      <c r="L1361">
        <v>2.6</v>
      </c>
      <c r="M1361">
        <v>122.34</v>
      </c>
      <c r="N1361" s="13">
        <v>7.3099999999999998E-2</v>
      </c>
      <c r="O1361" t="s">
        <v>38</v>
      </c>
      <c r="Q1361">
        <f t="shared" si="350"/>
        <v>124.94103999999977</v>
      </c>
      <c r="R1361">
        <f t="shared" si="351"/>
        <v>122.34103999999978</v>
      </c>
      <c r="S1361">
        <f t="shared" si="352"/>
        <v>1798.0818199999999</v>
      </c>
      <c r="U1361">
        <f t="shared" si="339"/>
        <v>435.68957799999998</v>
      </c>
      <c r="V1361">
        <f t="shared" si="353"/>
        <v>1650.0000008438001</v>
      </c>
      <c r="W1361">
        <f t="shared" si="340"/>
        <v>123.21301265839978</v>
      </c>
      <c r="X1361">
        <f t="shared" si="341"/>
        <v>3.4232130143459996</v>
      </c>
      <c r="Y1361">
        <f t="shared" si="342"/>
        <v>119.78979964405377</v>
      </c>
      <c r="Z1361">
        <f t="shared" si="343"/>
        <v>19835.634281690727</v>
      </c>
      <c r="AB1361">
        <f t="shared" si="344"/>
        <v>527.57201899999995</v>
      </c>
      <c r="AC1361">
        <f t="shared" si="345"/>
        <v>1997.9679931548999</v>
      </c>
      <c r="AD1361">
        <f t="shared" si="346"/>
        <v>149.19736697319973</v>
      </c>
      <c r="AE1361">
        <f t="shared" si="347"/>
        <v>4.1451333532829997</v>
      </c>
      <c r="AF1361">
        <f t="shared" si="348"/>
        <v>145.05223361991673</v>
      </c>
      <c r="AG1361">
        <f t="shared" si="338"/>
        <v>20124.732181439682</v>
      </c>
      <c r="AH1361" t="b">
        <f t="shared" si="349"/>
        <v>1</v>
      </c>
    </row>
    <row r="1362" spans="4:34" hidden="1" x14ac:dyDescent="0.4">
      <c r="D1362" t="s">
        <v>50</v>
      </c>
      <c r="E1362" t="s">
        <v>37</v>
      </c>
      <c r="F1362" s="9">
        <v>45687.083333333336</v>
      </c>
      <c r="G1362">
        <v>454.5</v>
      </c>
      <c r="H1362" s="9">
        <v>45689.083333333336</v>
      </c>
      <c r="I1362">
        <v>451.9</v>
      </c>
      <c r="J1362">
        <v>24.6264</v>
      </c>
      <c r="K1362" s="12">
        <v>11192.72</v>
      </c>
      <c r="L1362">
        <v>16.739999999999998</v>
      </c>
      <c r="M1362">
        <v>-80.77</v>
      </c>
      <c r="N1362" s="13">
        <v>-7.1999999999999998E-3</v>
      </c>
      <c r="O1362" t="s">
        <v>38</v>
      </c>
      <c r="Q1362">
        <f t="shared" si="350"/>
        <v>-64.028640000000564</v>
      </c>
      <c r="R1362">
        <f t="shared" si="351"/>
        <v>-80.768640000000559</v>
      </c>
      <c r="S1362">
        <f t="shared" si="352"/>
        <v>11128.67016</v>
      </c>
      <c r="U1362">
        <f t="shared" si="339"/>
        <v>3.630363</v>
      </c>
      <c r="V1362">
        <f t="shared" si="353"/>
        <v>1649.9999835000001</v>
      </c>
      <c r="W1362">
        <f t="shared" si="340"/>
        <v>-9.4389438000000823</v>
      </c>
      <c r="X1362">
        <f t="shared" si="341"/>
        <v>3.2905610232</v>
      </c>
      <c r="Y1362">
        <f t="shared" si="342"/>
        <v>-12.729504823200083</v>
      </c>
      <c r="Z1362">
        <f t="shared" si="343"/>
        <v>19715.844482046672</v>
      </c>
      <c r="AB1362">
        <f t="shared" si="344"/>
        <v>4.3993630000000001</v>
      </c>
      <c r="AC1362">
        <f t="shared" si="345"/>
        <v>1999.5104835</v>
      </c>
      <c r="AD1362">
        <f t="shared" si="346"/>
        <v>-11.4383438000001</v>
      </c>
      <c r="AE1362">
        <f t="shared" si="347"/>
        <v>3.9875826232000002</v>
      </c>
      <c r="AF1362">
        <f t="shared" si="348"/>
        <v>-15.425926423200099</v>
      </c>
      <c r="AG1362">
        <f t="shared" si="338"/>
        <v>19979.679947819764</v>
      </c>
      <c r="AH1362" t="b">
        <f t="shared" si="349"/>
        <v>1</v>
      </c>
    </row>
    <row r="1363" spans="4:34" hidden="1" x14ac:dyDescent="0.4">
      <c r="D1363" t="s">
        <v>54</v>
      </c>
      <c r="E1363" t="s">
        <v>37</v>
      </c>
      <c r="F1363" s="9">
        <v>45687.041666666664</v>
      </c>
      <c r="G1363">
        <v>231.24</v>
      </c>
      <c r="H1363" s="9">
        <v>45689.041666666664</v>
      </c>
      <c r="I1363">
        <v>232.47</v>
      </c>
      <c r="J1363">
        <v>19.177</v>
      </c>
      <c r="K1363" s="12">
        <v>4434.62</v>
      </c>
      <c r="L1363">
        <v>6.67</v>
      </c>
      <c r="M1363">
        <v>16.920000000000002</v>
      </c>
      <c r="N1363" s="13">
        <v>3.8E-3</v>
      </c>
      <c r="O1363" t="s">
        <v>38</v>
      </c>
      <c r="Q1363">
        <f t="shared" si="350"/>
        <v>23.587709999999802</v>
      </c>
      <c r="R1363">
        <f t="shared" si="351"/>
        <v>16.917709999999801</v>
      </c>
      <c r="S1363">
        <f t="shared" si="352"/>
        <v>4458.07719</v>
      </c>
      <c r="U1363">
        <f t="shared" si="339"/>
        <v>7.1354439999999997</v>
      </c>
      <c r="V1363">
        <f t="shared" si="353"/>
        <v>1650.00007056</v>
      </c>
      <c r="W1363">
        <f t="shared" si="340"/>
        <v>8.7765961199999261</v>
      </c>
      <c r="X1363">
        <f t="shared" si="341"/>
        <v>3.3087767372400005</v>
      </c>
      <c r="Y1363">
        <f t="shared" si="342"/>
        <v>5.4678193827599255</v>
      </c>
      <c r="Z1363">
        <f t="shared" si="343"/>
        <v>19728.573986869873</v>
      </c>
      <c r="AB1363">
        <f t="shared" si="344"/>
        <v>8.6440420000000007</v>
      </c>
      <c r="AC1363">
        <f t="shared" si="345"/>
        <v>1998.8482720800002</v>
      </c>
      <c r="AD1363">
        <f t="shared" si="346"/>
        <v>10.632171659999912</v>
      </c>
      <c r="AE1363">
        <f t="shared" si="347"/>
        <v>4.0083287158200012</v>
      </c>
      <c r="AF1363">
        <f t="shared" si="348"/>
        <v>6.6238429441799109</v>
      </c>
      <c r="AG1363">
        <f t="shared" si="338"/>
        <v>19995.105874242963</v>
      </c>
      <c r="AH1363" t="b">
        <f t="shared" si="349"/>
        <v>1</v>
      </c>
    </row>
    <row r="1364" spans="4:34" hidden="1" x14ac:dyDescent="0.4">
      <c r="D1364" t="s">
        <v>53</v>
      </c>
      <c r="E1364" t="s">
        <v>37</v>
      </c>
      <c r="F1364" s="9">
        <v>45687.041666666664</v>
      </c>
      <c r="G1364">
        <v>671.85</v>
      </c>
      <c r="H1364" s="9">
        <v>45689.041666666664</v>
      </c>
      <c r="I1364">
        <v>680.41</v>
      </c>
      <c r="J1364">
        <v>13.265000000000001</v>
      </c>
      <c r="K1364" s="12">
        <v>8912.5</v>
      </c>
      <c r="L1364">
        <v>13.45</v>
      </c>
      <c r="M1364">
        <v>100.1</v>
      </c>
      <c r="N1364" s="13">
        <v>1.12E-2</v>
      </c>
      <c r="O1364" t="s">
        <v>38</v>
      </c>
      <c r="Q1364">
        <f t="shared" si="350"/>
        <v>113.54839999999928</v>
      </c>
      <c r="R1364">
        <f t="shared" si="351"/>
        <v>100.09839999999927</v>
      </c>
      <c r="S1364">
        <f t="shared" si="352"/>
        <v>9025.6386500000008</v>
      </c>
      <c r="U1364">
        <f t="shared" si="339"/>
        <v>2.455905</v>
      </c>
      <c r="V1364">
        <f t="shared" si="353"/>
        <v>1649.99977425</v>
      </c>
      <c r="W1364">
        <f t="shared" si="340"/>
        <v>21.022546799999866</v>
      </c>
      <c r="X1364">
        <f t="shared" si="341"/>
        <v>3.3210220953</v>
      </c>
      <c r="Y1364">
        <f t="shared" si="342"/>
        <v>17.701524704699864</v>
      </c>
      <c r="Z1364">
        <f t="shared" si="343"/>
        <v>19723.106167487113</v>
      </c>
      <c r="AB1364">
        <f t="shared" si="344"/>
        <v>2.9719519999999999</v>
      </c>
      <c r="AC1364">
        <f t="shared" si="345"/>
        <v>1996.7059512000001</v>
      </c>
      <c r="AD1364">
        <f t="shared" si="346"/>
        <v>25.439909119999836</v>
      </c>
      <c r="AE1364">
        <f t="shared" si="347"/>
        <v>4.0188518115200003</v>
      </c>
      <c r="AF1364">
        <f t="shared" si="348"/>
        <v>21.421057308479835</v>
      </c>
      <c r="AG1364">
        <f t="shared" si="338"/>
        <v>19988.482031298783</v>
      </c>
      <c r="AH1364" t="b">
        <f t="shared" si="349"/>
        <v>1</v>
      </c>
    </row>
    <row r="1365" spans="4:34" hidden="1" x14ac:dyDescent="0.4">
      <c r="D1365" t="s">
        <v>58</v>
      </c>
      <c r="E1365" t="s">
        <v>37</v>
      </c>
      <c r="F1365" s="9">
        <v>45686.791666666664</v>
      </c>
      <c r="G1365">
        <v>23.17</v>
      </c>
      <c r="H1365" s="9">
        <v>45688.791666666664</v>
      </c>
      <c r="I1365">
        <v>24.96</v>
      </c>
      <c r="J1365">
        <v>292.57</v>
      </c>
      <c r="K1365" s="12">
        <v>6779</v>
      </c>
      <c r="L1365">
        <v>10.56</v>
      </c>
      <c r="M1365">
        <v>513.14</v>
      </c>
      <c r="N1365" s="13">
        <v>7.5700000000000003E-2</v>
      </c>
      <c r="O1365" t="s">
        <v>38</v>
      </c>
      <c r="Q1365">
        <f t="shared" si="350"/>
        <v>523.70029999999974</v>
      </c>
      <c r="R1365">
        <f t="shared" si="351"/>
        <v>513.1402999999998</v>
      </c>
      <c r="S1365">
        <f t="shared" si="352"/>
        <v>7302.5472</v>
      </c>
      <c r="U1365">
        <f t="shared" si="339"/>
        <v>71.212774999999993</v>
      </c>
      <c r="V1365">
        <f t="shared" si="353"/>
        <v>1649.99999675</v>
      </c>
      <c r="W1365">
        <f t="shared" si="340"/>
        <v>127.47086724999993</v>
      </c>
      <c r="X1365">
        <f t="shared" si="341"/>
        <v>3.4274708607500002</v>
      </c>
      <c r="Y1365">
        <f t="shared" si="342"/>
        <v>124.04339638924992</v>
      </c>
      <c r="Z1365">
        <f t="shared" si="343"/>
        <v>19705.404642782414</v>
      </c>
      <c r="AB1365">
        <f t="shared" si="344"/>
        <v>85.533332000000001</v>
      </c>
      <c r="AC1365">
        <f t="shared" si="345"/>
        <v>1981.8073024400003</v>
      </c>
      <c r="AD1365">
        <f t="shared" si="346"/>
        <v>153.10466427999992</v>
      </c>
      <c r="AE1365">
        <f t="shared" si="347"/>
        <v>4.1167192691600007</v>
      </c>
      <c r="AF1365">
        <f t="shared" si="348"/>
        <v>148.98794501083992</v>
      </c>
      <c r="AG1365">
        <f t="shared" si="338"/>
        <v>19967.060973990305</v>
      </c>
      <c r="AH1365" t="b">
        <f t="shared" si="349"/>
        <v>1</v>
      </c>
    </row>
    <row r="1366" spans="4:34" hidden="1" x14ac:dyDescent="0.4">
      <c r="D1366" t="s">
        <v>48</v>
      </c>
      <c r="E1366" t="s">
        <v>37</v>
      </c>
      <c r="F1366" s="9">
        <v>45686.458333333336</v>
      </c>
      <c r="G1366">
        <v>0.39479999999999998</v>
      </c>
      <c r="H1366" s="9">
        <v>45688.458333333336</v>
      </c>
      <c r="I1366">
        <v>0.48320000000000002</v>
      </c>
      <c r="J1366" s="12">
        <v>6937.4</v>
      </c>
      <c r="K1366" s="12">
        <v>2738.92</v>
      </c>
      <c r="L1366">
        <v>4.57</v>
      </c>
      <c r="M1366">
        <v>608.70000000000005</v>
      </c>
      <c r="N1366" s="13">
        <v>0.22220000000000001</v>
      </c>
      <c r="O1366" t="s">
        <v>38</v>
      </c>
      <c r="Q1366">
        <f t="shared" si="350"/>
        <v>613.26616000000024</v>
      </c>
      <c r="R1366">
        <f t="shared" si="351"/>
        <v>608.69616000000019</v>
      </c>
      <c r="S1366">
        <f t="shared" si="352"/>
        <v>3352.1516799999999</v>
      </c>
      <c r="U1366">
        <f t="shared" si="339"/>
        <v>4179.3313070000004</v>
      </c>
      <c r="V1366">
        <f t="shared" si="353"/>
        <v>1650.0000000036</v>
      </c>
      <c r="W1366">
        <f t="shared" si="340"/>
        <v>369.45288753880016</v>
      </c>
      <c r="X1366">
        <f t="shared" si="341"/>
        <v>3.6694528875460004</v>
      </c>
      <c r="Y1366">
        <f t="shared" si="342"/>
        <v>365.78343465125414</v>
      </c>
      <c r="Z1366">
        <f t="shared" si="343"/>
        <v>19581.361246393164</v>
      </c>
      <c r="AB1366">
        <f t="shared" si="344"/>
        <v>4910.9069479999998</v>
      </c>
      <c r="AC1366">
        <f t="shared" si="345"/>
        <v>1938.8260630703999</v>
      </c>
      <c r="AD1366">
        <f t="shared" si="346"/>
        <v>434.12417420320014</v>
      </c>
      <c r="AE1366">
        <f t="shared" si="347"/>
        <v>4.3117763003439995</v>
      </c>
      <c r="AF1366">
        <f t="shared" si="348"/>
        <v>429.81239790285616</v>
      </c>
      <c r="AG1366">
        <f t="shared" si="338"/>
        <v>19818.073028979466</v>
      </c>
      <c r="AH1366" t="b">
        <f t="shared" si="349"/>
        <v>1</v>
      </c>
    </row>
    <row r="1367" spans="4:34" hidden="1" x14ac:dyDescent="0.4">
      <c r="D1367" t="s">
        <v>55</v>
      </c>
      <c r="E1367" t="s">
        <v>37</v>
      </c>
      <c r="F1367" s="9">
        <v>45686.041666666664</v>
      </c>
      <c r="G1367">
        <v>7.3280000000000003E-5</v>
      </c>
      <c r="H1367" s="9">
        <v>45688.041666666664</v>
      </c>
      <c r="I1367">
        <v>7.8079999999999998E-5</v>
      </c>
      <c r="J1367" s="12">
        <v>79917092.579999998</v>
      </c>
      <c r="K1367" s="12">
        <v>5856.32</v>
      </c>
      <c r="L1367">
        <v>9.07</v>
      </c>
      <c r="M1367">
        <v>374.53</v>
      </c>
      <c r="N1367" s="13">
        <v>6.4000000000000001E-2</v>
      </c>
      <c r="O1367" t="s">
        <v>38</v>
      </c>
      <c r="Q1367">
        <f t="shared" si="350"/>
        <v>383.60204438399956</v>
      </c>
      <c r="R1367">
        <f t="shared" si="351"/>
        <v>374.53204438399956</v>
      </c>
      <c r="S1367">
        <f t="shared" si="352"/>
        <v>6239.9265886464</v>
      </c>
      <c r="U1367">
        <f t="shared" si="339"/>
        <v>22516375.545852002</v>
      </c>
      <c r="V1367">
        <f t="shared" si="353"/>
        <v>1650.0000000000348</v>
      </c>
      <c r="W1367">
        <f t="shared" si="340"/>
        <v>108.07860262008948</v>
      </c>
      <c r="X1367">
        <f t="shared" si="341"/>
        <v>3.4080786026201597</v>
      </c>
      <c r="Y1367">
        <f t="shared" si="342"/>
        <v>104.67052401746932</v>
      </c>
      <c r="Z1367">
        <f t="shared" si="343"/>
        <v>19215.57781174191</v>
      </c>
      <c r="AB1367">
        <f t="shared" si="344"/>
        <v>26290997.880309001</v>
      </c>
      <c r="AC1367">
        <f t="shared" si="345"/>
        <v>1926.6043246690435</v>
      </c>
      <c r="AD1367">
        <f t="shared" si="346"/>
        <v>126.19678982548307</v>
      </c>
      <c r="AE1367">
        <f t="shared" si="347"/>
        <v>3.9794054391635711</v>
      </c>
      <c r="AF1367">
        <f t="shared" si="348"/>
        <v>122.21738438631949</v>
      </c>
      <c r="AG1367">
        <f t="shared" si="338"/>
        <v>19388.26063107661</v>
      </c>
      <c r="AH1367" t="b">
        <f t="shared" si="349"/>
        <v>1</v>
      </c>
    </row>
    <row r="1368" spans="4:34" hidden="1" x14ac:dyDescent="0.4">
      <c r="D1368" t="s">
        <v>59</v>
      </c>
      <c r="E1368" t="s">
        <v>37</v>
      </c>
      <c r="F1368" s="9">
        <v>45685.125</v>
      </c>
      <c r="G1368" s="12">
        <v>102388.97</v>
      </c>
      <c r="H1368" s="9">
        <v>45687.625</v>
      </c>
      <c r="I1368" s="12">
        <v>105915.99</v>
      </c>
      <c r="J1368">
        <v>9.7799999999999998E-2</v>
      </c>
      <c r="K1368" s="12">
        <v>10013.73</v>
      </c>
      <c r="L1368">
        <v>15.28</v>
      </c>
      <c r="M1368">
        <v>329.66</v>
      </c>
      <c r="N1368" s="13">
        <v>3.2899999999999999E-2</v>
      </c>
      <c r="O1368" t="s">
        <v>57</v>
      </c>
      <c r="Q1368">
        <f t="shared" si="350"/>
        <v>344.94255600000037</v>
      </c>
      <c r="R1368">
        <f t="shared" si="351"/>
        <v>329.66255600000039</v>
      </c>
      <c r="S1368">
        <f t="shared" si="352"/>
        <v>10358.583822000001</v>
      </c>
      <c r="U1368">
        <f t="shared" si="339"/>
        <v>1.6115000000000001E-2</v>
      </c>
      <c r="V1368">
        <f t="shared" si="353"/>
        <v>1649.9982515500001</v>
      </c>
      <c r="W1368">
        <f t="shared" si="340"/>
        <v>56.837927300000068</v>
      </c>
      <c r="X1368">
        <f t="shared" si="341"/>
        <v>3.3568344304000006</v>
      </c>
      <c r="Y1368">
        <f t="shared" si="342"/>
        <v>53.481092869600069</v>
      </c>
      <c r="Z1368">
        <f t="shared" si="343"/>
        <v>19110.90728772444</v>
      </c>
      <c r="AB1368">
        <f t="shared" si="344"/>
        <v>1.8755999999999998E-2</v>
      </c>
      <c r="AC1368">
        <f t="shared" si="345"/>
        <v>1920.4075213199999</v>
      </c>
      <c r="AD1368">
        <f t="shared" si="346"/>
        <v>66.15278712000007</v>
      </c>
      <c r="AE1368">
        <f t="shared" si="347"/>
        <v>3.9069678297600001</v>
      </c>
      <c r="AF1368">
        <f t="shared" si="348"/>
        <v>62.245819290240071</v>
      </c>
      <c r="AG1368">
        <f t="shared" si="338"/>
        <v>19266.043246690289</v>
      </c>
      <c r="AH1368" t="b">
        <f t="shared" si="349"/>
        <v>1</v>
      </c>
    </row>
    <row r="1369" spans="4:34" hidden="1" x14ac:dyDescent="0.4">
      <c r="D1369" t="s">
        <v>52</v>
      </c>
      <c r="E1369" t="s">
        <v>37</v>
      </c>
      <c r="F1369" s="9">
        <v>45685.5</v>
      </c>
      <c r="G1369">
        <v>8.9410000000000007</v>
      </c>
      <c r="H1369" s="9">
        <v>45687.5</v>
      </c>
      <c r="I1369">
        <v>8.9719999999999995</v>
      </c>
      <c r="J1369">
        <v>258.92</v>
      </c>
      <c r="K1369" s="12">
        <v>2315.06</v>
      </c>
      <c r="L1369">
        <v>3.48</v>
      </c>
      <c r="M1369">
        <v>4.55</v>
      </c>
      <c r="N1369" s="13">
        <v>2E-3</v>
      </c>
      <c r="O1369" t="s">
        <v>38</v>
      </c>
      <c r="Q1369">
        <f t="shared" si="350"/>
        <v>8.0265199999996906</v>
      </c>
      <c r="R1369">
        <f t="shared" si="351"/>
        <v>4.5465199999996901</v>
      </c>
      <c r="S1369">
        <f t="shared" si="352"/>
        <v>2323.03024</v>
      </c>
      <c r="U1369">
        <f t="shared" si="339"/>
        <v>184.543116</v>
      </c>
      <c r="V1369">
        <f t="shared" si="353"/>
        <v>1650.0000001560002</v>
      </c>
      <c r="W1369">
        <f t="shared" si="340"/>
        <v>5.7208365959997796</v>
      </c>
      <c r="X1369">
        <f t="shared" si="341"/>
        <v>3.3057208369080002</v>
      </c>
      <c r="Y1369">
        <f t="shared" si="342"/>
        <v>2.4151157590917793</v>
      </c>
      <c r="Z1369">
        <f t="shared" si="343"/>
        <v>19057.426194854841</v>
      </c>
      <c r="AB1369">
        <f t="shared" si="344"/>
        <v>214.75211899999999</v>
      </c>
      <c r="AC1369">
        <f t="shared" si="345"/>
        <v>1920.098695979</v>
      </c>
      <c r="AD1369">
        <f t="shared" si="346"/>
        <v>6.6573156889997431</v>
      </c>
      <c r="AE1369">
        <f t="shared" si="347"/>
        <v>3.8468547076470001</v>
      </c>
      <c r="AF1369">
        <f t="shared" si="348"/>
        <v>2.810460981352743</v>
      </c>
      <c r="AG1369">
        <f t="shared" si="338"/>
        <v>19203.797427400048</v>
      </c>
      <c r="AH1369" t="b">
        <f t="shared" si="349"/>
        <v>1</v>
      </c>
    </row>
    <row r="1370" spans="4:34" hidden="1" x14ac:dyDescent="0.4">
      <c r="D1370" t="s">
        <v>61</v>
      </c>
      <c r="E1370" t="s">
        <v>37</v>
      </c>
      <c r="F1370" s="9">
        <v>45685.458333333336</v>
      </c>
      <c r="G1370">
        <v>0.96130000000000004</v>
      </c>
      <c r="H1370" s="9">
        <v>45687.458333333336</v>
      </c>
      <c r="I1370">
        <v>0.96199999999999997</v>
      </c>
      <c r="J1370" s="12">
        <v>7849.6</v>
      </c>
      <c r="K1370" s="12">
        <v>7545.85</v>
      </c>
      <c r="L1370">
        <v>11.32</v>
      </c>
      <c r="M1370">
        <v>-5.83</v>
      </c>
      <c r="N1370" s="13">
        <v>-8.0000000000000004E-4</v>
      </c>
      <c r="O1370" t="s">
        <v>38</v>
      </c>
      <c r="Q1370">
        <f t="shared" si="350"/>
        <v>5.4947199999993952</v>
      </c>
      <c r="R1370">
        <f t="shared" si="351"/>
        <v>-5.8252800000006051</v>
      </c>
      <c r="S1370">
        <f t="shared" si="352"/>
        <v>7551.3152</v>
      </c>
      <c r="U1370">
        <f t="shared" si="339"/>
        <v>1716.4256740000001</v>
      </c>
      <c r="V1370">
        <f t="shared" si="353"/>
        <v>1650.0000004162002</v>
      </c>
      <c r="W1370">
        <f t="shared" si="340"/>
        <v>1.2014979717998677</v>
      </c>
      <c r="X1370">
        <f t="shared" si="341"/>
        <v>3.3012014988042</v>
      </c>
      <c r="Y1370">
        <f t="shared" si="342"/>
        <v>-2.0997035270043325</v>
      </c>
      <c r="Z1370">
        <f t="shared" si="343"/>
        <v>19055.011079095748</v>
      </c>
      <c r="AB1370">
        <f t="shared" si="344"/>
        <v>1997.65221</v>
      </c>
      <c r="AC1370">
        <f t="shared" si="345"/>
        <v>1920.343069473</v>
      </c>
      <c r="AD1370">
        <f t="shared" si="346"/>
        <v>1.398356546999846</v>
      </c>
      <c r="AE1370">
        <f t="shared" si="347"/>
        <v>3.8420844954929998</v>
      </c>
      <c r="AF1370">
        <f t="shared" si="348"/>
        <v>-2.4437279484931538</v>
      </c>
      <c r="AG1370">
        <f t="shared" si="338"/>
        <v>19200.986966418695</v>
      </c>
      <c r="AH1370" t="b">
        <f t="shared" si="349"/>
        <v>1</v>
      </c>
    </row>
    <row r="1371" spans="4:34" hidden="1" x14ac:dyDescent="0.4">
      <c r="D1371" t="s">
        <v>60</v>
      </c>
      <c r="E1371" t="s">
        <v>37</v>
      </c>
      <c r="F1371" s="9">
        <v>45684.541666666664</v>
      </c>
      <c r="G1371">
        <v>2.8772000000000002</v>
      </c>
      <c r="H1371" s="9">
        <v>45687.041666666664</v>
      </c>
      <c r="I1371">
        <v>3.0798999999999999</v>
      </c>
      <c r="J1371">
        <v>709.5</v>
      </c>
      <c r="K1371" s="12">
        <v>2041.41</v>
      </c>
      <c r="L1371">
        <v>3.17</v>
      </c>
      <c r="M1371">
        <v>140.65</v>
      </c>
      <c r="N1371" s="13">
        <v>6.8900000000000003E-2</v>
      </c>
      <c r="O1371" t="s">
        <v>57</v>
      </c>
      <c r="Q1371">
        <f t="shared" si="350"/>
        <v>143.81564999999975</v>
      </c>
      <c r="R1371">
        <f t="shared" si="351"/>
        <v>140.64564999999976</v>
      </c>
      <c r="S1371">
        <f t="shared" si="352"/>
        <v>2185.18905</v>
      </c>
      <c r="U1371">
        <f t="shared" si="339"/>
        <v>573.47421099999997</v>
      </c>
      <c r="V1371">
        <f t="shared" si="353"/>
        <v>1649.9999998892001</v>
      </c>
      <c r="W1371">
        <f t="shared" si="340"/>
        <v>116.2432225696998</v>
      </c>
      <c r="X1371">
        <f t="shared" si="341"/>
        <v>3.4162432223481001</v>
      </c>
      <c r="Y1371">
        <f t="shared" si="342"/>
        <v>112.8269793473517</v>
      </c>
      <c r="Z1371">
        <f t="shared" si="343"/>
        <v>19057.110782622753</v>
      </c>
      <c r="AB1371">
        <f t="shared" si="344"/>
        <v>662.90176099999996</v>
      </c>
      <c r="AC1371">
        <f t="shared" si="345"/>
        <v>1907.3009467492</v>
      </c>
      <c r="AD1371">
        <f t="shared" si="346"/>
        <v>134.37018695469976</v>
      </c>
      <c r="AE1371">
        <f t="shared" si="347"/>
        <v>3.9489720804531001</v>
      </c>
      <c r="AF1371">
        <f t="shared" si="348"/>
        <v>130.42121487424666</v>
      </c>
      <c r="AG1371">
        <f t="shared" si="338"/>
        <v>19203.430694367187</v>
      </c>
      <c r="AH1371" t="b">
        <f t="shared" si="349"/>
        <v>1</v>
      </c>
    </row>
    <row r="1372" spans="4:34" hidden="1" x14ac:dyDescent="0.4">
      <c r="D1372" t="s">
        <v>50</v>
      </c>
      <c r="E1372" t="s">
        <v>37</v>
      </c>
      <c r="F1372" s="9">
        <v>45684.875</v>
      </c>
      <c r="G1372">
        <v>448.3</v>
      </c>
      <c r="H1372" s="9">
        <v>45686.875</v>
      </c>
      <c r="I1372">
        <v>465.7</v>
      </c>
      <c r="J1372">
        <v>24.874199999999998</v>
      </c>
      <c r="K1372" s="12">
        <v>11151.15</v>
      </c>
      <c r="L1372">
        <v>17.05</v>
      </c>
      <c r="M1372">
        <v>415.76</v>
      </c>
      <c r="N1372" s="13">
        <v>3.73E-2</v>
      </c>
      <c r="O1372" t="s">
        <v>38</v>
      </c>
      <c r="Q1372">
        <f t="shared" si="350"/>
        <v>432.81107999999938</v>
      </c>
      <c r="R1372">
        <f t="shared" si="351"/>
        <v>415.76107999999937</v>
      </c>
      <c r="S1372">
        <f t="shared" si="352"/>
        <v>11583.914939999999</v>
      </c>
      <c r="U1372">
        <f t="shared" si="339"/>
        <v>3.680571</v>
      </c>
      <c r="V1372">
        <f t="shared" si="353"/>
        <v>1649.9999792999999</v>
      </c>
      <c r="W1372">
        <f t="shared" si="340"/>
        <v>64.041935399999915</v>
      </c>
      <c r="X1372">
        <f t="shared" si="341"/>
        <v>3.3640418940000001</v>
      </c>
      <c r="Y1372">
        <f t="shared" si="342"/>
        <v>60.677893505999911</v>
      </c>
      <c r="Z1372">
        <f t="shared" si="343"/>
        <v>18944.283803275401</v>
      </c>
      <c r="AB1372">
        <f t="shared" si="344"/>
        <v>4.238931</v>
      </c>
      <c r="AC1372">
        <f t="shared" si="345"/>
        <v>1900.3127673000001</v>
      </c>
      <c r="AD1372">
        <f t="shared" si="346"/>
        <v>73.757399399999898</v>
      </c>
      <c r="AE1372">
        <f t="shared" si="347"/>
        <v>3.8743829340000002</v>
      </c>
      <c r="AF1372">
        <f t="shared" si="348"/>
        <v>69.883016465999901</v>
      </c>
      <c r="AG1372">
        <f t="shared" si="338"/>
        <v>19073.009479492939</v>
      </c>
      <c r="AH1372" t="b">
        <f t="shared" si="349"/>
        <v>1</v>
      </c>
    </row>
    <row r="1373" spans="4:34" hidden="1" x14ac:dyDescent="0.4">
      <c r="D1373" t="s">
        <v>43</v>
      </c>
      <c r="E1373" t="s">
        <v>37</v>
      </c>
      <c r="F1373" s="9">
        <v>45684.833333333336</v>
      </c>
      <c r="G1373">
        <v>3.7751000000000001</v>
      </c>
      <c r="H1373" s="9">
        <v>45686.833333333336</v>
      </c>
      <c r="I1373">
        <v>3.7831999999999999</v>
      </c>
      <c r="J1373">
        <v>443.2</v>
      </c>
      <c r="K1373" s="12">
        <v>1673.25</v>
      </c>
      <c r="L1373">
        <v>2.5099999999999998</v>
      </c>
      <c r="M1373">
        <v>1.08</v>
      </c>
      <c r="N1373" s="13">
        <v>5.9999999999999995E-4</v>
      </c>
      <c r="O1373" t="s">
        <v>38</v>
      </c>
      <c r="Q1373">
        <f t="shared" si="350"/>
        <v>3.5899199999998999</v>
      </c>
      <c r="R1373">
        <f t="shared" si="351"/>
        <v>1.0799199999999001</v>
      </c>
      <c r="S1373">
        <f t="shared" si="352"/>
        <v>1676.71424</v>
      </c>
      <c r="U1373">
        <f t="shared" si="339"/>
        <v>437.07451500000002</v>
      </c>
      <c r="V1373">
        <f t="shared" si="353"/>
        <v>1650.0000015765002</v>
      </c>
      <c r="W1373">
        <f t="shared" si="340"/>
        <v>3.5403035714999014</v>
      </c>
      <c r="X1373">
        <f t="shared" si="341"/>
        <v>3.3035403067245004</v>
      </c>
      <c r="Y1373">
        <f t="shared" si="342"/>
        <v>0.23676326477540099</v>
      </c>
      <c r="Z1373">
        <f t="shared" si="343"/>
        <v>18883.605909769401</v>
      </c>
      <c r="AB1373">
        <f t="shared" si="344"/>
        <v>503.37352099999998</v>
      </c>
      <c r="AC1373">
        <f t="shared" si="345"/>
        <v>1900.2853791271</v>
      </c>
      <c r="AD1373">
        <f t="shared" si="346"/>
        <v>4.0773255200998859</v>
      </c>
      <c r="AE1373">
        <f t="shared" si="347"/>
        <v>3.8046480837743002</v>
      </c>
      <c r="AF1373">
        <f t="shared" si="348"/>
        <v>0.27267743632558572</v>
      </c>
      <c r="AG1373">
        <f t="shared" si="338"/>
        <v>19003.12646302694</v>
      </c>
      <c r="AH1373" t="b">
        <f t="shared" si="349"/>
        <v>1</v>
      </c>
    </row>
    <row r="1374" spans="4:34" hidden="1" x14ac:dyDescent="0.4">
      <c r="D1374" t="s">
        <v>53</v>
      </c>
      <c r="E1374" t="s">
        <v>37</v>
      </c>
      <c r="F1374" s="9">
        <v>45684.833333333336</v>
      </c>
      <c r="G1374">
        <v>664.96</v>
      </c>
      <c r="H1374" s="9">
        <v>45686.833333333336</v>
      </c>
      <c r="I1374">
        <v>668.17</v>
      </c>
      <c r="J1374">
        <v>13.398</v>
      </c>
      <c r="K1374" s="12">
        <v>8909.5400000000009</v>
      </c>
      <c r="L1374">
        <v>13.4</v>
      </c>
      <c r="M1374">
        <v>29.61</v>
      </c>
      <c r="N1374" s="13">
        <v>3.3E-3</v>
      </c>
      <c r="O1374" t="s">
        <v>38</v>
      </c>
      <c r="Q1374">
        <f t="shared" si="350"/>
        <v>43.00757999999896</v>
      </c>
      <c r="R1374">
        <f t="shared" si="351"/>
        <v>29.607579999998961</v>
      </c>
      <c r="S1374">
        <f t="shared" si="352"/>
        <v>8952.1416599999993</v>
      </c>
      <c r="U1374">
        <f t="shared" si="339"/>
        <v>2.4813519999999998</v>
      </c>
      <c r="V1374">
        <f t="shared" si="353"/>
        <v>1649.9998259199999</v>
      </c>
      <c r="W1374">
        <f t="shared" si="340"/>
        <v>7.9651399199998076</v>
      </c>
      <c r="X1374">
        <f t="shared" si="341"/>
        <v>3.3079647917599999</v>
      </c>
      <c r="Y1374">
        <f t="shared" si="342"/>
        <v>4.6571751282398077</v>
      </c>
      <c r="Z1374">
        <f t="shared" si="343"/>
        <v>18883.369146504625</v>
      </c>
      <c r="AB1374">
        <f t="shared" si="344"/>
        <v>2.856938</v>
      </c>
      <c r="AC1374">
        <f t="shared" si="345"/>
        <v>1899.7494924800001</v>
      </c>
      <c r="AD1374">
        <f t="shared" si="346"/>
        <v>9.1707709799997783</v>
      </c>
      <c r="AE1374">
        <f t="shared" si="347"/>
        <v>3.8086697559400005</v>
      </c>
      <c r="AF1374">
        <f t="shared" si="348"/>
        <v>5.3621012240597778</v>
      </c>
      <c r="AG1374">
        <f t="shared" si="338"/>
        <v>19002.853785590614</v>
      </c>
      <c r="AH1374" t="b">
        <f t="shared" si="349"/>
        <v>1</v>
      </c>
    </row>
    <row r="1375" spans="4:34" hidden="1" x14ac:dyDescent="0.4">
      <c r="D1375" t="s">
        <v>52</v>
      </c>
      <c r="E1375" t="s">
        <v>37</v>
      </c>
      <c r="F1375" s="9">
        <v>45683.166666666664</v>
      </c>
      <c r="G1375">
        <v>9.2509999999999994</v>
      </c>
      <c r="H1375" s="9">
        <v>45685.166666666664</v>
      </c>
      <c r="I1375">
        <v>8.9659999999999993</v>
      </c>
      <c r="J1375">
        <v>251.06</v>
      </c>
      <c r="K1375" s="12">
        <v>2322.56</v>
      </c>
      <c r="L1375">
        <v>3.43</v>
      </c>
      <c r="M1375">
        <v>-74.98</v>
      </c>
      <c r="N1375" s="13">
        <v>-3.2300000000000002E-2</v>
      </c>
      <c r="O1375" t="s">
        <v>38</v>
      </c>
      <c r="Q1375">
        <f t="shared" si="350"/>
        <v>-71.552100000000038</v>
      </c>
      <c r="R1375">
        <f t="shared" si="351"/>
        <v>-74.982100000000045</v>
      </c>
      <c r="S1375">
        <f t="shared" si="352"/>
        <v>2251.00396</v>
      </c>
      <c r="U1375">
        <f t="shared" si="339"/>
        <v>178.35909599999999</v>
      </c>
      <c r="V1375">
        <f t="shared" si="353"/>
        <v>1649.9999970959998</v>
      </c>
      <c r="W1375">
        <f t="shared" si="340"/>
        <v>-50.832342360000027</v>
      </c>
      <c r="X1375">
        <f t="shared" si="341"/>
        <v>3.2491676518319998</v>
      </c>
      <c r="Y1375">
        <f t="shared" si="342"/>
        <v>-54.081510011832023</v>
      </c>
      <c r="Z1375">
        <f t="shared" si="343"/>
        <v>18878.711971376386</v>
      </c>
      <c r="AB1375">
        <f t="shared" si="344"/>
        <v>206.03138999999999</v>
      </c>
      <c r="AC1375">
        <f t="shared" si="345"/>
        <v>1905.9963888899997</v>
      </c>
      <c r="AD1375">
        <f t="shared" si="346"/>
        <v>-58.718946150000029</v>
      </c>
      <c r="AE1375">
        <f t="shared" si="347"/>
        <v>3.7532738316300001</v>
      </c>
      <c r="AF1375">
        <f t="shared" si="348"/>
        <v>-62.472219981630026</v>
      </c>
      <c r="AG1375">
        <f t="shared" si="338"/>
        <v>18997.491684366556</v>
      </c>
      <c r="AH1375" t="b">
        <f t="shared" si="349"/>
        <v>1</v>
      </c>
    </row>
    <row r="1376" spans="4:34" hidden="1" x14ac:dyDescent="0.4">
      <c r="D1376" t="s">
        <v>61</v>
      </c>
      <c r="E1376" t="s">
        <v>37</v>
      </c>
      <c r="F1376" s="9">
        <v>45683.166666666664</v>
      </c>
      <c r="G1376">
        <v>0.98380000000000001</v>
      </c>
      <c r="H1376" s="9">
        <v>45685.166666666664</v>
      </c>
      <c r="I1376">
        <v>0.94179999999999997</v>
      </c>
      <c r="J1376" s="12">
        <v>7704.1</v>
      </c>
      <c r="K1376" s="12">
        <v>7579.32</v>
      </c>
      <c r="L1376">
        <v>11.13</v>
      </c>
      <c r="M1376">
        <v>-334.7</v>
      </c>
      <c r="N1376" s="13">
        <v>-4.4200000000000003E-2</v>
      </c>
      <c r="O1376" t="s">
        <v>38</v>
      </c>
      <c r="Q1376">
        <f t="shared" si="350"/>
        <v>-323.57220000000029</v>
      </c>
      <c r="R1376">
        <f t="shared" si="351"/>
        <v>-334.70220000000029</v>
      </c>
      <c r="S1376">
        <f t="shared" si="352"/>
        <v>7255.72138</v>
      </c>
      <c r="U1376">
        <f t="shared" si="339"/>
        <v>1677.170157</v>
      </c>
      <c r="V1376">
        <f t="shared" si="353"/>
        <v>1650.0000004566</v>
      </c>
      <c r="W1376">
        <f t="shared" si="340"/>
        <v>-70.44114659400006</v>
      </c>
      <c r="X1376">
        <f t="shared" si="341"/>
        <v>3.2295588543192002</v>
      </c>
      <c r="Y1376">
        <f t="shared" si="342"/>
        <v>-73.670705448319254</v>
      </c>
      <c r="Z1376">
        <f t="shared" si="343"/>
        <v>18932.793481388217</v>
      </c>
      <c r="AB1376">
        <f t="shared" si="344"/>
        <v>1946.070974</v>
      </c>
      <c r="AC1376">
        <f t="shared" si="345"/>
        <v>1914.5446242211999</v>
      </c>
      <c r="AD1376">
        <f t="shared" si="346"/>
        <v>-81.734980908000068</v>
      </c>
      <c r="AE1376">
        <f t="shared" si="347"/>
        <v>3.7473542675344</v>
      </c>
      <c r="AF1376">
        <f t="shared" si="348"/>
        <v>-85.482335175534473</v>
      </c>
      <c r="AG1376">
        <f t="shared" si="338"/>
        <v>19059.963904348187</v>
      </c>
      <c r="AH1376" t="b">
        <f t="shared" si="349"/>
        <v>1</v>
      </c>
    </row>
    <row r="1377" spans="4:34" hidden="1" x14ac:dyDescent="0.4">
      <c r="D1377" t="s">
        <v>48</v>
      </c>
      <c r="E1377" t="s">
        <v>37</v>
      </c>
      <c r="F1377" s="9">
        <v>45682.958333333336</v>
      </c>
      <c r="G1377">
        <v>0.37280000000000002</v>
      </c>
      <c r="H1377" s="9">
        <v>45684.958333333336</v>
      </c>
      <c r="I1377">
        <v>0.37430000000000002</v>
      </c>
      <c r="J1377" s="12">
        <v>7345</v>
      </c>
      <c r="K1377" s="12">
        <v>2738.23</v>
      </c>
      <c r="L1377">
        <v>4.12</v>
      </c>
      <c r="M1377">
        <v>6.9</v>
      </c>
      <c r="N1377" s="13">
        <v>2.5000000000000001E-3</v>
      </c>
      <c r="O1377" t="s">
        <v>38</v>
      </c>
      <c r="Q1377">
        <f t="shared" si="350"/>
        <v>11.017500000000009</v>
      </c>
      <c r="R1377">
        <f t="shared" si="351"/>
        <v>6.8975000000000088</v>
      </c>
      <c r="S1377">
        <f t="shared" si="352"/>
        <v>2749.2335000000003</v>
      </c>
      <c r="U1377">
        <f t="shared" si="339"/>
        <v>4425.9656649999997</v>
      </c>
      <c r="V1377">
        <f t="shared" si="353"/>
        <v>1649.999999912</v>
      </c>
      <c r="W1377">
        <f t="shared" si="340"/>
        <v>6.6389484975000057</v>
      </c>
      <c r="X1377">
        <f t="shared" si="341"/>
        <v>3.3066389483215004</v>
      </c>
      <c r="Y1377">
        <f t="shared" si="342"/>
        <v>3.3323095491785053</v>
      </c>
      <c r="Z1377">
        <f t="shared" si="343"/>
        <v>19006.464186836536</v>
      </c>
      <c r="AB1377">
        <f t="shared" si="344"/>
        <v>5134.5441099999998</v>
      </c>
      <c r="AC1377">
        <f t="shared" si="345"/>
        <v>1914.1580442080001</v>
      </c>
      <c r="AD1377">
        <f t="shared" si="346"/>
        <v>7.7018161650000065</v>
      </c>
      <c r="AE1377">
        <f t="shared" si="347"/>
        <v>3.8360179045810003</v>
      </c>
      <c r="AF1377">
        <f t="shared" si="348"/>
        <v>3.8657982604190062</v>
      </c>
      <c r="AG1377">
        <f t="shared" si="338"/>
        <v>19145.446239523721</v>
      </c>
      <c r="AH1377" t="b">
        <f t="shared" si="349"/>
        <v>1</v>
      </c>
    </row>
    <row r="1378" spans="4:34" hidden="1" x14ac:dyDescent="0.4">
      <c r="D1378" t="s">
        <v>55</v>
      </c>
      <c r="E1378" t="s">
        <v>37</v>
      </c>
      <c r="F1378" s="9">
        <v>45682.875</v>
      </c>
      <c r="G1378">
        <v>8.1760000000000003E-5</v>
      </c>
      <c r="H1378" s="9">
        <v>45684.875</v>
      </c>
      <c r="I1378">
        <v>7.695E-5</v>
      </c>
      <c r="J1378" s="12">
        <v>72062677.010000005</v>
      </c>
      <c r="K1378" s="12">
        <v>5891.84</v>
      </c>
      <c r="L1378">
        <v>8.58</v>
      </c>
      <c r="M1378">
        <v>-355.2</v>
      </c>
      <c r="N1378" s="13">
        <v>-6.0299999999999999E-2</v>
      </c>
      <c r="O1378" t="s">
        <v>38</v>
      </c>
      <c r="Q1378">
        <f t="shared" si="350"/>
        <v>-346.62147641810026</v>
      </c>
      <c r="R1378">
        <f t="shared" si="351"/>
        <v>-355.20147641810024</v>
      </c>
      <c r="S1378">
        <f t="shared" si="352"/>
        <v>5545.2229959195001</v>
      </c>
      <c r="U1378">
        <f t="shared" si="339"/>
        <v>20181017.612525001</v>
      </c>
      <c r="V1378">
        <f t="shared" si="353"/>
        <v>1650.0000000000441</v>
      </c>
      <c r="W1378">
        <f t="shared" si="340"/>
        <v>-97.070694716245313</v>
      </c>
      <c r="X1378">
        <f t="shared" si="341"/>
        <v>3.2029293052838428</v>
      </c>
      <c r="Y1378">
        <f t="shared" si="342"/>
        <v>-100.27362402152916</v>
      </c>
      <c r="Z1378">
        <f t="shared" si="343"/>
        <v>19003.131877287356</v>
      </c>
      <c r="AB1378">
        <f t="shared" si="344"/>
        <v>23555062.027286001</v>
      </c>
      <c r="AC1378">
        <f t="shared" si="345"/>
        <v>1925.8618713509036</v>
      </c>
      <c r="AD1378">
        <f t="shared" si="346"/>
        <v>-113.29984835124573</v>
      </c>
      <c r="AE1378">
        <f t="shared" si="347"/>
        <v>3.7384238943505612</v>
      </c>
      <c r="AF1378">
        <f t="shared" si="348"/>
        <v>-117.03827224559629</v>
      </c>
      <c r="AG1378">
        <f t="shared" si="338"/>
        <v>19141.580441263301</v>
      </c>
      <c r="AH1378" t="b">
        <f t="shared" si="349"/>
        <v>1</v>
      </c>
    </row>
    <row r="1379" spans="4:34" hidden="1" x14ac:dyDescent="0.4">
      <c r="D1379" t="s">
        <v>53</v>
      </c>
      <c r="E1379" t="s">
        <v>37</v>
      </c>
      <c r="F1379" s="9">
        <v>45682.833333333336</v>
      </c>
      <c r="G1379">
        <v>688.29</v>
      </c>
      <c r="H1379" s="9">
        <v>45684.833333333336</v>
      </c>
      <c r="I1379">
        <v>664.96</v>
      </c>
      <c r="J1379">
        <v>12.99</v>
      </c>
      <c r="K1379" s="12">
        <v>8941.16</v>
      </c>
      <c r="L1379">
        <v>13.18</v>
      </c>
      <c r="M1379">
        <v>-316.24</v>
      </c>
      <c r="N1379" s="13">
        <v>-3.5400000000000001E-2</v>
      </c>
      <c r="O1379" t="s">
        <v>38</v>
      </c>
      <c r="Q1379">
        <f t="shared" si="350"/>
        <v>-303.05669999999907</v>
      </c>
      <c r="R1379">
        <f t="shared" si="351"/>
        <v>-316.23669999999908</v>
      </c>
      <c r="S1379">
        <f t="shared" si="352"/>
        <v>8637.8304000000007</v>
      </c>
      <c r="U1379">
        <f t="shared" si="339"/>
        <v>2.3972449999999998</v>
      </c>
      <c r="V1379">
        <f t="shared" si="353"/>
        <v>1649.9997610499997</v>
      </c>
      <c r="W1379">
        <f t="shared" si="340"/>
        <v>-55.927725849999824</v>
      </c>
      <c r="X1379">
        <f t="shared" si="341"/>
        <v>3.2440717962500001</v>
      </c>
      <c r="Y1379">
        <f t="shared" si="342"/>
        <v>-59.171797646249821</v>
      </c>
      <c r="Z1379">
        <f t="shared" si="343"/>
        <v>19103.405501308887</v>
      </c>
      <c r="AB1379">
        <f t="shared" si="344"/>
        <v>2.808109</v>
      </c>
      <c r="AC1379">
        <f t="shared" si="345"/>
        <v>1932.79334361</v>
      </c>
      <c r="AD1379">
        <f t="shared" si="346"/>
        <v>-65.513182969999789</v>
      </c>
      <c r="AE1379">
        <f t="shared" si="347"/>
        <v>3.8000735042500002</v>
      </c>
      <c r="AF1379">
        <f t="shared" si="348"/>
        <v>-69.313256474249783</v>
      </c>
      <c r="AG1379">
        <f t="shared" si="338"/>
        <v>19258.618713508899</v>
      </c>
      <c r="AH1379" t="b">
        <f t="shared" si="349"/>
        <v>1</v>
      </c>
    </row>
    <row r="1380" spans="4:34" hidden="1" x14ac:dyDescent="0.4">
      <c r="D1380" t="s">
        <v>50</v>
      </c>
      <c r="E1380" t="s">
        <v>37</v>
      </c>
      <c r="F1380" s="9">
        <v>45682.75</v>
      </c>
      <c r="G1380">
        <v>383.2</v>
      </c>
      <c r="H1380" s="9">
        <v>45684.75</v>
      </c>
      <c r="I1380">
        <v>437.9</v>
      </c>
      <c r="J1380">
        <v>28.695</v>
      </c>
      <c r="K1380" s="12">
        <v>10995.95</v>
      </c>
      <c r="L1380">
        <v>17.670000000000002</v>
      </c>
      <c r="M1380" s="12">
        <v>1551.95</v>
      </c>
      <c r="N1380" s="13">
        <v>0.1411</v>
      </c>
      <c r="O1380" t="s">
        <v>38</v>
      </c>
      <c r="Q1380">
        <f t="shared" si="350"/>
        <v>1569.6164999999996</v>
      </c>
      <c r="R1380">
        <f t="shared" si="351"/>
        <v>1551.9464999999996</v>
      </c>
      <c r="S1380">
        <f t="shared" si="352"/>
        <v>12565.540499999999</v>
      </c>
      <c r="U1380">
        <f t="shared" si="339"/>
        <v>4.3058459999999998</v>
      </c>
      <c r="V1380">
        <f t="shared" si="353"/>
        <v>1650.0001871999998</v>
      </c>
      <c r="W1380">
        <f t="shared" si="340"/>
        <v>235.52977619999993</v>
      </c>
      <c r="X1380">
        <f t="shared" si="341"/>
        <v>3.5355301505999996</v>
      </c>
      <c r="Y1380">
        <f t="shared" si="342"/>
        <v>231.99424604939992</v>
      </c>
      <c r="Z1380">
        <f t="shared" si="343"/>
        <v>19162.577298955137</v>
      </c>
      <c r="AB1380">
        <f t="shared" si="344"/>
        <v>4.9738889999999998</v>
      </c>
      <c r="AC1380">
        <f t="shared" si="345"/>
        <v>1905.9942647999999</v>
      </c>
      <c r="AD1380">
        <f t="shared" si="346"/>
        <v>272.0717282999999</v>
      </c>
      <c r="AE1380">
        <f t="shared" si="347"/>
        <v>4.0840602578999992</v>
      </c>
      <c r="AF1380">
        <f t="shared" si="348"/>
        <v>267.98766804209993</v>
      </c>
      <c r="AG1380">
        <f t="shared" si="338"/>
        <v>19327.931969983147</v>
      </c>
      <c r="AH1380" t="b">
        <f t="shared" si="349"/>
        <v>1</v>
      </c>
    </row>
    <row r="1381" spans="4:34" hidden="1" x14ac:dyDescent="0.4">
      <c r="D1381" t="s">
        <v>60</v>
      </c>
      <c r="E1381" t="s">
        <v>37</v>
      </c>
      <c r="F1381" s="9">
        <v>45681.166666666664</v>
      </c>
      <c r="G1381">
        <v>3.1206</v>
      </c>
      <c r="H1381" s="9">
        <v>45683.666666666664</v>
      </c>
      <c r="I1381">
        <v>3.1147999999999998</v>
      </c>
      <c r="J1381">
        <v>654.29999999999995</v>
      </c>
      <c r="K1381" s="12">
        <v>2042.09</v>
      </c>
      <c r="L1381">
        <v>3.06</v>
      </c>
      <c r="M1381">
        <v>-6.85</v>
      </c>
      <c r="N1381" s="13">
        <v>-3.3999999999999998E-3</v>
      </c>
      <c r="O1381" t="s">
        <v>57</v>
      </c>
      <c r="Q1381">
        <f t="shared" si="350"/>
        <v>-3.794940000000163</v>
      </c>
      <c r="R1381">
        <f t="shared" si="351"/>
        <v>-6.8549400000001626</v>
      </c>
      <c r="S1381">
        <f t="shared" si="352"/>
        <v>2038.0136399999997</v>
      </c>
      <c r="U1381">
        <f t="shared" si="339"/>
        <v>528.74447199999997</v>
      </c>
      <c r="V1381">
        <f t="shared" si="353"/>
        <v>1649.9999993232</v>
      </c>
      <c r="W1381">
        <f t="shared" si="340"/>
        <v>-3.0667179376001319</v>
      </c>
      <c r="X1381">
        <f t="shared" si="341"/>
        <v>3.2969332807087999</v>
      </c>
      <c r="Y1381">
        <f t="shared" si="342"/>
        <v>-6.3636512183089318</v>
      </c>
      <c r="Z1381">
        <f t="shared" si="343"/>
        <v>18930.583052905738</v>
      </c>
      <c r="AB1381">
        <f t="shared" si="344"/>
        <v>611.01384700000006</v>
      </c>
      <c r="AC1381">
        <f t="shared" si="345"/>
        <v>1906.7298109482001</v>
      </c>
      <c r="AD1381">
        <f t="shared" si="346"/>
        <v>-3.5438803126001526</v>
      </c>
      <c r="AE1381">
        <f t="shared" si="347"/>
        <v>3.8099157415838008</v>
      </c>
      <c r="AF1381">
        <f t="shared" si="348"/>
        <v>-7.3537960541839533</v>
      </c>
      <c r="AG1381">
        <f t="shared" si="338"/>
        <v>19059.944301941046</v>
      </c>
      <c r="AH1381" t="b">
        <f t="shared" si="349"/>
        <v>1</v>
      </c>
    </row>
    <row r="1382" spans="4:34" hidden="1" x14ac:dyDescent="0.4">
      <c r="D1382" t="s">
        <v>59</v>
      </c>
      <c r="E1382" t="s">
        <v>37</v>
      </c>
      <c r="F1382" s="9">
        <v>45681.166666666664</v>
      </c>
      <c r="G1382" s="12">
        <v>103876.8</v>
      </c>
      <c r="H1382" s="9">
        <v>45683.666666666664</v>
      </c>
      <c r="I1382" s="12">
        <v>104951.5</v>
      </c>
      <c r="J1382">
        <v>9.6310000000000007E-2</v>
      </c>
      <c r="K1382" s="12">
        <v>10004.879999999999</v>
      </c>
      <c r="L1382">
        <v>15.08</v>
      </c>
      <c r="M1382">
        <v>88.42</v>
      </c>
      <c r="N1382" s="13">
        <v>8.8000000000000005E-3</v>
      </c>
      <c r="O1382" t="s">
        <v>57</v>
      </c>
      <c r="Q1382">
        <f t="shared" si="350"/>
        <v>103.50435699999973</v>
      </c>
      <c r="R1382">
        <f t="shared" si="351"/>
        <v>88.424356999999731</v>
      </c>
      <c r="S1382">
        <f t="shared" si="352"/>
        <v>10107.878965</v>
      </c>
      <c r="U1382">
        <f t="shared" si="339"/>
        <v>1.5883999999999999E-2</v>
      </c>
      <c r="V1382">
        <f t="shared" si="353"/>
        <v>1649.9790911999999</v>
      </c>
      <c r="W1382">
        <f t="shared" si="340"/>
        <v>17.070534799999951</v>
      </c>
      <c r="X1382">
        <f t="shared" si="341"/>
        <v>3.3170287171999995</v>
      </c>
      <c r="Y1382">
        <f t="shared" si="342"/>
        <v>13.753506082799952</v>
      </c>
      <c r="Z1382">
        <f t="shared" si="343"/>
        <v>18936.946704124046</v>
      </c>
      <c r="AB1382">
        <f t="shared" si="344"/>
        <v>1.8339999999999999E-2</v>
      </c>
      <c r="AC1382">
        <f t="shared" si="345"/>
        <v>1905.100512</v>
      </c>
      <c r="AD1382">
        <f t="shared" si="346"/>
        <v>19.709997999999946</v>
      </c>
      <c r="AE1382">
        <f t="shared" si="347"/>
        <v>3.8299110219999992</v>
      </c>
      <c r="AF1382">
        <f t="shared" si="348"/>
        <v>15.880086977999946</v>
      </c>
      <c r="AG1382">
        <f t="shared" si="338"/>
        <v>19067.29809799523</v>
      </c>
      <c r="AH1382" t="b">
        <f t="shared" si="349"/>
        <v>1</v>
      </c>
    </row>
    <row r="1383" spans="4:34" hidden="1" x14ac:dyDescent="0.4">
      <c r="D1383" t="s">
        <v>43</v>
      </c>
      <c r="E1383" t="s">
        <v>37</v>
      </c>
      <c r="F1383" s="9">
        <v>45681.166666666664</v>
      </c>
      <c r="G1383">
        <v>4.2401999999999997</v>
      </c>
      <c r="H1383" s="9">
        <v>45683.166666666664</v>
      </c>
      <c r="I1383">
        <v>4.1787999999999998</v>
      </c>
      <c r="J1383">
        <v>395.2</v>
      </c>
      <c r="K1383" s="12">
        <v>1675.92</v>
      </c>
      <c r="L1383">
        <v>2.5</v>
      </c>
      <c r="M1383">
        <v>-26.76</v>
      </c>
      <c r="N1383" s="13">
        <v>-1.6E-2</v>
      </c>
      <c r="O1383" t="s">
        <v>38</v>
      </c>
      <c r="Q1383">
        <f t="shared" si="350"/>
        <v>-24.265279999999958</v>
      </c>
      <c r="R1383">
        <f t="shared" si="351"/>
        <v>-26.765279999999958</v>
      </c>
      <c r="S1383">
        <f t="shared" si="352"/>
        <v>1651.4617599999999</v>
      </c>
      <c r="U1383">
        <f t="shared" si="339"/>
        <v>389.132588</v>
      </c>
      <c r="V1383">
        <f t="shared" si="353"/>
        <v>1649.9999996375998</v>
      </c>
      <c r="W1383">
        <f t="shared" si="340"/>
        <v>-23.892740903199961</v>
      </c>
      <c r="X1383">
        <f t="shared" si="341"/>
        <v>3.2761072583720003</v>
      </c>
      <c r="Y1383">
        <f t="shared" si="342"/>
        <v>-27.168848161571962</v>
      </c>
      <c r="Z1383">
        <f t="shared" si="343"/>
        <v>18923.193198041245</v>
      </c>
      <c r="AB1383">
        <f t="shared" si="344"/>
        <v>450.04574700000001</v>
      </c>
      <c r="AC1383">
        <f t="shared" si="345"/>
        <v>1908.2839764293999</v>
      </c>
      <c r="AD1383">
        <f t="shared" si="346"/>
        <v>-27.632808865799955</v>
      </c>
      <c r="AE1383">
        <f t="shared" si="347"/>
        <v>3.7889351439930006</v>
      </c>
      <c r="AF1383">
        <f t="shared" si="348"/>
        <v>-31.421744009792956</v>
      </c>
      <c r="AG1383">
        <f t="shared" si="338"/>
        <v>19051.418011017231</v>
      </c>
      <c r="AH1383" t="b">
        <f t="shared" si="349"/>
        <v>1</v>
      </c>
    </row>
    <row r="1384" spans="4:34" hidden="1" x14ac:dyDescent="0.4">
      <c r="D1384" t="s">
        <v>52</v>
      </c>
      <c r="E1384" t="s">
        <v>37</v>
      </c>
      <c r="F1384" s="9">
        <v>45681.166666666664</v>
      </c>
      <c r="G1384">
        <v>9.0640000000000001</v>
      </c>
      <c r="H1384" s="9">
        <v>45683.166666666664</v>
      </c>
      <c r="I1384">
        <v>9.2509999999999994</v>
      </c>
      <c r="J1384">
        <v>255.75</v>
      </c>
      <c r="K1384" s="12">
        <v>2318.13</v>
      </c>
      <c r="L1384">
        <v>3.51</v>
      </c>
      <c r="M1384">
        <v>44.31</v>
      </c>
      <c r="N1384" s="13">
        <v>1.9099999999999999E-2</v>
      </c>
      <c r="O1384" t="s">
        <v>38</v>
      </c>
      <c r="Q1384">
        <f t="shared" si="350"/>
        <v>47.825249999999841</v>
      </c>
      <c r="R1384">
        <f t="shared" si="351"/>
        <v>44.315249999999843</v>
      </c>
      <c r="S1384">
        <f t="shared" si="352"/>
        <v>2365.9432499999998</v>
      </c>
      <c r="U1384">
        <f t="shared" si="339"/>
        <v>182.03883500000001</v>
      </c>
      <c r="V1384">
        <f t="shared" si="353"/>
        <v>1650.0000004400001</v>
      </c>
      <c r="W1384">
        <f t="shared" si="340"/>
        <v>34.041262144999891</v>
      </c>
      <c r="X1384">
        <f t="shared" si="341"/>
        <v>3.3340412630249996</v>
      </c>
      <c r="Y1384">
        <f t="shared" si="342"/>
        <v>30.707220881974891</v>
      </c>
      <c r="Z1384">
        <f t="shared" si="343"/>
        <v>18950.362046202816</v>
      </c>
      <c r="AB1384">
        <f t="shared" si="344"/>
        <v>210.14333300000001</v>
      </c>
      <c r="AC1384">
        <f t="shared" si="345"/>
        <v>1904.7391703120002</v>
      </c>
      <c r="AD1384">
        <f t="shared" si="346"/>
        <v>39.296803270999874</v>
      </c>
      <c r="AE1384">
        <f t="shared" si="347"/>
        <v>3.8487751438949998</v>
      </c>
      <c r="AF1384">
        <f t="shared" si="348"/>
        <v>35.448028127104877</v>
      </c>
      <c r="AG1384">
        <f t="shared" si="338"/>
        <v>19082.839755027024</v>
      </c>
      <c r="AH1384" t="b">
        <f t="shared" si="349"/>
        <v>1</v>
      </c>
    </row>
    <row r="1385" spans="4:34" hidden="1" x14ac:dyDescent="0.4">
      <c r="D1385" t="s">
        <v>54</v>
      </c>
      <c r="E1385" t="s">
        <v>37</v>
      </c>
      <c r="F1385" s="9">
        <v>45681.166666666664</v>
      </c>
      <c r="G1385">
        <v>252.2</v>
      </c>
      <c r="H1385" s="9">
        <v>45683.166666666664</v>
      </c>
      <c r="I1385">
        <v>258.32</v>
      </c>
      <c r="J1385">
        <v>17.542999999999999</v>
      </c>
      <c r="K1385" s="12">
        <v>4424.5600000000004</v>
      </c>
      <c r="L1385">
        <v>6.72</v>
      </c>
      <c r="M1385">
        <v>100.65</v>
      </c>
      <c r="N1385" s="13">
        <v>2.2700000000000001E-2</v>
      </c>
      <c r="O1385" t="s">
        <v>38</v>
      </c>
      <c r="Q1385">
        <f t="shared" si="350"/>
        <v>107.36316000000008</v>
      </c>
      <c r="R1385">
        <f t="shared" si="351"/>
        <v>100.64316000000008</v>
      </c>
      <c r="S1385">
        <f t="shared" si="352"/>
        <v>4531.7077599999993</v>
      </c>
      <c r="U1385">
        <f t="shared" si="339"/>
        <v>6.542427</v>
      </c>
      <c r="V1385">
        <f t="shared" si="353"/>
        <v>1650.0000894</v>
      </c>
      <c r="W1385">
        <f t="shared" si="340"/>
        <v>40.039653240000028</v>
      </c>
      <c r="X1385">
        <f t="shared" si="341"/>
        <v>3.34003983204</v>
      </c>
      <c r="Y1385">
        <f t="shared" si="342"/>
        <v>36.69961340796003</v>
      </c>
      <c r="Z1385">
        <f t="shared" si="343"/>
        <v>18919.654825320842</v>
      </c>
      <c r="AB1385">
        <f t="shared" si="344"/>
        <v>7.5357339999999997</v>
      </c>
      <c r="AC1385">
        <f t="shared" si="345"/>
        <v>1900.5121147999998</v>
      </c>
      <c r="AD1385">
        <f t="shared" si="346"/>
        <v>46.118692080000031</v>
      </c>
      <c r="AE1385">
        <f t="shared" si="347"/>
        <v>3.8471429216799997</v>
      </c>
      <c r="AF1385">
        <f t="shared" si="348"/>
        <v>42.271549158320028</v>
      </c>
      <c r="AG1385">
        <f t="shared" si="338"/>
        <v>19047.391726899918</v>
      </c>
      <c r="AH1385" t="b">
        <f t="shared" si="349"/>
        <v>1</v>
      </c>
    </row>
    <row r="1386" spans="4:34" hidden="1" x14ac:dyDescent="0.4">
      <c r="D1386" t="s">
        <v>61</v>
      </c>
      <c r="E1386" t="s">
        <v>37</v>
      </c>
      <c r="F1386" s="9">
        <v>45681.166666666664</v>
      </c>
      <c r="G1386">
        <v>0.98319999999999996</v>
      </c>
      <c r="H1386" s="9">
        <v>45683.166666666664</v>
      </c>
      <c r="I1386">
        <v>0.98380000000000001</v>
      </c>
      <c r="J1386" s="12">
        <v>7709.5</v>
      </c>
      <c r="K1386" s="12">
        <v>7580</v>
      </c>
      <c r="L1386">
        <v>11.37</v>
      </c>
      <c r="M1386">
        <v>-6.75</v>
      </c>
      <c r="N1386" s="13">
        <v>-8.9999999999999998E-4</v>
      </c>
      <c r="O1386" t="s">
        <v>38</v>
      </c>
      <c r="Q1386">
        <f t="shared" si="350"/>
        <v>4.6257000000003465</v>
      </c>
      <c r="R1386">
        <f t="shared" si="351"/>
        <v>-6.7442999999996527</v>
      </c>
      <c r="S1386">
        <f t="shared" si="352"/>
        <v>7584.6061</v>
      </c>
      <c r="U1386">
        <f t="shared" si="339"/>
        <v>1678.193653</v>
      </c>
      <c r="V1386">
        <f t="shared" si="353"/>
        <v>1649.9999996295999</v>
      </c>
      <c r="W1386">
        <f t="shared" si="340"/>
        <v>1.0069161918000755</v>
      </c>
      <c r="X1386">
        <f t="shared" si="341"/>
        <v>3.301006915451</v>
      </c>
      <c r="Y1386">
        <f t="shared" si="342"/>
        <v>-2.2940907236509247</v>
      </c>
      <c r="Z1386">
        <f t="shared" si="343"/>
        <v>18882.955211912882</v>
      </c>
      <c r="AB1386">
        <f t="shared" si="344"/>
        <v>1933.2549770000001</v>
      </c>
      <c r="AC1386">
        <f t="shared" si="345"/>
        <v>1900.7762933864001</v>
      </c>
      <c r="AD1386">
        <f t="shared" si="346"/>
        <v>1.159952986200087</v>
      </c>
      <c r="AE1386">
        <f t="shared" si="347"/>
        <v>3.8027125397590003</v>
      </c>
      <c r="AF1386">
        <f t="shared" si="348"/>
        <v>-2.6427595535589132</v>
      </c>
      <c r="AG1386">
        <f t="shared" ref="AG1386:AG1449" si="354">AG1387*AH1386 + (1-AH1386)*AI1386+AF1386</f>
        <v>19005.120177741599</v>
      </c>
      <c r="AH1386" t="b">
        <f t="shared" si="349"/>
        <v>1</v>
      </c>
    </row>
    <row r="1387" spans="4:34" hidden="1" x14ac:dyDescent="0.4">
      <c r="D1387" t="s">
        <v>56</v>
      </c>
      <c r="E1387" t="s">
        <v>37</v>
      </c>
      <c r="F1387" s="9">
        <v>45680.583333333336</v>
      </c>
      <c r="G1387" s="12">
        <v>3232.59</v>
      </c>
      <c r="H1387" s="9">
        <v>45683.083333333336</v>
      </c>
      <c r="I1387" s="12">
        <v>3330.8</v>
      </c>
      <c r="J1387">
        <v>1.6160000000000001</v>
      </c>
      <c r="K1387" s="12">
        <v>5224.16</v>
      </c>
      <c r="L1387">
        <v>7.95</v>
      </c>
      <c r="M1387">
        <v>150.75</v>
      </c>
      <c r="N1387" s="13">
        <v>2.8899999999999999E-2</v>
      </c>
      <c r="O1387" t="s">
        <v>57</v>
      </c>
      <c r="Q1387">
        <f t="shared" si="350"/>
        <v>158.70736000000008</v>
      </c>
      <c r="R1387">
        <f t="shared" si="351"/>
        <v>150.75736000000009</v>
      </c>
      <c r="S1387">
        <f t="shared" si="352"/>
        <v>5382.5728000000008</v>
      </c>
      <c r="U1387">
        <f t="shared" si="339"/>
        <v>0.51042699999999996</v>
      </c>
      <c r="V1387">
        <f t="shared" si="353"/>
        <v>1650.0012159299999</v>
      </c>
      <c r="W1387">
        <f t="shared" si="340"/>
        <v>50.129035670000015</v>
      </c>
      <c r="X1387">
        <f t="shared" si="341"/>
        <v>3.3501314675299998</v>
      </c>
      <c r="Y1387">
        <f t="shared" si="342"/>
        <v>46.778904202470017</v>
      </c>
      <c r="Z1387">
        <f t="shared" si="343"/>
        <v>18885.249302636534</v>
      </c>
      <c r="AB1387">
        <f t="shared" si="344"/>
        <v>0.58634200000000003</v>
      </c>
      <c r="AC1387">
        <f t="shared" si="345"/>
        <v>1895.4032857800003</v>
      </c>
      <c r="AD1387">
        <f t="shared" si="346"/>
        <v>57.584647820000022</v>
      </c>
      <c r="AE1387">
        <f t="shared" si="347"/>
        <v>3.8483912193800003</v>
      </c>
      <c r="AF1387">
        <f t="shared" si="348"/>
        <v>53.736256600620024</v>
      </c>
      <c r="AG1387">
        <f t="shared" si="354"/>
        <v>19007.76293729516</v>
      </c>
      <c r="AH1387" t="b">
        <f t="shared" si="349"/>
        <v>1</v>
      </c>
    </row>
    <row r="1388" spans="4:34" hidden="1" x14ac:dyDescent="0.4">
      <c r="D1388" t="s">
        <v>48</v>
      </c>
      <c r="E1388" t="s">
        <v>37</v>
      </c>
      <c r="F1388" s="9">
        <v>45680.625</v>
      </c>
      <c r="G1388">
        <v>0.37109999999999999</v>
      </c>
      <c r="H1388" s="9">
        <v>45682.625</v>
      </c>
      <c r="I1388">
        <v>0.372</v>
      </c>
      <c r="J1388" s="12">
        <v>7378</v>
      </c>
      <c r="K1388" s="12">
        <v>2737.98</v>
      </c>
      <c r="L1388">
        <v>4.1100000000000003</v>
      </c>
      <c r="M1388">
        <v>2.5299999999999998</v>
      </c>
      <c r="N1388" s="13">
        <v>8.9999999999999998E-4</v>
      </c>
      <c r="O1388" t="s">
        <v>38</v>
      </c>
      <c r="Q1388">
        <f t="shared" si="350"/>
        <v>6.640200000000088</v>
      </c>
      <c r="R1388">
        <f t="shared" si="351"/>
        <v>2.5302000000000877</v>
      </c>
      <c r="S1388">
        <f t="shared" si="352"/>
        <v>2744.616</v>
      </c>
      <c r="U1388">
        <f t="shared" si="339"/>
        <v>4446.2409049999997</v>
      </c>
      <c r="V1388">
        <f t="shared" si="353"/>
        <v>1649.9999998454998</v>
      </c>
      <c r="W1388">
        <f t="shared" si="340"/>
        <v>4.0016168145000526</v>
      </c>
      <c r="X1388">
        <f t="shared" si="341"/>
        <v>3.3040016165054999</v>
      </c>
      <c r="Y1388">
        <f t="shared" si="342"/>
        <v>0.69761519799455263</v>
      </c>
      <c r="Z1388">
        <f t="shared" si="343"/>
        <v>18838.470398434063</v>
      </c>
      <c r="AB1388">
        <f t="shared" si="344"/>
        <v>5107.3094430000001</v>
      </c>
      <c r="AC1388">
        <f t="shared" si="345"/>
        <v>1895.3225342972999</v>
      </c>
      <c r="AD1388">
        <f t="shared" si="346"/>
        <v>4.5965784987000609</v>
      </c>
      <c r="AE1388">
        <f t="shared" si="347"/>
        <v>3.7952416470933001</v>
      </c>
      <c r="AF1388">
        <f t="shared" si="348"/>
        <v>0.80133685160676071</v>
      </c>
      <c r="AG1388">
        <f t="shared" si="354"/>
        <v>18954.02668069454</v>
      </c>
      <c r="AH1388" t="b">
        <f t="shared" si="349"/>
        <v>1</v>
      </c>
    </row>
    <row r="1389" spans="4:34" hidden="1" x14ac:dyDescent="0.4">
      <c r="D1389" t="s">
        <v>58</v>
      </c>
      <c r="E1389" t="s">
        <v>37</v>
      </c>
      <c r="F1389" s="9">
        <v>45680.583333333336</v>
      </c>
      <c r="G1389">
        <v>24.79</v>
      </c>
      <c r="H1389" s="9">
        <v>45682.583333333336</v>
      </c>
      <c r="I1389">
        <v>24.98</v>
      </c>
      <c r="J1389">
        <v>273.27999999999997</v>
      </c>
      <c r="K1389" s="12">
        <v>6774.83</v>
      </c>
      <c r="L1389">
        <v>10.199999999999999</v>
      </c>
      <c r="M1389">
        <v>41.72</v>
      </c>
      <c r="N1389" s="13">
        <v>6.1999999999999998E-3</v>
      </c>
      <c r="O1389" t="s">
        <v>38</v>
      </c>
      <c r="Q1389">
        <f t="shared" si="350"/>
        <v>51.923200000000342</v>
      </c>
      <c r="R1389">
        <f t="shared" si="351"/>
        <v>41.723200000000347</v>
      </c>
      <c r="S1389">
        <f t="shared" si="352"/>
        <v>6826.5343999999996</v>
      </c>
      <c r="U1389">
        <f t="shared" si="339"/>
        <v>66.559095999999997</v>
      </c>
      <c r="V1389">
        <f t="shared" si="353"/>
        <v>1649.9999898399999</v>
      </c>
      <c r="W1389">
        <f t="shared" si="340"/>
        <v>12.646228240000084</v>
      </c>
      <c r="X1389">
        <f t="shared" si="341"/>
        <v>3.3126462079199994</v>
      </c>
      <c r="Y1389">
        <f t="shared" si="342"/>
        <v>9.3335820320800842</v>
      </c>
      <c r="Z1389">
        <f t="shared" si="343"/>
        <v>18837.772783236069</v>
      </c>
      <c r="AB1389">
        <f t="shared" si="344"/>
        <v>76.411900000000003</v>
      </c>
      <c r="AC1389">
        <f t="shared" si="345"/>
        <v>1894.2510010000001</v>
      </c>
      <c r="AD1389">
        <f t="shared" si="346"/>
        <v>14.518261000000098</v>
      </c>
      <c r="AE1389">
        <f t="shared" si="347"/>
        <v>3.8030202629999996</v>
      </c>
      <c r="AF1389">
        <f t="shared" si="348"/>
        <v>10.715240737000098</v>
      </c>
      <c r="AG1389">
        <f t="shared" si="354"/>
        <v>18953.225343842932</v>
      </c>
      <c r="AH1389" t="b">
        <f t="shared" si="349"/>
        <v>1</v>
      </c>
    </row>
    <row r="1390" spans="4:34" hidden="1" x14ac:dyDescent="0.4">
      <c r="D1390" t="s">
        <v>60</v>
      </c>
      <c r="E1390" t="s">
        <v>37</v>
      </c>
      <c r="F1390" s="9">
        <v>45678.666666666664</v>
      </c>
      <c r="G1390">
        <v>3.1190000000000002</v>
      </c>
      <c r="H1390" s="9">
        <v>45681.166666666664</v>
      </c>
      <c r="I1390">
        <v>3.1206</v>
      </c>
      <c r="J1390">
        <v>654.70000000000005</v>
      </c>
      <c r="K1390" s="12">
        <v>2042.29</v>
      </c>
      <c r="L1390">
        <v>3.06</v>
      </c>
      <c r="M1390">
        <v>-2.02</v>
      </c>
      <c r="N1390" s="13">
        <v>-1E-3</v>
      </c>
      <c r="O1390" t="s">
        <v>57</v>
      </c>
      <c r="Q1390">
        <f t="shared" si="350"/>
        <v>1.0475199999998848</v>
      </c>
      <c r="R1390">
        <f t="shared" si="351"/>
        <v>-2.0124800000001155</v>
      </c>
      <c r="S1390">
        <f t="shared" si="352"/>
        <v>2043.0568200000002</v>
      </c>
      <c r="U1390">
        <f t="shared" si="339"/>
        <v>529.01571000000001</v>
      </c>
      <c r="V1390">
        <f t="shared" si="353"/>
        <v>1649.9999994900002</v>
      </c>
      <c r="W1390">
        <f t="shared" si="340"/>
        <v>0.84642513599990676</v>
      </c>
      <c r="X1390">
        <f t="shared" si="341"/>
        <v>3.3008464241160005</v>
      </c>
      <c r="Y1390">
        <f t="shared" si="342"/>
        <v>-2.4544212881160936</v>
      </c>
      <c r="Z1390">
        <f t="shared" si="343"/>
        <v>18828.43920120399</v>
      </c>
      <c r="AB1390">
        <f t="shared" si="344"/>
        <v>607.41674499999999</v>
      </c>
      <c r="AC1390">
        <f t="shared" si="345"/>
        <v>1894.5328276550001</v>
      </c>
      <c r="AD1390">
        <f t="shared" si="346"/>
        <v>0.9718667919998929</v>
      </c>
      <c r="AE1390">
        <f t="shared" si="347"/>
        <v>3.7900375221020002</v>
      </c>
      <c r="AF1390">
        <f t="shared" si="348"/>
        <v>-2.8181707301021071</v>
      </c>
      <c r="AG1390">
        <f t="shared" si="354"/>
        <v>18942.510103105931</v>
      </c>
      <c r="AH1390" t="b">
        <f t="shared" si="349"/>
        <v>1</v>
      </c>
    </row>
    <row r="1391" spans="4:34" hidden="1" x14ac:dyDescent="0.4">
      <c r="D1391" t="s">
        <v>59</v>
      </c>
      <c r="E1391" t="s">
        <v>37</v>
      </c>
      <c r="F1391" s="9">
        <v>45678.666666666664</v>
      </c>
      <c r="G1391" s="12">
        <v>103858.01</v>
      </c>
      <c r="H1391" s="9">
        <v>45681.166666666664</v>
      </c>
      <c r="I1391" s="12">
        <v>103876.8</v>
      </c>
      <c r="J1391">
        <v>9.6339999999999995E-2</v>
      </c>
      <c r="K1391" s="12">
        <v>10006.200000000001</v>
      </c>
      <c r="L1391">
        <v>15.01</v>
      </c>
      <c r="M1391">
        <v>-13.2</v>
      </c>
      <c r="N1391" s="13">
        <v>-1.2999999999999999E-3</v>
      </c>
      <c r="O1391" t="s">
        <v>57</v>
      </c>
      <c r="Q1391">
        <f t="shared" si="350"/>
        <v>1.810228600000785</v>
      </c>
      <c r="R1391">
        <f t="shared" si="351"/>
        <v>-13.199771399999214</v>
      </c>
      <c r="S1391">
        <f t="shared" si="352"/>
        <v>10007.490911999999</v>
      </c>
      <c r="U1391">
        <f t="shared" si="339"/>
        <v>1.5886999999999998E-2</v>
      </c>
      <c r="V1391">
        <f t="shared" si="353"/>
        <v>1649.9922048699998</v>
      </c>
      <c r="W1391">
        <f t="shared" si="340"/>
        <v>0.29851673000012946</v>
      </c>
      <c r="X1391">
        <f t="shared" si="341"/>
        <v>3.30028292647</v>
      </c>
      <c r="Y1391">
        <f t="shared" si="342"/>
        <v>-3.0017661964698705</v>
      </c>
      <c r="Z1391">
        <f t="shared" si="343"/>
        <v>18830.893622492105</v>
      </c>
      <c r="AB1391">
        <f t="shared" si="344"/>
        <v>1.8245000000000001E-2</v>
      </c>
      <c r="AC1391">
        <f t="shared" si="345"/>
        <v>1894.8893924500001</v>
      </c>
      <c r="AD1391">
        <f t="shared" si="346"/>
        <v>0.34282355000014869</v>
      </c>
      <c r="AE1391">
        <f t="shared" si="347"/>
        <v>3.7901216084500002</v>
      </c>
      <c r="AF1391">
        <f t="shared" si="348"/>
        <v>-3.4472980584498516</v>
      </c>
      <c r="AG1391">
        <f t="shared" si="354"/>
        <v>18945.328273836032</v>
      </c>
      <c r="AH1391" t="b">
        <f t="shared" si="349"/>
        <v>1</v>
      </c>
    </row>
    <row r="1392" spans="4:34" hidden="1" x14ac:dyDescent="0.4">
      <c r="D1392" t="s">
        <v>53</v>
      </c>
      <c r="E1392" t="s">
        <v>37</v>
      </c>
      <c r="F1392" s="9">
        <v>45679.125</v>
      </c>
      <c r="G1392">
        <v>693.44</v>
      </c>
      <c r="H1392" s="9">
        <v>45681.125</v>
      </c>
      <c r="I1392">
        <v>680.31</v>
      </c>
      <c r="J1392">
        <v>12.92</v>
      </c>
      <c r="K1392" s="12">
        <v>8959.4599999999991</v>
      </c>
      <c r="L1392">
        <v>13.31</v>
      </c>
      <c r="M1392">
        <v>-182.95</v>
      </c>
      <c r="N1392" s="13">
        <v>-2.0400000000000001E-2</v>
      </c>
      <c r="O1392" t="s">
        <v>38</v>
      </c>
      <c r="Q1392">
        <f t="shared" si="350"/>
        <v>-169.63960000000142</v>
      </c>
      <c r="R1392">
        <f t="shared" si="351"/>
        <v>-182.94960000000142</v>
      </c>
      <c r="S1392">
        <f t="shared" si="352"/>
        <v>8789.6052</v>
      </c>
      <c r="U1392">
        <f t="shared" si="339"/>
        <v>2.3794420000000001</v>
      </c>
      <c r="V1392">
        <f t="shared" si="353"/>
        <v>1650.0002604800002</v>
      </c>
      <c r="W1392">
        <f t="shared" si="340"/>
        <v>-31.24207346000026</v>
      </c>
      <c r="X1392">
        <f t="shared" si="341"/>
        <v>3.2687584475000002</v>
      </c>
      <c r="Y1392">
        <f t="shared" si="342"/>
        <v>-34.510831907500261</v>
      </c>
      <c r="Z1392">
        <f t="shared" si="343"/>
        <v>18833.895388688576</v>
      </c>
      <c r="AB1392">
        <f t="shared" si="344"/>
        <v>2.7383030000000002</v>
      </c>
      <c r="AC1392">
        <f t="shared" si="345"/>
        <v>1898.8488323200002</v>
      </c>
      <c r="AD1392">
        <f t="shared" si="346"/>
        <v>-35.953918390000304</v>
      </c>
      <c r="AE1392">
        <f t="shared" si="347"/>
        <v>3.7617437462500001</v>
      </c>
      <c r="AF1392">
        <f t="shared" si="348"/>
        <v>-39.715662136250302</v>
      </c>
      <c r="AG1392">
        <f t="shared" si="354"/>
        <v>18948.775571894483</v>
      </c>
      <c r="AH1392" t="b">
        <f t="shared" si="349"/>
        <v>1</v>
      </c>
    </row>
    <row r="1393" spans="4:34" hidden="1" x14ac:dyDescent="0.4">
      <c r="D1393" t="s">
        <v>54</v>
      </c>
      <c r="E1393" t="s">
        <v>37</v>
      </c>
      <c r="F1393" s="9">
        <v>45679.041666666664</v>
      </c>
      <c r="G1393">
        <v>252.64</v>
      </c>
      <c r="H1393" s="9">
        <v>45681.041666666664</v>
      </c>
      <c r="I1393">
        <v>252.74</v>
      </c>
      <c r="J1393">
        <v>17.515000000000001</v>
      </c>
      <c r="K1393" s="12">
        <v>4425.05</v>
      </c>
      <c r="L1393">
        <v>6.64</v>
      </c>
      <c r="M1393">
        <v>-4.8899999999999997</v>
      </c>
      <c r="N1393" s="13">
        <v>-1.1000000000000001E-3</v>
      </c>
      <c r="O1393" t="s">
        <v>38</v>
      </c>
      <c r="Q1393">
        <f t="shared" si="350"/>
        <v>1.7515000000003984</v>
      </c>
      <c r="R1393">
        <f t="shared" si="351"/>
        <v>-4.8884999999996008</v>
      </c>
      <c r="S1393">
        <f t="shared" si="352"/>
        <v>4426.7411000000002</v>
      </c>
      <c r="U1393">
        <f t="shared" si="339"/>
        <v>6.5310319999999997</v>
      </c>
      <c r="V1393">
        <f t="shared" si="353"/>
        <v>1649.9999244799999</v>
      </c>
      <c r="W1393">
        <f t="shared" si="340"/>
        <v>0.65310320000014843</v>
      </c>
      <c r="X1393">
        <f t="shared" si="341"/>
        <v>3.3006529521600001</v>
      </c>
      <c r="Y1393">
        <f t="shared" si="342"/>
        <v>-2.6475497521598514</v>
      </c>
      <c r="Z1393">
        <f t="shared" si="343"/>
        <v>18868.406220596076</v>
      </c>
      <c r="AB1393">
        <f t="shared" si="344"/>
        <v>7.5172330000000001</v>
      </c>
      <c r="AC1393">
        <f t="shared" si="345"/>
        <v>1899.1537451199999</v>
      </c>
      <c r="AD1393">
        <f t="shared" si="346"/>
        <v>0.75172330000017096</v>
      </c>
      <c r="AE1393">
        <f t="shared" si="347"/>
        <v>3.7990592135400005</v>
      </c>
      <c r="AF1393">
        <f t="shared" si="348"/>
        <v>-3.0473359135398295</v>
      </c>
      <c r="AG1393">
        <f t="shared" si="354"/>
        <v>18988.491234030735</v>
      </c>
      <c r="AH1393" t="b">
        <f t="shared" si="349"/>
        <v>1</v>
      </c>
    </row>
    <row r="1394" spans="4:34" hidden="1" x14ac:dyDescent="0.4">
      <c r="D1394" t="s">
        <v>55</v>
      </c>
      <c r="E1394" t="s">
        <v>37</v>
      </c>
      <c r="F1394" s="9">
        <v>45679.041666666664</v>
      </c>
      <c r="G1394">
        <v>8.9530000000000005E-5</v>
      </c>
      <c r="H1394" s="9">
        <v>45681.041666666664</v>
      </c>
      <c r="I1394">
        <v>8.1719999999999997E-5</v>
      </c>
      <c r="J1394" s="12">
        <v>66397337.020000003</v>
      </c>
      <c r="K1394" s="12">
        <v>5944.55</v>
      </c>
      <c r="L1394">
        <v>8.5299999999999994</v>
      </c>
      <c r="M1394">
        <v>-527.09</v>
      </c>
      <c r="N1394" s="13">
        <v>-8.8700000000000001E-2</v>
      </c>
      <c r="O1394" t="s">
        <v>38</v>
      </c>
      <c r="Q1394">
        <f t="shared" si="350"/>
        <v>-518.56320212620062</v>
      </c>
      <c r="R1394">
        <f t="shared" si="351"/>
        <v>-527.09320212620059</v>
      </c>
      <c r="S1394">
        <f t="shared" si="352"/>
        <v>5425.9903812743996</v>
      </c>
      <c r="U1394">
        <f t="shared" si="339"/>
        <v>18429576.678208001</v>
      </c>
      <c r="V1394">
        <f t="shared" si="353"/>
        <v>1649.9999999999625</v>
      </c>
      <c r="W1394">
        <f t="shared" si="340"/>
        <v>-143.93499385680465</v>
      </c>
      <c r="X1394">
        <f t="shared" si="341"/>
        <v>3.1560650061431206</v>
      </c>
      <c r="Y1394">
        <f t="shared" si="342"/>
        <v>-147.09105886294776</v>
      </c>
      <c r="Z1394">
        <f t="shared" si="343"/>
        <v>18871.053770348237</v>
      </c>
      <c r="AB1394">
        <f t="shared" si="344"/>
        <v>21403287.792514998</v>
      </c>
      <c r="AC1394">
        <f t="shared" si="345"/>
        <v>1916.236356063868</v>
      </c>
      <c r="AD1394">
        <f t="shared" si="346"/>
        <v>-167.15967765954233</v>
      </c>
      <c r="AE1394">
        <f t="shared" si="347"/>
        <v>3.6653130344681939</v>
      </c>
      <c r="AF1394">
        <f t="shared" si="348"/>
        <v>-170.82499069401052</v>
      </c>
      <c r="AG1394">
        <f t="shared" si="354"/>
        <v>18991.538569944274</v>
      </c>
      <c r="AH1394" t="b">
        <f t="shared" si="349"/>
        <v>1</v>
      </c>
    </row>
    <row r="1395" spans="4:34" hidden="1" x14ac:dyDescent="0.4">
      <c r="D1395" t="s">
        <v>56</v>
      </c>
      <c r="E1395" t="s">
        <v>37</v>
      </c>
      <c r="F1395" s="9">
        <v>45677.125</v>
      </c>
      <c r="G1395" s="12">
        <v>3240.72</v>
      </c>
      <c r="H1395" s="9">
        <v>45679.625</v>
      </c>
      <c r="I1395" s="12">
        <v>3293.1</v>
      </c>
      <c r="J1395">
        <v>1.6095999999999999</v>
      </c>
      <c r="K1395" s="12">
        <v>5216.51</v>
      </c>
      <c r="L1395">
        <v>7.89</v>
      </c>
      <c r="M1395">
        <v>76.42</v>
      </c>
      <c r="N1395" s="13">
        <v>1.47E-2</v>
      </c>
      <c r="O1395" t="s">
        <v>57</v>
      </c>
      <c r="Q1395">
        <f t="shared" si="350"/>
        <v>84.310848000000178</v>
      </c>
      <c r="R1395">
        <f t="shared" si="351"/>
        <v>76.420848000000177</v>
      </c>
      <c r="S1395">
        <f t="shared" si="352"/>
        <v>5300.5737599999993</v>
      </c>
      <c r="U1395">
        <f t="shared" si="339"/>
        <v>0.50914599999999999</v>
      </c>
      <c r="V1395">
        <f t="shared" si="353"/>
        <v>1649.9996251199998</v>
      </c>
      <c r="W1395">
        <f t="shared" si="340"/>
        <v>26.669067480000056</v>
      </c>
      <c r="X1395">
        <f t="shared" si="341"/>
        <v>3.3266683177199998</v>
      </c>
      <c r="Y1395">
        <f t="shared" si="342"/>
        <v>23.342399162280056</v>
      </c>
      <c r="Z1395">
        <f t="shared" si="343"/>
        <v>19018.144829211185</v>
      </c>
      <c r="AB1395">
        <f t="shared" si="344"/>
        <v>0.59046399999999999</v>
      </c>
      <c r="AC1395">
        <f t="shared" si="345"/>
        <v>1913.5284940799997</v>
      </c>
      <c r="AD1395">
        <f t="shared" si="346"/>
        <v>30.928504320000062</v>
      </c>
      <c r="AE1395">
        <f t="shared" si="347"/>
        <v>3.8579854924799997</v>
      </c>
      <c r="AF1395">
        <f t="shared" si="348"/>
        <v>27.070518827520061</v>
      </c>
      <c r="AG1395">
        <f t="shared" si="354"/>
        <v>19162.363560638285</v>
      </c>
      <c r="AH1395" t="b">
        <f t="shared" si="349"/>
        <v>1</v>
      </c>
    </row>
    <row r="1396" spans="4:34" hidden="1" x14ac:dyDescent="0.4">
      <c r="D1396" t="s">
        <v>58</v>
      </c>
      <c r="E1396" t="s">
        <v>37</v>
      </c>
      <c r="F1396" s="9">
        <v>45677.583333333336</v>
      </c>
      <c r="G1396">
        <v>26.03</v>
      </c>
      <c r="H1396" s="9">
        <v>45679.583333333336</v>
      </c>
      <c r="I1396">
        <v>25.46</v>
      </c>
      <c r="J1396">
        <v>260.87</v>
      </c>
      <c r="K1396" s="12">
        <v>6790.71</v>
      </c>
      <c r="L1396">
        <v>10.07</v>
      </c>
      <c r="M1396">
        <v>-158.77000000000001</v>
      </c>
      <c r="N1396" s="13">
        <v>-2.3400000000000001E-2</v>
      </c>
      <c r="O1396" t="s">
        <v>38</v>
      </c>
      <c r="Q1396">
        <f t="shared" si="350"/>
        <v>-148.69590000000008</v>
      </c>
      <c r="R1396">
        <f t="shared" si="351"/>
        <v>-158.76590000000007</v>
      </c>
      <c r="S1396">
        <f t="shared" si="352"/>
        <v>6641.7502000000004</v>
      </c>
      <c r="U1396">
        <f t="shared" si="339"/>
        <v>63.388398000000002</v>
      </c>
      <c r="V1396">
        <f t="shared" si="353"/>
        <v>1649.9999999400002</v>
      </c>
      <c r="W1396">
        <f t="shared" si="340"/>
        <v>-36.131386860000021</v>
      </c>
      <c r="X1396">
        <f t="shared" si="341"/>
        <v>3.2638686130200001</v>
      </c>
      <c r="Y1396">
        <f t="shared" si="342"/>
        <v>-39.395255473020022</v>
      </c>
      <c r="Z1396">
        <f t="shared" si="343"/>
        <v>18994.802430048905</v>
      </c>
      <c r="AB1396">
        <f t="shared" si="344"/>
        <v>73.688396999999995</v>
      </c>
      <c r="AC1396">
        <f t="shared" si="345"/>
        <v>1918.10897391</v>
      </c>
      <c r="AD1396">
        <f t="shared" si="346"/>
        <v>-42.002386290000018</v>
      </c>
      <c r="AE1396">
        <f t="shared" si="347"/>
        <v>3.7942155615299997</v>
      </c>
      <c r="AF1396">
        <f t="shared" si="348"/>
        <v>-45.796601851530021</v>
      </c>
      <c r="AG1396">
        <f t="shared" si="354"/>
        <v>19135.293041810764</v>
      </c>
      <c r="AH1396" t="b">
        <f t="shared" si="349"/>
        <v>1</v>
      </c>
    </row>
    <row r="1397" spans="4:34" hidden="1" x14ac:dyDescent="0.4">
      <c r="D1397" t="s">
        <v>43</v>
      </c>
      <c r="E1397" t="s">
        <v>37</v>
      </c>
      <c r="F1397" s="9">
        <v>45677.166666666664</v>
      </c>
      <c r="G1397">
        <v>4.4947999999999997</v>
      </c>
      <c r="H1397" s="9">
        <v>45679.166666666664</v>
      </c>
      <c r="I1397">
        <v>4.6642999999999999</v>
      </c>
      <c r="J1397">
        <v>371.5</v>
      </c>
      <c r="K1397" s="12">
        <v>1669.88</v>
      </c>
      <c r="L1397">
        <v>2.5499999999999998</v>
      </c>
      <c r="M1397">
        <v>60.42</v>
      </c>
      <c r="N1397" s="13">
        <v>3.6200000000000003E-2</v>
      </c>
      <c r="O1397" t="s">
        <v>38</v>
      </c>
      <c r="Q1397">
        <f t="shared" si="350"/>
        <v>62.969250000000073</v>
      </c>
      <c r="R1397">
        <f t="shared" si="351"/>
        <v>60.419250000000076</v>
      </c>
      <c r="S1397">
        <f t="shared" si="352"/>
        <v>1732.78745</v>
      </c>
      <c r="U1397">
        <f t="shared" si="339"/>
        <v>367.09086100000002</v>
      </c>
      <c r="V1397">
        <f t="shared" si="353"/>
        <v>1650.0000020227999</v>
      </c>
      <c r="W1397">
        <f t="shared" si="340"/>
        <v>62.221900939500081</v>
      </c>
      <c r="X1397">
        <f t="shared" si="341"/>
        <v>3.3622219049850997</v>
      </c>
      <c r="Y1397">
        <f t="shared" si="342"/>
        <v>58.859679034514983</v>
      </c>
      <c r="Z1397">
        <f t="shared" si="343"/>
        <v>19034.197685521925</v>
      </c>
      <c r="AB1397">
        <f t="shared" si="344"/>
        <v>425.22268100000002</v>
      </c>
      <c r="AC1397">
        <f t="shared" si="345"/>
        <v>1911.2909065587999</v>
      </c>
      <c r="AD1397">
        <f t="shared" si="346"/>
        <v>72.075244429500088</v>
      </c>
      <c r="AE1397">
        <f t="shared" si="347"/>
        <v>3.8946570575470996</v>
      </c>
      <c r="AF1397">
        <f t="shared" si="348"/>
        <v>68.180587371952996</v>
      </c>
      <c r="AG1397">
        <f t="shared" si="354"/>
        <v>19181.089643662293</v>
      </c>
      <c r="AH1397" t="b">
        <f t="shared" si="349"/>
        <v>1</v>
      </c>
    </row>
    <row r="1398" spans="4:34" hidden="1" x14ac:dyDescent="0.4">
      <c r="D1398" t="s">
        <v>50</v>
      </c>
      <c r="E1398" t="s">
        <v>37</v>
      </c>
      <c r="F1398" s="9">
        <v>45677.166666666664</v>
      </c>
      <c r="G1398">
        <v>423.2</v>
      </c>
      <c r="H1398" s="9">
        <v>45679.166666666664</v>
      </c>
      <c r="I1398">
        <v>423.2</v>
      </c>
      <c r="J1398">
        <v>25.986699999999999</v>
      </c>
      <c r="K1398" s="12">
        <v>10997.6</v>
      </c>
      <c r="L1398">
        <v>16.5</v>
      </c>
      <c r="M1398">
        <v>-16.5</v>
      </c>
      <c r="N1398" s="13">
        <v>-1.5E-3</v>
      </c>
      <c r="O1398" t="s">
        <v>38</v>
      </c>
      <c r="Q1398">
        <f t="shared" si="350"/>
        <v>0</v>
      </c>
      <c r="R1398">
        <f t="shared" si="351"/>
        <v>-16.5</v>
      </c>
      <c r="S1398">
        <f t="shared" si="352"/>
        <v>10997.57144</v>
      </c>
      <c r="U1398">
        <f t="shared" si="339"/>
        <v>3.8988659999999999</v>
      </c>
      <c r="V1398">
        <f t="shared" si="353"/>
        <v>1650.0000912</v>
      </c>
      <c r="W1398">
        <f t="shared" si="340"/>
        <v>0</v>
      </c>
      <c r="X1398">
        <f t="shared" si="341"/>
        <v>3.3000001824000003</v>
      </c>
      <c r="Y1398">
        <f t="shared" si="342"/>
        <v>-3.3000001824000003</v>
      </c>
      <c r="Z1398">
        <f t="shared" si="343"/>
        <v>18975.338006487411</v>
      </c>
      <c r="AB1398">
        <f t="shared" si="344"/>
        <v>4.5171859999999997</v>
      </c>
      <c r="AC1398">
        <f t="shared" si="345"/>
        <v>1911.6731151999998</v>
      </c>
      <c r="AD1398">
        <f t="shared" si="346"/>
        <v>0</v>
      </c>
      <c r="AE1398">
        <f t="shared" si="347"/>
        <v>3.8233462303999999</v>
      </c>
      <c r="AF1398">
        <f t="shared" si="348"/>
        <v>-3.8233462303999999</v>
      </c>
      <c r="AG1398">
        <f t="shared" si="354"/>
        <v>19112.90905629034</v>
      </c>
      <c r="AH1398" t="b">
        <f t="shared" si="349"/>
        <v>1</v>
      </c>
    </row>
    <row r="1399" spans="4:34" hidden="1" x14ac:dyDescent="0.4">
      <c r="D1399" t="s">
        <v>53</v>
      </c>
      <c r="E1399" t="s">
        <v>37</v>
      </c>
      <c r="F1399" s="9">
        <v>45677.125</v>
      </c>
      <c r="G1399">
        <v>683.17</v>
      </c>
      <c r="H1399" s="9">
        <v>45679.125</v>
      </c>
      <c r="I1399">
        <v>693.44</v>
      </c>
      <c r="J1399">
        <v>13.096</v>
      </c>
      <c r="K1399" s="12">
        <v>8947.36</v>
      </c>
      <c r="L1399">
        <v>13.52</v>
      </c>
      <c r="M1399">
        <v>120.97</v>
      </c>
      <c r="N1399" s="13">
        <v>1.35E-2</v>
      </c>
      <c r="O1399" t="s">
        <v>38</v>
      </c>
      <c r="Q1399">
        <f t="shared" si="350"/>
        <v>134.49592000000126</v>
      </c>
      <c r="R1399">
        <f t="shared" si="351"/>
        <v>120.97592000000127</v>
      </c>
      <c r="S1399">
        <f t="shared" si="352"/>
        <v>9081.2902400000003</v>
      </c>
      <c r="U1399">
        <f t="shared" si="339"/>
        <v>2.4152110000000002</v>
      </c>
      <c r="V1399">
        <f t="shared" si="353"/>
        <v>1649.99969887</v>
      </c>
      <c r="W1399">
        <f t="shared" si="340"/>
        <v>24.804216970000233</v>
      </c>
      <c r="X1399">
        <f t="shared" si="341"/>
        <v>3.3248036147100004</v>
      </c>
      <c r="Y1399">
        <f t="shared" si="342"/>
        <v>21.479413355290234</v>
      </c>
      <c r="Z1399">
        <f t="shared" si="343"/>
        <v>18978.638006669811</v>
      </c>
      <c r="AB1399">
        <f t="shared" si="344"/>
        <v>2.7946010000000001</v>
      </c>
      <c r="AC1399">
        <f t="shared" si="345"/>
        <v>1909.18756517</v>
      </c>
      <c r="AD1399">
        <f t="shared" si="346"/>
        <v>28.700552270000269</v>
      </c>
      <c r="AE1399">
        <f t="shared" si="347"/>
        <v>3.8470756826100003</v>
      </c>
      <c r="AF1399">
        <f t="shared" si="348"/>
        <v>24.853476587390269</v>
      </c>
      <c r="AG1399">
        <f t="shared" si="354"/>
        <v>19116.732402520742</v>
      </c>
      <c r="AH1399" t="b">
        <f t="shared" si="349"/>
        <v>1</v>
      </c>
    </row>
    <row r="1400" spans="4:34" hidden="1" x14ac:dyDescent="0.4">
      <c r="D1400" t="s">
        <v>60</v>
      </c>
      <c r="E1400" t="s">
        <v>37</v>
      </c>
      <c r="F1400" s="9">
        <v>45675.791666666664</v>
      </c>
      <c r="G1400">
        <v>3.1798000000000002</v>
      </c>
      <c r="H1400" s="9">
        <v>45678.291666666664</v>
      </c>
      <c r="I1400">
        <v>3.0470000000000002</v>
      </c>
      <c r="J1400">
        <v>645</v>
      </c>
      <c r="K1400" s="12">
        <v>2051.16</v>
      </c>
      <c r="L1400">
        <v>3.01</v>
      </c>
      <c r="M1400">
        <v>-88.67</v>
      </c>
      <c r="N1400" s="13">
        <v>-4.3200000000000002E-2</v>
      </c>
      <c r="O1400" t="s">
        <v>57</v>
      </c>
      <c r="Q1400">
        <f t="shared" si="350"/>
        <v>-85.65600000000002</v>
      </c>
      <c r="R1400">
        <f t="shared" si="351"/>
        <v>-88.666000000000025</v>
      </c>
      <c r="S1400">
        <f t="shared" si="352"/>
        <v>1965.3150000000001</v>
      </c>
      <c r="U1400">
        <f t="shared" si="339"/>
        <v>518.90056000000004</v>
      </c>
      <c r="V1400">
        <f t="shared" si="353"/>
        <v>1650.0000006880002</v>
      </c>
      <c r="W1400">
        <f t="shared" si="340"/>
        <v>-68.909994368000014</v>
      </c>
      <c r="X1400">
        <f t="shared" si="341"/>
        <v>3.2310900070080009</v>
      </c>
      <c r="Y1400">
        <f t="shared" si="342"/>
        <v>-72.14108437500802</v>
      </c>
      <c r="Z1400">
        <f t="shared" si="343"/>
        <v>18957.158593314522</v>
      </c>
      <c r="AB1400">
        <f t="shared" si="344"/>
        <v>603.04795100000001</v>
      </c>
      <c r="AC1400">
        <f t="shared" si="345"/>
        <v>1917.5718745898002</v>
      </c>
      <c r="AD1400">
        <f t="shared" si="346"/>
        <v>-80.084767892800016</v>
      </c>
      <c r="AE1400">
        <f t="shared" si="347"/>
        <v>3.7550589812868007</v>
      </c>
      <c r="AF1400">
        <f t="shared" si="348"/>
        <v>-83.83982687408681</v>
      </c>
      <c r="AG1400">
        <f t="shared" si="354"/>
        <v>19091.87892593335</v>
      </c>
      <c r="AH1400" t="b">
        <f t="shared" si="349"/>
        <v>1</v>
      </c>
    </row>
    <row r="1401" spans="4:34" hidden="1" x14ac:dyDescent="0.4">
      <c r="D1401" t="s">
        <v>54</v>
      </c>
      <c r="E1401" t="s">
        <v>37</v>
      </c>
      <c r="F1401" s="9">
        <v>45676.208333333336</v>
      </c>
      <c r="G1401">
        <v>273.3</v>
      </c>
      <c r="H1401" s="9">
        <v>45678.208333333336</v>
      </c>
      <c r="I1401">
        <v>238.18</v>
      </c>
      <c r="J1401">
        <v>16.404</v>
      </c>
      <c r="K1401" s="12">
        <v>4483.29</v>
      </c>
      <c r="L1401">
        <v>6.29</v>
      </c>
      <c r="M1401">
        <v>-582.4</v>
      </c>
      <c r="N1401" s="13">
        <v>-0.12989999999999999</v>
      </c>
      <c r="O1401" t="s">
        <v>38</v>
      </c>
      <c r="Q1401">
        <f t="shared" si="350"/>
        <v>-576.1084800000001</v>
      </c>
      <c r="R1401">
        <f t="shared" si="351"/>
        <v>-582.39848000000006</v>
      </c>
      <c r="S1401">
        <f t="shared" si="352"/>
        <v>3907.1047200000003</v>
      </c>
      <c r="U1401">
        <f t="shared" si="339"/>
        <v>6.0373219999999996</v>
      </c>
      <c r="V1401">
        <f t="shared" si="353"/>
        <v>1650.0001026</v>
      </c>
      <c r="W1401">
        <f t="shared" si="340"/>
        <v>-212.03074864000001</v>
      </c>
      <c r="X1401">
        <f t="shared" si="341"/>
        <v>3.0879694565600002</v>
      </c>
      <c r="Y1401">
        <f t="shared" si="342"/>
        <v>-215.11871809656</v>
      </c>
      <c r="Z1401">
        <f t="shared" si="343"/>
        <v>19029.299677689531</v>
      </c>
      <c r="AB1401">
        <f t="shared" si="344"/>
        <v>7.1090470000000003</v>
      </c>
      <c r="AC1401">
        <f t="shared" si="345"/>
        <v>1942.9025451000002</v>
      </c>
      <c r="AD1401">
        <f t="shared" si="346"/>
        <v>-249.66973064000004</v>
      </c>
      <c r="AE1401">
        <f t="shared" si="347"/>
        <v>3.6361353595600003</v>
      </c>
      <c r="AF1401">
        <f t="shared" si="348"/>
        <v>-253.30586599956004</v>
      </c>
      <c r="AG1401">
        <f t="shared" si="354"/>
        <v>19175.718752807436</v>
      </c>
      <c r="AH1401" t="b">
        <f t="shared" si="349"/>
        <v>1</v>
      </c>
    </row>
    <row r="1402" spans="4:34" hidden="1" x14ac:dyDescent="0.4">
      <c r="D1402" t="s">
        <v>48</v>
      </c>
      <c r="E1402" t="s">
        <v>37</v>
      </c>
      <c r="F1402" s="9">
        <v>45675.666666666664</v>
      </c>
      <c r="G1402">
        <v>0.41299999999999998</v>
      </c>
      <c r="H1402" s="9">
        <v>45677.666666666664</v>
      </c>
      <c r="I1402">
        <v>0.38790000000000002</v>
      </c>
      <c r="J1402" s="12">
        <v>6671</v>
      </c>
      <c r="K1402" s="12">
        <v>2755.13</v>
      </c>
      <c r="L1402">
        <v>4.01</v>
      </c>
      <c r="M1402">
        <v>-171.45</v>
      </c>
      <c r="N1402" s="13">
        <v>-6.2199999999999998E-2</v>
      </c>
      <c r="O1402" t="s">
        <v>38</v>
      </c>
      <c r="Q1402">
        <f t="shared" si="350"/>
        <v>-167.4420999999997</v>
      </c>
      <c r="R1402">
        <f t="shared" si="351"/>
        <v>-171.45209999999969</v>
      </c>
      <c r="S1402">
        <f t="shared" si="352"/>
        <v>2587.6809000000003</v>
      </c>
      <c r="U1402">
        <f t="shared" si="339"/>
        <v>3995.157385</v>
      </c>
      <c r="V1402">
        <f t="shared" si="353"/>
        <v>1650.0000000049999</v>
      </c>
      <c r="W1402">
        <f t="shared" si="340"/>
        <v>-100.27845036349983</v>
      </c>
      <c r="X1402">
        <f t="shared" si="341"/>
        <v>3.1997215496465001</v>
      </c>
      <c r="Y1402">
        <f t="shared" si="342"/>
        <v>-103.47817191314633</v>
      </c>
      <c r="Z1402">
        <f t="shared" si="343"/>
        <v>19244.418395786091</v>
      </c>
      <c r="AB1402">
        <f t="shared" si="344"/>
        <v>4734.0534779999998</v>
      </c>
      <c r="AC1402">
        <f t="shared" si="345"/>
        <v>1955.1640864139997</v>
      </c>
      <c r="AD1402">
        <f t="shared" si="346"/>
        <v>-118.82474229779979</v>
      </c>
      <c r="AE1402">
        <f t="shared" si="347"/>
        <v>3.7915034305302</v>
      </c>
      <c r="AF1402">
        <f t="shared" si="348"/>
        <v>-122.61624572832999</v>
      </c>
      <c r="AG1402">
        <f t="shared" si="354"/>
        <v>19429.024618806994</v>
      </c>
      <c r="AH1402" t="b">
        <f t="shared" si="349"/>
        <v>1</v>
      </c>
    </row>
    <row r="1403" spans="4:34" hidden="1" x14ac:dyDescent="0.4">
      <c r="D1403" t="s">
        <v>61</v>
      </c>
      <c r="E1403" t="s">
        <v>37</v>
      </c>
      <c r="F1403" s="9">
        <v>45675.583333333336</v>
      </c>
      <c r="G1403">
        <v>1.0945</v>
      </c>
      <c r="H1403" s="9">
        <v>45677.583333333336</v>
      </c>
      <c r="I1403">
        <v>1.0640000000000001</v>
      </c>
      <c r="J1403" s="12">
        <v>6945.9</v>
      </c>
      <c r="K1403" s="12">
        <v>7602.31</v>
      </c>
      <c r="L1403">
        <v>11.24</v>
      </c>
      <c r="M1403">
        <v>-223.09</v>
      </c>
      <c r="N1403" s="13">
        <v>-2.93E-2</v>
      </c>
      <c r="O1403" t="s">
        <v>38</v>
      </c>
      <c r="Q1403">
        <f t="shared" si="350"/>
        <v>-211.84994999999978</v>
      </c>
      <c r="R1403">
        <f t="shared" si="351"/>
        <v>-223.08994999999979</v>
      </c>
      <c r="S1403">
        <f t="shared" si="352"/>
        <v>7390.4376000000002</v>
      </c>
      <c r="U1403">
        <f t="shared" si="339"/>
        <v>1507.5376879999999</v>
      </c>
      <c r="V1403">
        <f t="shared" si="353"/>
        <v>1649.9999995159999</v>
      </c>
      <c r="W1403">
        <f t="shared" si="340"/>
        <v>-45.979899483999951</v>
      </c>
      <c r="X1403">
        <f t="shared" si="341"/>
        <v>3.2540200995480002</v>
      </c>
      <c r="Y1403">
        <f t="shared" si="342"/>
        <v>-49.233919583547952</v>
      </c>
      <c r="Z1403">
        <f t="shared" si="343"/>
        <v>19347.896567699237</v>
      </c>
      <c r="AB1403">
        <f t="shared" si="344"/>
        <v>1791.6998719999999</v>
      </c>
      <c r="AC1403">
        <f t="shared" si="345"/>
        <v>1961.0155099040001</v>
      </c>
      <c r="AD1403">
        <f t="shared" si="346"/>
        <v>-54.646846095999948</v>
      </c>
      <c r="AE1403">
        <f t="shared" si="347"/>
        <v>3.8673841737120003</v>
      </c>
      <c r="AF1403">
        <f t="shared" si="348"/>
        <v>-58.514230269711945</v>
      </c>
      <c r="AG1403">
        <f t="shared" si="354"/>
        <v>19551.640864535326</v>
      </c>
      <c r="AH1403" t="b">
        <f t="shared" si="349"/>
        <v>1</v>
      </c>
    </row>
    <row r="1404" spans="4:34" hidden="1" x14ac:dyDescent="0.4">
      <c r="D1404" t="s">
        <v>59</v>
      </c>
      <c r="E1404" t="s">
        <v>37</v>
      </c>
      <c r="F1404" s="9">
        <v>45675.041666666664</v>
      </c>
      <c r="G1404" s="12">
        <v>104702.01</v>
      </c>
      <c r="H1404" s="9">
        <v>45677.541666666664</v>
      </c>
      <c r="I1404" s="12">
        <v>106798.21</v>
      </c>
      <c r="J1404">
        <v>9.5390000000000003E-2</v>
      </c>
      <c r="K1404" s="12">
        <v>9987.7199999999993</v>
      </c>
      <c r="L1404">
        <v>15.13</v>
      </c>
      <c r="M1404">
        <v>184.83</v>
      </c>
      <c r="N1404" s="13">
        <v>1.8499999999999999E-2</v>
      </c>
      <c r="O1404" t="s">
        <v>57</v>
      </c>
      <c r="Q1404">
        <f t="shared" si="350"/>
        <v>199.95651800000113</v>
      </c>
      <c r="R1404">
        <f t="shared" si="351"/>
        <v>184.82651800000113</v>
      </c>
      <c r="S1404">
        <f t="shared" si="352"/>
        <v>10187.481251900001</v>
      </c>
      <c r="U1404">
        <f t="shared" si="339"/>
        <v>1.5758999999999999E-2</v>
      </c>
      <c r="V1404">
        <f t="shared" si="353"/>
        <v>1649.9989755899999</v>
      </c>
      <c r="W1404">
        <f t="shared" si="340"/>
        <v>33.034015800000184</v>
      </c>
      <c r="X1404">
        <f t="shared" si="341"/>
        <v>3.3330319669800001</v>
      </c>
      <c r="Y1404">
        <f t="shared" si="342"/>
        <v>29.700983833020182</v>
      </c>
      <c r="Z1404">
        <f t="shared" si="343"/>
        <v>19397.130487282786</v>
      </c>
      <c r="AB1404">
        <f t="shared" si="344"/>
        <v>1.8696000000000001E-2</v>
      </c>
      <c r="AC1404">
        <f t="shared" si="345"/>
        <v>1957.50877896</v>
      </c>
      <c r="AD1404">
        <f t="shared" si="346"/>
        <v>39.190555200000219</v>
      </c>
      <c r="AE1404">
        <f t="shared" si="347"/>
        <v>3.9542081131200004</v>
      </c>
      <c r="AF1404">
        <f t="shared" si="348"/>
        <v>35.236347086880215</v>
      </c>
      <c r="AG1404">
        <f t="shared" si="354"/>
        <v>19610.155094805039</v>
      </c>
      <c r="AH1404" t="b">
        <f t="shared" si="349"/>
        <v>1</v>
      </c>
    </row>
    <row r="1405" spans="4:34" hidden="1" x14ac:dyDescent="0.4">
      <c r="D1405" t="s">
        <v>58</v>
      </c>
      <c r="E1405" t="s">
        <v>37</v>
      </c>
      <c r="F1405" s="9">
        <v>45675.375</v>
      </c>
      <c r="G1405">
        <v>24.46</v>
      </c>
      <c r="H1405" s="9">
        <v>45677.375</v>
      </c>
      <c r="I1405">
        <v>26.06</v>
      </c>
      <c r="J1405">
        <v>275.86</v>
      </c>
      <c r="K1405" s="12">
        <v>6747.61</v>
      </c>
      <c r="L1405">
        <v>10.45</v>
      </c>
      <c r="M1405">
        <v>430.92</v>
      </c>
      <c r="N1405" s="13">
        <v>6.3899999999999998E-2</v>
      </c>
      <c r="O1405" t="s">
        <v>38</v>
      </c>
      <c r="Q1405">
        <f t="shared" si="350"/>
        <v>441.37599999999941</v>
      </c>
      <c r="R1405">
        <f t="shared" si="351"/>
        <v>430.92599999999942</v>
      </c>
      <c r="S1405">
        <f t="shared" si="352"/>
        <v>7188.9116000000004</v>
      </c>
      <c r="U1405">
        <f t="shared" si="339"/>
        <v>67.457072999999994</v>
      </c>
      <c r="V1405">
        <f t="shared" si="353"/>
        <v>1650.0000055799999</v>
      </c>
      <c r="W1405">
        <f t="shared" si="340"/>
        <v>107.93131679999985</v>
      </c>
      <c r="X1405">
        <f t="shared" si="341"/>
        <v>3.4079313279599992</v>
      </c>
      <c r="Y1405">
        <f t="shared" si="342"/>
        <v>104.52338547203985</v>
      </c>
      <c r="Z1405">
        <f t="shared" si="343"/>
        <v>19367.429503449766</v>
      </c>
      <c r="AB1405">
        <f t="shared" si="344"/>
        <v>79.524518</v>
      </c>
      <c r="AC1405">
        <f t="shared" si="345"/>
        <v>1945.1697102800001</v>
      </c>
      <c r="AD1405">
        <f t="shared" si="346"/>
        <v>127.23922879999984</v>
      </c>
      <c r="AE1405">
        <f t="shared" si="347"/>
        <v>4.0175786493599999</v>
      </c>
      <c r="AF1405">
        <f t="shared" si="348"/>
        <v>123.22165015063983</v>
      </c>
      <c r="AG1405">
        <f t="shared" si="354"/>
        <v>19574.918747718159</v>
      </c>
      <c r="AH1405" t="b">
        <f t="shared" si="349"/>
        <v>1</v>
      </c>
    </row>
    <row r="1406" spans="4:34" hidden="1" x14ac:dyDescent="0.4">
      <c r="D1406" t="s">
        <v>53</v>
      </c>
      <c r="E1406" t="s">
        <v>37</v>
      </c>
      <c r="F1406" s="9">
        <v>45674.708333333336</v>
      </c>
      <c r="G1406">
        <v>725.26</v>
      </c>
      <c r="H1406" s="9">
        <v>45676.708333333336</v>
      </c>
      <c r="I1406">
        <v>697.56</v>
      </c>
      <c r="J1406">
        <v>12.385</v>
      </c>
      <c r="K1406" s="12">
        <v>8982.99</v>
      </c>
      <c r="L1406">
        <v>13.22</v>
      </c>
      <c r="M1406">
        <v>-356.28</v>
      </c>
      <c r="N1406" s="13">
        <v>-3.9699999999999999E-2</v>
      </c>
      <c r="O1406" t="s">
        <v>38</v>
      </c>
      <c r="Q1406">
        <f t="shared" si="350"/>
        <v>-343.06450000000058</v>
      </c>
      <c r="R1406">
        <f t="shared" si="351"/>
        <v>-356.28450000000061</v>
      </c>
      <c r="S1406">
        <f t="shared" si="352"/>
        <v>8639.2806</v>
      </c>
      <c r="U1406">
        <f t="shared" si="339"/>
        <v>2.2750460000000001</v>
      </c>
      <c r="V1406">
        <f t="shared" si="353"/>
        <v>1649.9998619600001</v>
      </c>
      <c r="W1406">
        <f t="shared" si="340"/>
        <v>-63.018774200000109</v>
      </c>
      <c r="X1406">
        <f t="shared" si="341"/>
        <v>3.2369809497199999</v>
      </c>
      <c r="Y1406">
        <f t="shared" si="342"/>
        <v>-66.255755149720116</v>
      </c>
      <c r="Z1406">
        <f t="shared" si="343"/>
        <v>19262.906117977727</v>
      </c>
      <c r="AB1406">
        <f t="shared" si="344"/>
        <v>2.692844</v>
      </c>
      <c r="AC1406">
        <f t="shared" si="345"/>
        <v>1953.0120394400001</v>
      </c>
      <c r="AD1406">
        <f t="shared" si="346"/>
        <v>-74.591778800000128</v>
      </c>
      <c r="AE1406">
        <f t="shared" si="347"/>
        <v>3.8314323000799999</v>
      </c>
      <c r="AF1406">
        <f t="shared" si="348"/>
        <v>-78.423211100080124</v>
      </c>
      <c r="AG1406">
        <f t="shared" si="354"/>
        <v>19451.697097567518</v>
      </c>
      <c r="AH1406" t="b">
        <f t="shared" si="349"/>
        <v>1</v>
      </c>
    </row>
    <row r="1407" spans="4:34" hidden="1" x14ac:dyDescent="0.4">
      <c r="D1407" t="s">
        <v>50</v>
      </c>
      <c r="E1407" t="s">
        <v>37</v>
      </c>
      <c r="F1407" s="9">
        <v>45674.708333333336</v>
      </c>
      <c r="G1407">
        <v>481.8</v>
      </c>
      <c r="H1407" s="9">
        <v>45676.708333333336</v>
      </c>
      <c r="I1407">
        <v>462.1</v>
      </c>
      <c r="J1407">
        <v>22.923100000000002</v>
      </c>
      <c r="K1407" s="12">
        <v>11044.38</v>
      </c>
      <c r="L1407">
        <v>16.23</v>
      </c>
      <c r="M1407">
        <v>-467.81</v>
      </c>
      <c r="N1407" s="13">
        <v>-4.24E-2</v>
      </c>
      <c r="O1407" t="s">
        <v>38</v>
      </c>
      <c r="Q1407">
        <f t="shared" si="350"/>
        <v>-451.58506999999975</v>
      </c>
      <c r="R1407">
        <f t="shared" si="351"/>
        <v>-467.81506999999976</v>
      </c>
      <c r="S1407">
        <f t="shared" si="352"/>
        <v>10592.764510000001</v>
      </c>
      <c r="U1407">
        <f t="shared" si="339"/>
        <v>3.424658</v>
      </c>
      <c r="V1407">
        <f t="shared" si="353"/>
        <v>1650.0002244</v>
      </c>
      <c r="W1407">
        <f t="shared" si="340"/>
        <v>-67.465762599999962</v>
      </c>
      <c r="X1407">
        <f t="shared" si="341"/>
        <v>3.2325346862000002</v>
      </c>
      <c r="Y1407">
        <f t="shared" si="342"/>
        <v>-70.69829728619996</v>
      </c>
      <c r="Z1407">
        <f t="shared" si="343"/>
        <v>19329.161873127447</v>
      </c>
      <c r="AB1407">
        <f t="shared" si="344"/>
        <v>4.0710170000000003</v>
      </c>
      <c r="AC1407">
        <f t="shared" si="345"/>
        <v>1961.4159906000002</v>
      </c>
      <c r="AD1407">
        <f t="shared" si="346"/>
        <v>-80.199034899999958</v>
      </c>
      <c r="AE1407">
        <f t="shared" si="347"/>
        <v>3.8426329463000006</v>
      </c>
      <c r="AF1407">
        <f t="shared" si="348"/>
        <v>-84.041667846299958</v>
      </c>
      <c r="AG1407">
        <f t="shared" si="354"/>
        <v>19530.120308667596</v>
      </c>
      <c r="AH1407" t="b">
        <f t="shared" si="349"/>
        <v>1</v>
      </c>
    </row>
    <row r="1408" spans="4:34" hidden="1" x14ac:dyDescent="0.4">
      <c r="D1408" t="s">
        <v>43</v>
      </c>
      <c r="E1408" t="s">
        <v>37</v>
      </c>
      <c r="F1408" s="9">
        <v>45674.625</v>
      </c>
      <c r="G1408">
        <v>4.9238</v>
      </c>
      <c r="H1408" s="9">
        <v>45676.625</v>
      </c>
      <c r="I1408">
        <v>4.8922999999999996</v>
      </c>
      <c r="J1408">
        <v>339.4</v>
      </c>
      <c r="K1408" s="12">
        <v>1671.2</v>
      </c>
      <c r="L1408">
        <v>2.5</v>
      </c>
      <c r="M1408">
        <v>-13.19</v>
      </c>
      <c r="N1408" s="13">
        <v>-7.9000000000000008E-3</v>
      </c>
      <c r="O1408" t="s">
        <v>38</v>
      </c>
      <c r="Q1408">
        <f t="shared" si="350"/>
        <v>-10.691100000000104</v>
      </c>
      <c r="R1408">
        <f t="shared" si="351"/>
        <v>-13.191100000000104</v>
      </c>
      <c r="S1408">
        <f t="shared" si="352"/>
        <v>1660.4466199999997</v>
      </c>
      <c r="U1408">
        <f t="shared" si="339"/>
        <v>335.10703100000001</v>
      </c>
      <c r="V1408">
        <f t="shared" si="353"/>
        <v>1649.9999992378</v>
      </c>
      <c r="W1408">
        <f t="shared" si="340"/>
        <v>-10.555871476500103</v>
      </c>
      <c r="X1408">
        <f t="shared" si="341"/>
        <v>3.2894441269990997</v>
      </c>
      <c r="Y1408">
        <f t="shared" si="342"/>
        <v>-13.845315603499202</v>
      </c>
      <c r="Z1408">
        <f t="shared" si="343"/>
        <v>19399.860170413645</v>
      </c>
      <c r="AB1408">
        <f t="shared" si="344"/>
        <v>398.68870099999998</v>
      </c>
      <c r="AC1408">
        <f t="shared" si="345"/>
        <v>1963.0634259837998</v>
      </c>
      <c r="AD1408">
        <f t="shared" si="346"/>
        <v>-12.558694081500121</v>
      </c>
      <c r="AE1408">
        <f t="shared" si="347"/>
        <v>3.9135681578860995</v>
      </c>
      <c r="AF1408">
        <f t="shared" si="348"/>
        <v>-16.472262239386222</v>
      </c>
      <c r="AG1408">
        <f t="shared" si="354"/>
        <v>19614.161976513897</v>
      </c>
      <c r="AH1408" t="b">
        <f t="shared" si="349"/>
        <v>1</v>
      </c>
    </row>
    <row r="1409" spans="4:34" hidden="1" x14ac:dyDescent="0.4">
      <c r="D1409" t="s">
        <v>55</v>
      </c>
      <c r="E1409" t="s">
        <v>37</v>
      </c>
      <c r="F1409" s="9">
        <v>45674.625</v>
      </c>
      <c r="G1409">
        <v>1.07E-4</v>
      </c>
      <c r="H1409" s="9">
        <v>45676.625</v>
      </c>
      <c r="I1409">
        <v>9.3529999999999994E-5</v>
      </c>
      <c r="J1409" s="12">
        <v>56470129.770000003</v>
      </c>
      <c r="K1409" s="12">
        <v>6019.15</v>
      </c>
      <c r="L1409">
        <v>8.48</v>
      </c>
      <c r="M1409">
        <v>-745.98</v>
      </c>
      <c r="N1409" s="13">
        <v>-0.1239</v>
      </c>
      <c r="O1409" t="s">
        <v>38</v>
      </c>
      <c r="Q1409">
        <f t="shared" si="350"/>
        <v>-760.65264800190027</v>
      </c>
      <c r="R1409">
        <f t="shared" si="351"/>
        <v>-769.13264800190029</v>
      </c>
      <c r="S1409">
        <f t="shared" si="352"/>
        <v>5281.6512373880996</v>
      </c>
      <c r="U1409">
        <f t="shared" si="339"/>
        <v>15420560.747664001</v>
      </c>
      <c r="V1409">
        <f t="shared" si="353"/>
        <v>1650.000000000048</v>
      </c>
      <c r="W1409">
        <f t="shared" si="340"/>
        <v>-207.71495327103418</v>
      </c>
      <c r="X1409">
        <f t="shared" si="341"/>
        <v>3.0922850467290619</v>
      </c>
      <c r="Y1409">
        <f t="shared" si="342"/>
        <v>-210.80723831776325</v>
      </c>
      <c r="Z1409">
        <f t="shared" si="343"/>
        <v>19413.705486017145</v>
      </c>
      <c r="AB1409">
        <f t="shared" si="344"/>
        <v>18583817.640487999</v>
      </c>
      <c r="AC1409">
        <f t="shared" si="345"/>
        <v>1988.4684875322159</v>
      </c>
      <c r="AD1409">
        <f t="shared" si="346"/>
        <v>-250.32402361737343</v>
      </c>
      <c r="AE1409">
        <f t="shared" si="347"/>
        <v>3.7266129514470583</v>
      </c>
      <c r="AF1409">
        <f t="shared" si="348"/>
        <v>-254.05063656882049</v>
      </c>
      <c r="AG1409">
        <f t="shared" si="354"/>
        <v>19630.634238753282</v>
      </c>
      <c r="AH1409" t="b">
        <f t="shared" si="349"/>
        <v>1</v>
      </c>
    </row>
    <row r="1410" spans="4:34" hidden="1" x14ac:dyDescent="0.4">
      <c r="D1410" t="s">
        <v>54</v>
      </c>
      <c r="E1410" t="s">
        <v>37</v>
      </c>
      <c r="F1410" s="9">
        <v>45674.083333333336</v>
      </c>
      <c r="G1410">
        <v>214.47</v>
      </c>
      <c r="H1410" s="9">
        <v>45676.083333333336</v>
      </c>
      <c r="I1410">
        <v>255.36</v>
      </c>
      <c r="J1410">
        <v>20.515999999999998</v>
      </c>
      <c r="K1410" s="12">
        <v>4400.12</v>
      </c>
      <c r="L1410">
        <v>7.23</v>
      </c>
      <c r="M1410">
        <v>831.67</v>
      </c>
      <c r="N1410" s="13">
        <v>0.189</v>
      </c>
      <c r="O1410" t="s">
        <v>38</v>
      </c>
      <c r="Q1410">
        <f t="shared" si="350"/>
        <v>838.89924000000019</v>
      </c>
      <c r="R1410">
        <f t="shared" si="351"/>
        <v>831.66924000000017</v>
      </c>
      <c r="S1410">
        <f t="shared" si="352"/>
        <v>5238.96576</v>
      </c>
      <c r="U1410">
        <f t="shared" si="339"/>
        <v>7.693384</v>
      </c>
      <c r="V1410">
        <f t="shared" si="353"/>
        <v>1650.00006648</v>
      </c>
      <c r="W1410">
        <f t="shared" si="340"/>
        <v>314.58247176000009</v>
      </c>
      <c r="X1410">
        <f t="shared" si="341"/>
        <v>3.6145826047200003</v>
      </c>
      <c r="Y1410">
        <f t="shared" si="342"/>
        <v>310.96788915528009</v>
      </c>
      <c r="Z1410">
        <f t="shared" si="343"/>
        <v>19624.512724334909</v>
      </c>
      <c r="AB1410">
        <f t="shared" si="344"/>
        <v>9.1000420000000002</v>
      </c>
      <c r="AC1410">
        <f t="shared" si="345"/>
        <v>1951.6860077399999</v>
      </c>
      <c r="AD1410">
        <f t="shared" si="346"/>
        <v>372.10071738000016</v>
      </c>
      <c r="AE1410">
        <f t="shared" si="347"/>
        <v>4.27547273286</v>
      </c>
      <c r="AF1410">
        <f t="shared" si="348"/>
        <v>367.82524464714015</v>
      </c>
      <c r="AG1410">
        <f t="shared" si="354"/>
        <v>19884.684875322102</v>
      </c>
      <c r="AH1410" t="b">
        <f t="shared" si="349"/>
        <v>1</v>
      </c>
    </row>
    <row r="1411" spans="4:34" hidden="1" x14ac:dyDescent="0.4">
      <c r="D1411" t="s">
        <v>60</v>
      </c>
      <c r="E1411" t="s">
        <v>37</v>
      </c>
      <c r="F1411" s="9">
        <v>45673.208333333336</v>
      </c>
      <c r="G1411">
        <v>3.0750000000000002</v>
      </c>
      <c r="H1411" s="9">
        <v>45675.708333333336</v>
      </c>
      <c r="I1411">
        <v>3.1419999999999999</v>
      </c>
      <c r="J1411">
        <v>665.6</v>
      </c>
      <c r="K1411" s="12">
        <v>2047.01</v>
      </c>
      <c r="L1411">
        <v>3.1</v>
      </c>
      <c r="M1411">
        <v>41.49</v>
      </c>
      <c r="N1411" s="13">
        <v>2.0299999999999999E-2</v>
      </c>
      <c r="O1411" t="s">
        <v>57</v>
      </c>
      <c r="Q1411">
        <f t="shared" si="350"/>
        <v>44.595199999999821</v>
      </c>
      <c r="R1411">
        <f t="shared" si="351"/>
        <v>41.495199999999819</v>
      </c>
      <c r="S1411">
        <f t="shared" si="352"/>
        <v>2091.3152</v>
      </c>
      <c r="U1411">
        <f t="shared" si="339"/>
        <v>536.58536600000002</v>
      </c>
      <c r="V1411">
        <f t="shared" si="353"/>
        <v>1650.0000004500002</v>
      </c>
      <c r="W1411">
        <f t="shared" si="340"/>
        <v>35.951219521999853</v>
      </c>
      <c r="X1411">
        <f t="shared" si="341"/>
        <v>3.3359512204220003</v>
      </c>
      <c r="Y1411">
        <f t="shared" si="342"/>
        <v>32.615268301577856</v>
      </c>
      <c r="Z1411">
        <f t="shared" si="343"/>
        <v>19313.544835179629</v>
      </c>
      <c r="AB1411">
        <f t="shared" si="344"/>
        <v>633.44250699999998</v>
      </c>
      <c r="AC1411">
        <f t="shared" si="345"/>
        <v>1947.8357090250001</v>
      </c>
      <c r="AD1411">
        <f t="shared" si="346"/>
        <v>42.440647968999826</v>
      </c>
      <c r="AE1411">
        <f t="shared" si="347"/>
        <v>3.9381120660189999</v>
      </c>
      <c r="AF1411">
        <f t="shared" si="348"/>
        <v>38.502535902980824</v>
      </c>
      <c r="AG1411">
        <f t="shared" si="354"/>
        <v>19516.85963067496</v>
      </c>
      <c r="AH1411" t="b">
        <f t="shared" si="349"/>
        <v>1</v>
      </c>
    </row>
    <row r="1412" spans="4:34" hidden="1" x14ac:dyDescent="0.4">
      <c r="D1412" t="s">
        <v>48</v>
      </c>
      <c r="E1412" t="s">
        <v>37</v>
      </c>
      <c r="F1412" s="9">
        <v>45673.666666666664</v>
      </c>
      <c r="G1412">
        <v>0.40160000000000001</v>
      </c>
      <c r="H1412" s="9">
        <v>45675.666666666664</v>
      </c>
      <c r="I1412">
        <v>0.41299999999999998</v>
      </c>
      <c r="J1412" s="12">
        <v>6841.9</v>
      </c>
      <c r="K1412" s="12">
        <v>2747.74</v>
      </c>
      <c r="L1412">
        <v>4.18</v>
      </c>
      <c r="M1412">
        <v>73.819999999999993</v>
      </c>
      <c r="N1412" s="13">
        <v>2.69E-2</v>
      </c>
      <c r="O1412" t="s">
        <v>38</v>
      </c>
      <c r="Q1412">
        <f t="shared" si="350"/>
        <v>77.997659999999755</v>
      </c>
      <c r="R1412">
        <f t="shared" si="351"/>
        <v>73.817659999999762</v>
      </c>
      <c r="S1412">
        <f t="shared" si="352"/>
        <v>2825.7046999999998</v>
      </c>
      <c r="U1412">
        <f t="shared" si="339"/>
        <v>4108.5657369999999</v>
      </c>
      <c r="V1412">
        <f t="shared" si="353"/>
        <v>1649.9999999792001</v>
      </c>
      <c r="W1412">
        <f t="shared" si="340"/>
        <v>46.837649401799858</v>
      </c>
      <c r="X1412">
        <f t="shared" si="341"/>
        <v>3.3468376493601997</v>
      </c>
      <c r="Y1412">
        <f t="shared" si="342"/>
        <v>43.490811752439662</v>
      </c>
      <c r="Z1412">
        <f t="shared" si="343"/>
        <v>19280.929566878051</v>
      </c>
      <c r="AB1412">
        <f t="shared" si="344"/>
        <v>4837.4379680000002</v>
      </c>
      <c r="AC1412">
        <f t="shared" si="345"/>
        <v>1942.7150879488001</v>
      </c>
      <c r="AD1412">
        <f t="shared" si="346"/>
        <v>55.14679283519984</v>
      </c>
      <c r="AE1412">
        <f t="shared" si="347"/>
        <v>3.9405769687327998</v>
      </c>
      <c r="AF1412">
        <f t="shared" si="348"/>
        <v>51.206215866467041</v>
      </c>
      <c r="AG1412">
        <f t="shared" si="354"/>
        <v>19478.357094771978</v>
      </c>
      <c r="AH1412" t="b">
        <f t="shared" si="349"/>
        <v>1</v>
      </c>
    </row>
    <row r="1413" spans="4:34" hidden="1" x14ac:dyDescent="0.4">
      <c r="D1413" t="s">
        <v>52</v>
      </c>
      <c r="E1413" t="s">
        <v>37</v>
      </c>
      <c r="F1413" s="9">
        <v>45673.291666666664</v>
      </c>
      <c r="G1413">
        <v>10.744999999999999</v>
      </c>
      <c r="H1413" s="9">
        <v>45675.291666666664</v>
      </c>
      <c r="I1413">
        <v>10.704000000000001</v>
      </c>
      <c r="J1413">
        <v>215.85</v>
      </c>
      <c r="K1413" s="12">
        <v>2319.36</v>
      </c>
      <c r="L1413">
        <v>3.47</v>
      </c>
      <c r="M1413">
        <v>-12.32</v>
      </c>
      <c r="N1413" s="13">
        <v>-5.3E-3</v>
      </c>
      <c r="O1413" t="s">
        <v>38</v>
      </c>
      <c r="Q1413">
        <f t="shared" si="350"/>
        <v>-8.8498499999996962</v>
      </c>
      <c r="R1413">
        <f t="shared" si="351"/>
        <v>-12.319849999999697</v>
      </c>
      <c r="S1413">
        <f t="shared" si="352"/>
        <v>2310.4584</v>
      </c>
      <c r="U1413">
        <f t="shared" si="339"/>
        <v>153.55979500000001</v>
      </c>
      <c r="V1413">
        <f t="shared" si="353"/>
        <v>1649.9999972749999</v>
      </c>
      <c r="W1413">
        <f t="shared" si="340"/>
        <v>-6.2959515949997842</v>
      </c>
      <c r="X1413">
        <f t="shared" si="341"/>
        <v>3.293704042955</v>
      </c>
      <c r="Y1413">
        <f t="shared" si="342"/>
        <v>-9.5896556379547846</v>
      </c>
      <c r="Z1413">
        <f t="shared" si="343"/>
        <v>19237.438755125611</v>
      </c>
      <c r="AB1413">
        <f t="shared" si="344"/>
        <v>180.90691799999999</v>
      </c>
      <c r="AC1413">
        <f t="shared" si="345"/>
        <v>1943.8448339099998</v>
      </c>
      <c r="AD1413">
        <f t="shared" si="346"/>
        <v>-7.4171836379997451</v>
      </c>
      <c r="AE1413">
        <f t="shared" si="347"/>
        <v>3.8802724841819995</v>
      </c>
      <c r="AF1413">
        <f t="shared" si="348"/>
        <v>-11.297456122181744</v>
      </c>
      <c r="AG1413">
        <f t="shared" si="354"/>
        <v>19427.150878905511</v>
      </c>
      <c r="AH1413" t="b">
        <f t="shared" si="349"/>
        <v>1</v>
      </c>
    </row>
    <row r="1414" spans="4:34" hidden="1" x14ac:dyDescent="0.4">
      <c r="D1414" t="s">
        <v>56</v>
      </c>
      <c r="E1414" t="s">
        <v>37</v>
      </c>
      <c r="F1414" s="9">
        <v>45674.083333333336</v>
      </c>
      <c r="G1414" s="12">
        <v>3385.6</v>
      </c>
      <c r="H1414" s="9">
        <v>45675.25</v>
      </c>
      <c r="I1414" s="12">
        <v>3310.76</v>
      </c>
      <c r="J1414">
        <v>1.5444</v>
      </c>
      <c r="K1414" s="12">
        <v>5228.8500000000004</v>
      </c>
      <c r="L1414">
        <v>7.76</v>
      </c>
      <c r="M1414">
        <v>-123.34</v>
      </c>
      <c r="N1414" s="13">
        <v>-2.3599999999999999E-2</v>
      </c>
      <c r="O1414" t="s">
        <v>49</v>
      </c>
      <c r="Q1414">
        <f t="shared" si="350"/>
        <v>-115.58289599999952</v>
      </c>
      <c r="R1414">
        <f t="shared" si="351"/>
        <v>-123.34289599999953</v>
      </c>
      <c r="S1414">
        <f t="shared" si="352"/>
        <v>5113.1377440000006</v>
      </c>
      <c r="U1414">
        <f t="shared" si="339"/>
        <v>0.48735800000000001</v>
      </c>
      <c r="V1414">
        <f t="shared" si="353"/>
        <v>1649.9992448</v>
      </c>
      <c r="W1414">
        <f t="shared" si="340"/>
        <v>-36.473872719999854</v>
      </c>
      <c r="X1414">
        <f t="shared" si="341"/>
        <v>3.2635246168800003</v>
      </c>
      <c r="Y1414">
        <f t="shared" si="342"/>
        <v>-39.737397336879852</v>
      </c>
      <c r="Z1414">
        <f t="shared" si="343"/>
        <v>19247.028410763567</v>
      </c>
      <c r="AB1414">
        <f t="shared" si="344"/>
        <v>0.57553699999999997</v>
      </c>
      <c r="AC1414">
        <f t="shared" si="345"/>
        <v>1948.5380671999999</v>
      </c>
      <c r="AD1414">
        <f t="shared" si="346"/>
        <v>-43.073189079999821</v>
      </c>
      <c r="AE1414">
        <f t="shared" si="347"/>
        <v>3.85400294532</v>
      </c>
      <c r="AF1414">
        <f t="shared" si="348"/>
        <v>-46.927192025319819</v>
      </c>
      <c r="AG1414">
        <f t="shared" si="354"/>
        <v>19438.448335027693</v>
      </c>
      <c r="AH1414" t="b">
        <f t="shared" si="349"/>
        <v>1</v>
      </c>
    </row>
    <row r="1415" spans="4:34" hidden="1" x14ac:dyDescent="0.4">
      <c r="D1415" t="s">
        <v>58</v>
      </c>
      <c r="E1415" t="s">
        <v>37</v>
      </c>
      <c r="F1415" s="9">
        <v>45673.208333333336</v>
      </c>
      <c r="G1415">
        <v>21.71</v>
      </c>
      <c r="H1415" s="9">
        <v>45675.208333333336</v>
      </c>
      <c r="I1415">
        <v>24.44</v>
      </c>
      <c r="J1415">
        <v>306.99</v>
      </c>
      <c r="K1415" s="12">
        <v>6664.87</v>
      </c>
      <c r="L1415">
        <v>10.63</v>
      </c>
      <c r="M1415">
        <v>827.46</v>
      </c>
      <c r="N1415" s="13">
        <v>0.1242</v>
      </c>
      <c r="O1415" t="s">
        <v>38</v>
      </c>
      <c r="Q1415">
        <f t="shared" si="350"/>
        <v>838.08270000000016</v>
      </c>
      <c r="R1415">
        <f t="shared" si="351"/>
        <v>827.45270000000016</v>
      </c>
      <c r="S1415">
        <f t="shared" si="352"/>
        <v>7502.8356000000003</v>
      </c>
      <c r="U1415">
        <f t="shared" si="339"/>
        <v>76.001841999999996</v>
      </c>
      <c r="V1415">
        <f t="shared" si="353"/>
        <v>1649.9999898199999</v>
      </c>
      <c r="W1415">
        <f t="shared" si="340"/>
        <v>207.48502866000001</v>
      </c>
      <c r="X1415">
        <f t="shared" si="341"/>
        <v>3.5074850083000002</v>
      </c>
      <c r="Y1415">
        <f t="shared" si="342"/>
        <v>203.97754365170002</v>
      </c>
      <c r="Z1415">
        <f t="shared" si="343"/>
        <v>19286.765808100448</v>
      </c>
      <c r="AB1415">
        <f t="shared" si="344"/>
        <v>88.656993999999997</v>
      </c>
      <c r="AC1415">
        <f t="shared" si="345"/>
        <v>1924.74333974</v>
      </c>
      <c r="AD1415">
        <f t="shared" si="346"/>
        <v>242.03359362000003</v>
      </c>
      <c r="AE1415">
        <f t="shared" si="347"/>
        <v>4.0915202731000004</v>
      </c>
      <c r="AF1415">
        <f t="shared" si="348"/>
        <v>237.94207334690003</v>
      </c>
      <c r="AG1415">
        <f t="shared" si="354"/>
        <v>19485.375527053013</v>
      </c>
      <c r="AH1415" t="b">
        <f t="shared" si="349"/>
        <v>1</v>
      </c>
    </row>
    <row r="1416" spans="4:34" hidden="1" x14ac:dyDescent="0.4">
      <c r="D1416" t="s">
        <v>59</v>
      </c>
      <c r="E1416" t="s">
        <v>37</v>
      </c>
      <c r="F1416" s="9">
        <v>45672.541666666664</v>
      </c>
      <c r="G1416" s="12">
        <v>96903.73</v>
      </c>
      <c r="H1416" s="9">
        <v>45675.041666666664</v>
      </c>
      <c r="I1416" s="12">
        <v>104702.01</v>
      </c>
      <c r="J1416">
        <v>0.10226</v>
      </c>
      <c r="K1416" s="12">
        <v>9909.52</v>
      </c>
      <c r="L1416">
        <v>15.46</v>
      </c>
      <c r="M1416">
        <v>781.99</v>
      </c>
      <c r="N1416" s="13">
        <v>7.8899999999999998E-2</v>
      </c>
      <c r="O1416" t="s">
        <v>57</v>
      </c>
      <c r="Q1416">
        <f t="shared" si="350"/>
        <v>797.4521127999999</v>
      </c>
      <c r="R1416">
        <f t="shared" si="351"/>
        <v>781.99211279999986</v>
      </c>
      <c r="S1416">
        <f t="shared" si="352"/>
        <v>10706.8275426</v>
      </c>
      <c r="U1416">
        <f t="shared" si="339"/>
        <v>1.7027E-2</v>
      </c>
      <c r="V1416">
        <f t="shared" si="353"/>
        <v>1649.97981071</v>
      </c>
      <c r="W1416">
        <f t="shared" si="340"/>
        <v>132.78131355999997</v>
      </c>
      <c r="X1416">
        <f t="shared" si="341"/>
        <v>3.43274093498</v>
      </c>
      <c r="Y1416">
        <f t="shared" si="342"/>
        <v>129.34857262501998</v>
      </c>
      <c r="Z1416">
        <f t="shared" si="343"/>
        <v>19082.788264448747</v>
      </c>
      <c r="AB1416">
        <f t="shared" si="344"/>
        <v>1.9708E-2</v>
      </c>
      <c r="AC1416">
        <f t="shared" si="345"/>
        <v>1909.7787108399998</v>
      </c>
      <c r="AD1416">
        <f t="shared" si="346"/>
        <v>153.68850223999996</v>
      </c>
      <c r="AE1416">
        <f t="shared" si="347"/>
        <v>3.97324592392</v>
      </c>
      <c r="AF1416">
        <f t="shared" si="348"/>
        <v>149.71525631607997</v>
      </c>
      <c r="AG1416">
        <f t="shared" si="354"/>
        <v>19247.433453706111</v>
      </c>
      <c r="AH1416" t="b">
        <f t="shared" si="349"/>
        <v>1</v>
      </c>
    </row>
    <row r="1417" spans="4:34" hidden="1" x14ac:dyDescent="0.4">
      <c r="D1417" t="s">
        <v>61</v>
      </c>
      <c r="E1417" t="s">
        <v>37</v>
      </c>
      <c r="F1417" s="9">
        <v>45672.958333333336</v>
      </c>
      <c r="G1417">
        <v>1.0673999999999999</v>
      </c>
      <c r="H1417" s="9">
        <v>45674.958333333336</v>
      </c>
      <c r="I1417">
        <v>1.1373</v>
      </c>
      <c r="J1417" s="12">
        <v>7077</v>
      </c>
      <c r="K1417" s="12">
        <v>7554.01</v>
      </c>
      <c r="L1417">
        <v>11.7</v>
      </c>
      <c r="M1417">
        <v>482.98</v>
      </c>
      <c r="N1417" s="13">
        <v>6.3899999999999998E-2</v>
      </c>
      <c r="O1417" t="s">
        <v>38</v>
      </c>
      <c r="Q1417">
        <f t="shared" si="350"/>
        <v>494.68230000000051</v>
      </c>
      <c r="R1417">
        <f t="shared" si="351"/>
        <v>482.98230000000052</v>
      </c>
      <c r="S1417">
        <f t="shared" si="352"/>
        <v>8048.6720999999998</v>
      </c>
      <c r="U1417">
        <f t="shared" si="339"/>
        <v>1545.8122539999999</v>
      </c>
      <c r="V1417">
        <f t="shared" si="353"/>
        <v>1649.9999999195998</v>
      </c>
      <c r="W1417">
        <f t="shared" si="340"/>
        <v>108.05227655460011</v>
      </c>
      <c r="X1417">
        <f t="shared" si="341"/>
        <v>3.4080522763937999</v>
      </c>
      <c r="Y1417">
        <f t="shared" si="342"/>
        <v>104.64422427820631</v>
      </c>
      <c r="Z1417">
        <f t="shared" si="343"/>
        <v>18953.439691823729</v>
      </c>
      <c r="AB1417">
        <f t="shared" si="344"/>
        <v>1777.905411</v>
      </c>
      <c r="AC1417">
        <f t="shared" si="345"/>
        <v>1897.7362357013999</v>
      </c>
      <c r="AD1417">
        <f t="shared" si="346"/>
        <v>124.27558822890013</v>
      </c>
      <c r="AE1417">
        <f t="shared" si="347"/>
        <v>3.9197480596316998</v>
      </c>
      <c r="AF1417">
        <f t="shared" si="348"/>
        <v>120.35584016926843</v>
      </c>
      <c r="AG1417">
        <f t="shared" si="354"/>
        <v>19097.71819739003</v>
      </c>
      <c r="AH1417" t="b">
        <f t="shared" si="349"/>
        <v>1</v>
      </c>
    </row>
    <row r="1418" spans="4:34" hidden="1" x14ac:dyDescent="0.4">
      <c r="D1418" t="s">
        <v>43</v>
      </c>
      <c r="E1418" t="s">
        <v>37</v>
      </c>
      <c r="F1418" s="9">
        <v>45672.583333333336</v>
      </c>
      <c r="G1418">
        <v>4.7870999999999997</v>
      </c>
      <c r="H1418" s="9">
        <v>45674.583333333336</v>
      </c>
      <c r="I1418">
        <v>4.8310000000000004</v>
      </c>
      <c r="J1418">
        <v>348.8</v>
      </c>
      <c r="K1418" s="12">
        <v>1669.92</v>
      </c>
      <c r="L1418">
        <v>2.52</v>
      </c>
      <c r="M1418">
        <v>12.8</v>
      </c>
      <c r="N1418" s="13">
        <v>7.7000000000000002E-3</v>
      </c>
      <c r="O1418" t="s">
        <v>38</v>
      </c>
      <c r="Q1418">
        <f t="shared" si="350"/>
        <v>15.31232000000025</v>
      </c>
      <c r="R1418">
        <f t="shared" si="351"/>
        <v>12.792320000000251</v>
      </c>
      <c r="S1418">
        <f t="shared" si="352"/>
        <v>1685.0528000000002</v>
      </c>
      <c r="U1418">
        <f t="shared" si="339"/>
        <v>344.67631799999998</v>
      </c>
      <c r="V1418">
        <f t="shared" si="353"/>
        <v>1650.0000018977998</v>
      </c>
      <c r="W1418">
        <f t="shared" si="340"/>
        <v>15.131290360200246</v>
      </c>
      <c r="X1418">
        <f t="shared" si="341"/>
        <v>3.3151312941558002</v>
      </c>
      <c r="Y1418">
        <f t="shared" si="342"/>
        <v>11.816159066044445</v>
      </c>
      <c r="Z1418">
        <f t="shared" si="343"/>
        <v>18848.795467545522</v>
      </c>
      <c r="AB1418">
        <f t="shared" si="344"/>
        <v>396.14342299999998</v>
      </c>
      <c r="AC1418">
        <f t="shared" si="345"/>
        <v>1896.3781802432998</v>
      </c>
      <c r="AD1418">
        <f t="shared" si="346"/>
        <v>17.390696269700282</v>
      </c>
      <c r="AE1418">
        <f t="shared" si="347"/>
        <v>3.8101470567563003</v>
      </c>
      <c r="AF1418">
        <f t="shared" si="348"/>
        <v>13.580549212943982</v>
      </c>
      <c r="AG1418">
        <f t="shared" si="354"/>
        <v>18977.362357220762</v>
      </c>
      <c r="AH1418" t="b">
        <f t="shared" si="349"/>
        <v>1</v>
      </c>
    </row>
    <row r="1419" spans="4:34" hidden="1" x14ac:dyDescent="0.4">
      <c r="D1419" t="s">
        <v>53</v>
      </c>
      <c r="E1419" t="s">
        <v>37</v>
      </c>
      <c r="F1419" s="9">
        <v>45672.583333333336</v>
      </c>
      <c r="G1419">
        <v>699.78</v>
      </c>
      <c r="H1419" s="9">
        <v>45674.583333333336</v>
      </c>
      <c r="I1419">
        <v>720.77</v>
      </c>
      <c r="J1419">
        <v>12.8</v>
      </c>
      <c r="K1419" s="12">
        <v>8957.49</v>
      </c>
      <c r="L1419">
        <v>13.64</v>
      </c>
      <c r="M1419">
        <v>255.03</v>
      </c>
      <c r="N1419" s="13">
        <v>2.8500000000000001E-2</v>
      </c>
      <c r="O1419" t="s">
        <v>38</v>
      </c>
      <c r="Q1419">
        <f t="shared" si="350"/>
        <v>268.67200000000014</v>
      </c>
      <c r="R1419">
        <f t="shared" si="351"/>
        <v>255.03200000000015</v>
      </c>
      <c r="S1419">
        <f t="shared" si="352"/>
        <v>9225.8559999999998</v>
      </c>
      <c r="U1419">
        <f t="shared" si="339"/>
        <v>2.3578839999999999</v>
      </c>
      <c r="V1419">
        <f t="shared" si="353"/>
        <v>1650.0000655199999</v>
      </c>
      <c r="W1419">
        <f t="shared" si="340"/>
        <v>49.49198516000002</v>
      </c>
      <c r="X1419">
        <f t="shared" si="341"/>
        <v>3.3494921162</v>
      </c>
      <c r="Y1419">
        <f t="shared" si="342"/>
        <v>46.142493043800023</v>
      </c>
      <c r="Z1419">
        <f t="shared" si="343"/>
        <v>18836.979308479476</v>
      </c>
      <c r="AB1419">
        <f t="shared" si="344"/>
        <v>2.7024059999999999</v>
      </c>
      <c r="AC1419">
        <f t="shared" si="345"/>
        <v>1891.0896706799999</v>
      </c>
      <c r="AD1419">
        <f t="shared" si="346"/>
        <v>56.72350194000002</v>
      </c>
      <c r="AE1419">
        <f t="shared" si="347"/>
        <v>3.8389028432999996</v>
      </c>
      <c r="AF1419">
        <f t="shared" si="348"/>
        <v>52.884599096700022</v>
      </c>
      <c r="AG1419">
        <f t="shared" si="354"/>
        <v>18963.781808007818</v>
      </c>
      <c r="AH1419" t="b">
        <f t="shared" si="349"/>
        <v>1</v>
      </c>
    </row>
    <row r="1420" spans="4:34" hidden="1" x14ac:dyDescent="0.4">
      <c r="D1420" t="s">
        <v>50</v>
      </c>
      <c r="E1420" t="s">
        <v>37</v>
      </c>
      <c r="F1420" s="9">
        <v>45672.583333333336</v>
      </c>
      <c r="G1420">
        <v>428.7</v>
      </c>
      <c r="H1420" s="9">
        <v>45674.583333333336</v>
      </c>
      <c r="I1420">
        <v>477.6</v>
      </c>
      <c r="J1420">
        <v>25.475899999999999</v>
      </c>
      <c r="K1420" s="12">
        <v>10921.54</v>
      </c>
      <c r="L1420">
        <v>17.32</v>
      </c>
      <c r="M1420" s="12">
        <v>1228.45</v>
      </c>
      <c r="N1420" s="13">
        <v>0.1125</v>
      </c>
      <c r="O1420" t="s">
        <v>38</v>
      </c>
      <c r="Q1420">
        <f t="shared" si="350"/>
        <v>1245.7715100000009</v>
      </c>
      <c r="R1420">
        <f t="shared" si="351"/>
        <v>1228.451510000001</v>
      </c>
      <c r="S1420">
        <f t="shared" si="352"/>
        <v>12167.289839999999</v>
      </c>
      <c r="U1420">
        <f t="shared" si="339"/>
        <v>3.8488449999999998</v>
      </c>
      <c r="V1420">
        <f t="shared" si="353"/>
        <v>1649.9998515</v>
      </c>
      <c r="W1420">
        <f t="shared" si="340"/>
        <v>188.20852050000013</v>
      </c>
      <c r="X1420">
        <f t="shared" si="341"/>
        <v>3.4882082235</v>
      </c>
      <c r="Y1420">
        <f t="shared" si="342"/>
        <v>184.72031227650012</v>
      </c>
      <c r="Z1420">
        <f t="shared" si="343"/>
        <v>18790.836815435676</v>
      </c>
      <c r="AB1420">
        <f t="shared" si="344"/>
        <v>4.3623820000000002</v>
      </c>
      <c r="AC1420">
        <f t="shared" si="345"/>
        <v>1870.1531634</v>
      </c>
      <c r="AD1420">
        <f t="shared" si="346"/>
        <v>213.32047980000016</v>
      </c>
      <c r="AE1420">
        <f t="shared" si="347"/>
        <v>3.9536268066</v>
      </c>
      <c r="AF1420">
        <f t="shared" si="348"/>
        <v>209.36685299340016</v>
      </c>
      <c r="AG1420">
        <f t="shared" si="354"/>
        <v>18910.897208911119</v>
      </c>
      <c r="AH1420" t="b">
        <f t="shared" si="349"/>
        <v>1</v>
      </c>
    </row>
    <row r="1421" spans="4:34" hidden="1" x14ac:dyDescent="0.4">
      <c r="D1421" t="s">
        <v>55</v>
      </c>
      <c r="E1421" t="s">
        <v>37</v>
      </c>
      <c r="F1421" s="9">
        <v>45672.541666666664</v>
      </c>
      <c r="G1421">
        <v>9.8859999999999999E-5</v>
      </c>
      <c r="H1421" s="9">
        <v>45674.541666666664</v>
      </c>
      <c r="I1421">
        <v>1.06E-4</v>
      </c>
      <c r="J1421" s="12">
        <v>60456532.659999996</v>
      </c>
      <c r="K1421" s="12">
        <v>5976.73</v>
      </c>
      <c r="L1421">
        <v>9.2899999999999991</v>
      </c>
      <c r="M1421">
        <v>424.18</v>
      </c>
      <c r="N1421" s="13">
        <v>7.0999999999999994E-2</v>
      </c>
      <c r="O1421" t="s">
        <v>38</v>
      </c>
      <c r="Q1421">
        <f t="shared" si="350"/>
        <v>431.65964319240015</v>
      </c>
      <c r="R1421">
        <f t="shared" si="351"/>
        <v>422.36964319240013</v>
      </c>
      <c r="S1421">
        <f t="shared" si="352"/>
        <v>6408.3924619599993</v>
      </c>
      <c r="U1421">
        <f t="shared" ref="U1421:U1474" si="355">ROUND(($Q$2)/G1421,6)</f>
        <v>16690269.067368001</v>
      </c>
      <c r="V1421">
        <f t="shared" si="353"/>
        <v>1650.0000000000005</v>
      </c>
      <c r="W1421">
        <f t="shared" ref="W1421:W1473" si="356">U1421*(I1421-G1421)</f>
        <v>119.16852114100757</v>
      </c>
      <c r="X1421">
        <f t="shared" ref="X1421:X1473" si="357">(G1421+I1421)*$R$2*U1421</f>
        <v>3.419168521141009</v>
      </c>
      <c r="Y1421">
        <f t="shared" ref="Y1421:Y1473" si="358">W1421-X1421</f>
        <v>115.74935261986657</v>
      </c>
      <c r="Z1421">
        <f t="shared" ref="Z1421:Z1473" si="359">Z1422+Y1421</f>
        <v>18606.116503159177</v>
      </c>
      <c r="AB1421">
        <f t="shared" ref="AB1421:AB1441" si="360">ROUND(((AH1421*AG1422 +(1-AH1421)*AI1421)/$P$2)/G1421,6)</f>
        <v>18785404.55731</v>
      </c>
      <c r="AC1421">
        <f t="shared" ref="AC1421:AC1441" si="361">AB1421*G1421</f>
        <v>1857.1250945356667</v>
      </c>
      <c r="AD1421">
        <f t="shared" ref="AD1421:AD1441" si="362">AB1421*(I1421-G1421)</f>
        <v>134.12778853919346</v>
      </c>
      <c r="AE1421">
        <f t="shared" ref="AE1421:AE1441" si="363">(G1421+I1421)*$R$2*AB1421</f>
        <v>3.8483779776105269</v>
      </c>
      <c r="AF1421">
        <f t="shared" ref="AF1421:AF1441" si="364">AD1421-AE1421</f>
        <v>130.27941056158292</v>
      </c>
      <c r="AG1421">
        <f t="shared" si="354"/>
        <v>18701.530355917719</v>
      </c>
      <c r="AH1421" t="b">
        <f t="shared" ref="AH1421:AH1441" si="365">ISBLANK(AI1421)</f>
        <v>1</v>
      </c>
    </row>
    <row r="1422" spans="4:34" hidden="1" x14ac:dyDescent="0.4">
      <c r="D1422" t="s">
        <v>54</v>
      </c>
      <c r="E1422" t="s">
        <v>37</v>
      </c>
      <c r="F1422" s="9">
        <v>45672.083333333336</v>
      </c>
      <c r="G1422">
        <v>188</v>
      </c>
      <c r="H1422" s="9">
        <v>45674.083333333336</v>
      </c>
      <c r="I1422">
        <v>214.47</v>
      </c>
      <c r="J1422">
        <v>23.082999999999998</v>
      </c>
      <c r="K1422" s="12">
        <v>4339.72</v>
      </c>
      <c r="L1422">
        <v>6.97</v>
      </c>
      <c r="M1422">
        <v>604.04</v>
      </c>
      <c r="N1422" s="13">
        <v>0.13919999999999999</v>
      </c>
      <c r="O1422" t="s">
        <v>38</v>
      </c>
      <c r="Q1422">
        <f t="shared" ref="Q1422:Q1475" si="366">(I1422-G1422)*J1422</f>
        <v>611.00700999999992</v>
      </c>
      <c r="R1422">
        <f t="shared" ref="R1422:R1475" si="367">Q1422-L1422</f>
        <v>604.0370099999999</v>
      </c>
      <c r="S1422">
        <f t="shared" ref="S1422:S1475" si="368">I1422*J1422</f>
        <v>4950.6110099999996</v>
      </c>
      <c r="U1422">
        <f t="shared" si="355"/>
        <v>8.7765959999999996</v>
      </c>
      <c r="V1422">
        <f t="shared" ref="V1422:V1475" si="369">U1422*G1422</f>
        <v>1650.0000479999999</v>
      </c>
      <c r="W1422">
        <f t="shared" si="356"/>
        <v>232.31649611999998</v>
      </c>
      <c r="X1422">
        <f t="shared" si="357"/>
        <v>3.5323165921200004</v>
      </c>
      <c r="Y1422">
        <f t="shared" si="358"/>
        <v>228.78417952787999</v>
      </c>
      <c r="Z1422">
        <f t="shared" si="359"/>
        <v>18490.36715053931</v>
      </c>
      <c r="AB1422">
        <f t="shared" si="360"/>
        <v>9.7432280000000002</v>
      </c>
      <c r="AC1422">
        <f t="shared" si="361"/>
        <v>1831.726864</v>
      </c>
      <c r="AD1422">
        <f t="shared" si="362"/>
        <v>257.90324515999998</v>
      </c>
      <c r="AE1422">
        <f t="shared" si="363"/>
        <v>3.9213569731600004</v>
      </c>
      <c r="AF1422">
        <f t="shared" si="364"/>
        <v>253.98188818684</v>
      </c>
      <c r="AG1422">
        <f t="shared" si="354"/>
        <v>18571.250945356136</v>
      </c>
      <c r="AH1422" t="b">
        <f t="shared" si="365"/>
        <v>1</v>
      </c>
    </row>
    <row r="1423" spans="4:34" hidden="1" x14ac:dyDescent="0.4">
      <c r="D1423" t="s">
        <v>56</v>
      </c>
      <c r="E1423" t="s">
        <v>37</v>
      </c>
      <c r="F1423" s="9">
        <v>45671.583333333336</v>
      </c>
      <c r="G1423" s="12">
        <v>3207.45</v>
      </c>
      <c r="H1423" s="9">
        <v>45674.083333333336</v>
      </c>
      <c r="I1423" s="12">
        <v>3385.6</v>
      </c>
      <c r="J1423">
        <v>1.6214</v>
      </c>
      <c r="K1423" s="12">
        <v>5200.76</v>
      </c>
      <c r="L1423">
        <v>8.02</v>
      </c>
      <c r="M1423">
        <v>280.83</v>
      </c>
      <c r="N1423" s="13">
        <v>5.3999999999999999E-2</v>
      </c>
      <c r="O1423" t="s">
        <v>57</v>
      </c>
      <c r="Q1423">
        <f t="shared" si="366"/>
        <v>288.85241000000013</v>
      </c>
      <c r="R1423">
        <f t="shared" si="367"/>
        <v>280.83241000000015</v>
      </c>
      <c r="S1423">
        <f t="shared" si="368"/>
        <v>5489.4118399999998</v>
      </c>
      <c r="U1423">
        <f t="shared" si="355"/>
        <v>0.51442699999999997</v>
      </c>
      <c r="V1423">
        <f t="shared" si="369"/>
        <v>1649.9988811499998</v>
      </c>
      <c r="W1423">
        <f t="shared" si="356"/>
        <v>91.645170050000047</v>
      </c>
      <c r="X1423">
        <f t="shared" si="357"/>
        <v>3.3916429323499995</v>
      </c>
      <c r="Y1423">
        <f t="shared" si="358"/>
        <v>88.253527117650052</v>
      </c>
      <c r="Z1423">
        <f t="shared" si="359"/>
        <v>18261.58297101143</v>
      </c>
      <c r="AB1423">
        <f t="shared" si="360"/>
        <v>0.56804699999999997</v>
      </c>
      <c r="AC1423">
        <f t="shared" si="361"/>
        <v>1821.9823501499998</v>
      </c>
      <c r="AD1423">
        <f t="shared" si="362"/>
        <v>101.19757305000005</v>
      </c>
      <c r="AE1423">
        <f t="shared" si="363"/>
        <v>3.7451622733499992</v>
      </c>
      <c r="AF1423">
        <f t="shared" si="364"/>
        <v>97.452410776650041</v>
      </c>
      <c r="AG1423">
        <f t="shared" si="354"/>
        <v>18317.269057169295</v>
      </c>
      <c r="AH1423" t="b">
        <f t="shared" si="365"/>
        <v>1</v>
      </c>
    </row>
    <row r="1424" spans="4:34" hidden="1" x14ac:dyDescent="0.4">
      <c r="D1424" t="s">
        <v>48</v>
      </c>
      <c r="E1424" t="s">
        <v>37</v>
      </c>
      <c r="F1424" s="9">
        <v>45671.583333333336</v>
      </c>
      <c r="G1424">
        <v>0.37919999999999998</v>
      </c>
      <c r="H1424" s="9">
        <v>45673.583333333336</v>
      </c>
      <c r="I1424">
        <v>0.40620000000000001</v>
      </c>
      <c r="J1424" s="12">
        <v>7196</v>
      </c>
      <c r="K1424" s="12">
        <v>2728.74</v>
      </c>
      <c r="L1424">
        <v>4.24</v>
      </c>
      <c r="M1424">
        <v>190.05</v>
      </c>
      <c r="N1424" s="13">
        <v>6.9599999999999995E-2</v>
      </c>
      <c r="O1424" t="s">
        <v>38</v>
      </c>
      <c r="Q1424">
        <f t="shared" si="366"/>
        <v>194.29200000000017</v>
      </c>
      <c r="R1424">
        <f t="shared" si="367"/>
        <v>190.05200000000016</v>
      </c>
      <c r="S1424">
        <f t="shared" si="368"/>
        <v>2923.0151999999998</v>
      </c>
      <c r="U1424">
        <f t="shared" si="355"/>
        <v>4351.2658229999997</v>
      </c>
      <c r="V1424">
        <f t="shared" si="369"/>
        <v>1650.0000000815999</v>
      </c>
      <c r="W1424">
        <f t="shared" si="356"/>
        <v>117.4841772210001</v>
      </c>
      <c r="X1424">
        <f t="shared" si="357"/>
        <v>3.4174841773841997</v>
      </c>
      <c r="Y1424">
        <f t="shared" si="358"/>
        <v>114.0666930436159</v>
      </c>
      <c r="Z1424">
        <f t="shared" si="359"/>
        <v>18173.329443893781</v>
      </c>
      <c r="AB1424">
        <f t="shared" si="360"/>
        <v>4771.8157709999996</v>
      </c>
      <c r="AC1424">
        <f t="shared" si="361"/>
        <v>1809.4725403631996</v>
      </c>
      <c r="AD1424">
        <f t="shared" si="362"/>
        <v>128.83902581700011</v>
      </c>
      <c r="AE1424">
        <f t="shared" si="363"/>
        <v>3.7477841065433997</v>
      </c>
      <c r="AF1424">
        <f t="shared" si="364"/>
        <v>125.0912417104567</v>
      </c>
      <c r="AG1424">
        <f t="shared" si="354"/>
        <v>18219.816646392646</v>
      </c>
      <c r="AH1424" t="b">
        <f t="shared" si="365"/>
        <v>1</v>
      </c>
    </row>
    <row r="1425" spans="4:34" hidden="1" x14ac:dyDescent="0.4">
      <c r="D1425" t="s">
        <v>52</v>
      </c>
      <c r="E1425" t="s">
        <v>37</v>
      </c>
      <c r="F1425" s="9">
        <v>45671.291666666664</v>
      </c>
      <c r="G1425">
        <v>9.9160000000000004</v>
      </c>
      <c r="H1425" s="9">
        <v>45673.291666666664</v>
      </c>
      <c r="I1425">
        <v>10.744999999999999</v>
      </c>
      <c r="J1425">
        <v>231.99</v>
      </c>
      <c r="K1425" s="12">
        <v>2300.4899999999998</v>
      </c>
      <c r="L1425">
        <v>3.59</v>
      </c>
      <c r="M1425">
        <v>188.72</v>
      </c>
      <c r="N1425" s="13">
        <v>8.2000000000000003E-2</v>
      </c>
      <c r="O1425" t="s">
        <v>38</v>
      </c>
      <c r="Q1425">
        <f t="shared" si="366"/>
        <v>192.31970999999973</v>
      </c>
      <c r="R1425">
        <f t="shared" si="367"/>
        <v>188.72970999999973</v>
      </c>
      <c r="S1425">
        <f t="shared" si="368"/>
        <v>2492.7325499999997</v>
      </c>
      <c r="U1425">
        <f t="shared" si="355"/>
        <v>166.397741</v>
      </c>
      <c r="V1425">
        <f t="shared" si="369"/>
        <v>1649.9999997560001</v>
      </c>
      <c r="W1425">
        <f t="shared" si="356"/>
        <v>137.94372728899981</v>
      </c>
      <c r="X1425">
        <f t="shared" si="357"/>
        <v>3.4379437268010005</v>
      </c>
      <c r="Y1425">
        <f t="shared" si="358"/>
        <v>134.50578356219881</v>
      </c>
      <c r="Z1425">
        <f t="shared" si="359"/>
        <v>18059.262750850165</v>
      </c>
      <c r="AB1425">
        <f t="shared" si="360"/>
        <v>181.00456199999999</v>
      </c>
      <c r="AC1425">
        <f t="shared" si="361"/>
        <v>1794.841236792</v>
      </c>
      <c r="AD1425">
        <f t="shared" si="362"/>
        <v>150.05278189799978</v>
      </c>
      <c r="AE1425">
        <f t="shared" si="363"/>
        <v>3.7397352554820005</v>
      </c>
      <c r="AF1425">
        <f t="shared" si="364"/>
        <v>146.31304664251778</v>
      </c>
      <c r="AG1425">
        <f t="shared" si="354"/>
        <v>18094.725404682191</v>
      </c>
      <c r="AH1425" t="b">
        <f t="shared" si="365"/>
        <v>1</v>
      </c>
    </row>
    <row r="1426" spans="4:34" hidden="1" x14ac:dyDescent="0.4">
      <c r="D1426" t="s">
        <v>60</v>
      </c>
      <c r="E1426" t="s">
        <v>37</v>
      </c>
      <c r="F1426" s="9">
        <v>45670.625</v>
      </c>
      <c r="G1426">
        <v>2.4300000000000002</v>
      </c>
      <c r="H1426" s="9">
        <v>45673.125</v>
      </c>
      <c r="I1426">
        <v>3.0388999999999999</v>
      </c>
      <c r="J1426">
        <v>821.9</v>
      </c>
      <c r="K1426" s="12">
        <v>1997.3</v>
      </c>
      <c r="L1426">
        <v>3.37</v>
      </c>
      <c r="M1426">
        <v>497.08</v>
      </c>
      <c r="N1426" s="13">
        <v>0.24890000000000001</v>
      </c>
      <c r="O1426" t="s">
        <v>57</v>
      </c>
      <c r="Q1426">
        <f t="shared" si="366"/>
        <v>500.45490999999981</v>
      </c>
      <c r="R1426">
        <f t="shared" si="367"/>
        <v>497.08490999999981</v>
      </c>
      <c r="S1426">
        <f t="shared" si="368"/>
        <v>2497.67191</v>
      </c>
      <c r="U1426">
        <f t="shared" si="355"/>
        <v>679.01234599999998</v>
      </c>
      <c r="V1426">
        <f t="shared" si="369"/>
        <v>1650.0000007800002</v>
      </c>
      <c r="W1426">
        <f t="shared" si="356"/>
        <v>413.45061747939985</v>
      </c>
      <c r="X1426">
        <f t="shared" si="357"/>
        <v>3.7134506190393997</v>
      </c>
      <c r="Y1426">
        <f t="shared" si="358"/>
        <v>409.73716686036045</v>
      </c>
      <c r="Z1426">
        <f t="shared" si="359"/>
        <v>17924.756967287965</v>
      </c>
      <c r="AB1426">
        <f t="shared" si="360"/>
        <v>720.720462</v>
      </c>
      <c r="AC1426">
        <f t="shared" si="361"/>
        <v>1751.3507226600002</v>
      </c>
      <c r="AD1426">
        <f t="shared" si="362"/>
        <v>438.84668931179982</v>
      </c>
      <c r="AE1426">
        <f t="shared" si="363"/>
        <v>3.9415481346317995</v>
      </c>
      <c r="AF1426">
        <f t="shared" si="364"/>
        <v>434.90514117716805</v>
      </c>
      <c r="AG1426">
        <f t="shared" si="354"/>
        <v>17948.412358039674</v>
      </c>
      <c r="AH1426" t="b">
        <f t="shared" si="365"/>
        <v>1</v>
      </c>
    </row>
    <row r="1427" spans="4:34" hidden="1" x14ac:dyDescent="0.4">
      <c r="D1427" t="s">
        <v>61</v>
      </c>
      <c r="E1427" t="s">
        <v>37</v>
      </c>
      <c r="F1427" s="9">
        <v>45670.833333333336</v>
      </c>
      <c r="G1427">
        <v>0.91139999999999999</v>
      </c>
      <c r="H1427" s="9">
        <v>45672.833333333336</v>
      </c>
      <c r="I1427">
        <v>1.0630999999999999</v>
      </c>
      <c r="J1427" s="12">
        <v>8153.9</v>
      </c>
      <c r="K1427" s="12">
        <v>7431.52</v>
      </c>
      <c r="L1427">
        <v>12.07</v>
      </c>
      <c r="M1427" s="12">
        <v>1224.8699999999999</v>
      </c>
      <c r="N1427" s="13">
        <v>0.1648</v>
      </c>
      <c r="O1427" t="s">
        <v>38</v>
      </c>
      <c r="Q1427">
        <f t="shared" si="366"/>
        <v>1236.9466299999995</v>
      </c>
      <c r="R1427">
        <f t="shared" si="367"/>
        <v>1224.8766299999995</v>
      </c>
      <c r="S1427">
        <f t="shared" si="368"/>
        <v>8668.4110899999996</v>
      </c>
      <c r="U1427">
        <f t="shared" si="355"/>
        <v>1810.40158</v>
      </c>
      <c r="V1427">
        <f t="shared" si="369"/>
        <v>1650.0000000119999</v>
      </c>
      <c r="W1427">
        <f t="shared" si="356"/>
        <v>274.63791968599992</v>
      </c>
      <c r="X1427">
        <f t="shared" si="357"/>
        <v>3.5746379197100002</v>
      </c>
      <c r="Y1427">
        <f t="shared" si="358"/>
        <v>271.06328176628989</v>
      </c>
      <c r="Z1427">
        <f t="shared" si="359"/>
        <v>17515.019800427606</v>
      </c>
      <c r="AB1427">
        <f t="shared" si="360"/>
        <v>1890.546867</v>
      </c>
      <c r="AC1427">
        <f t="shared" si="361"/>
        <v>1723.0444145838001</v>
      </c>
      <c r="AD1427">
        <f t="shared" si="362"/>
        <v>286.7959597238999</v>
      </c>
      <c r="AE1427">
        <f t="shared" si="363"/>
        <v>3.7328847888915004</v>
      </c>
      <c r="AF1427">
        <f t="shared" si="364"/>
        <v>283.06307493500839</v>
      </c>
      <c r="AG1427">
        <f t="shared" si="354"/>
        <v>17513.507216862505</v>
      </c>
      <c r="AH1427" t="b">
        <f t="shared" si="365"/>
        <v>1</v>
      </c>
    </row>
    <row r="1428" spans="4:34" hidden="1" x14ac:dyDescent="0.4">
      <c r="D1428" t="s">
        <v>58</v>
      </c>
      <c r="E1428" t="s">
        <v>37</v>
      </c>
      <c r="F1428" s="9">
        <v>45670.666666666664</v>
      </c>
      <c r="G1428">
        <v>18.940000000000001</v>
      </c>
      <c r="H1428" s="9">
        <v>45672.666666666664</v>
      </c>
      <c r="I1428">
        <v>21.6</v>
      </c>
      <c r="J1428">
        <v>347.07</v>
      </c>
      <c r="K1428" s="12">
        <v>6573.6</v>
      </c>
      <c r="L1428">
        <v>10.55</v>
      </c>
      <c r="M1428">
        <v>912.65</v>
      </c>
      <c r="N1428" s="13">
        <v>0.13880000000000001</v>
      </c>
      <c r="O1428" t="s">
        <v>38</v>
      </c>
      <c r="Q1428">
        <f t="shared" si="366"/>
        <v>923.20620000000008</v>
      </c>
      <c r="R1428">
        <f t="shared" si="367"/>
        <v>912.65620000000013</v>
      </c>
      <c r="S1428">
        <f t="shared" si="368"/>
        <v>7496.7120000000004</v>
      </c>
      <c r="U1428">
        <f t="shared" si="355"/>
        <v>87.117211999999995</v>
      </c>
      <c r="V1428">
        <f t="shared" si="369"/>
        <v>1649.9999952800001</v>
      </c>
      <c r="W1428">
        <f t="shared" si="356"/>
        <v>231.73178392</v>
      </c>
      <c r="X1428">
        <f t="shared" si="357"/>
        <v>3.5317317744800003</v>
      </c>
      <c r="Y1428">
        <f t="shared" si="358"/>
        <v>228.20005214552</v>
      </c>
      <c r="Z1428">
        <f t="shared" si="359"/>
        <v>17243.956518661318</v>
      </c>
      <c r="AB1428">
        <f t="shared" si="360"/>
        <v>89.732802000000007</v>
      </c>
      <c r="AC1428">
        <f t="shared" si="361"/>
        <v>1699.5392698800003</v>
      </c>
      <c r="AD1428">
        <f t="shared" si="362"/>
        <v>238.68925332000003</v>
      </c>
      <c r="AE1428">
        <f t="shared" si="363"/>
        <v>3.637767793080001</v>
      </c>
      <c r="AF1428">
        <f t="shared" si="364"/>
        <v>235.05148552692003</v>
      </c>
      <c r="AG1428">
        <f t="shared" si="354"/>
        <v>17230.444141927495</v>
      </c>
      <c r="AH1428" t="b">
        <f t="shared" si="365"/>
        <v>1</v>
      </c>
    </row>
    <row r="1429" spans="4:34" hidden="1" x14ac:dyDescent="0.4">
      <c r="D1429" t="s">
        <v>43</v>
      </c>
      <c r="E1429" t="s">
        <v>37</v>
      </c>
      <c r="F1429" s="9">
        <v>45670.583333333336</v>
      </c>
      <c r="G1429">
        <v>4.3654000000000002</v>
      </c>
      <c r="H1429" s="9">
        <v>45672.583333333336</v>
      </c>
      <c r="I1429">
        <v>4.7870999999999997</v>
      </c>
      <c r="J1429">
        <v>378.9</v>
      </c>
      <c r="K1429" s="12">
        <v>1654.2</v>
      </c>
      <c r="L1429">
        <v>2.6</v>
      </c>
      <c r="M1429">
        <v>157.18</v>
      </c>
      <c r="N1429" s="13">
        <v>9.5000000000000001E-2</v>
      </c>
      <c r="O1429" t="s">
        <v>38</v>
      </c>
      <c r="Q1429">
        <f t="shared" si="366"/>
        <v>159.7821299999998</v>
      </c>
      <c r="R1429">
        <f t="shared" si="367"/>
        <v>157.1821299999998</v>
      </c>
      <c r="S1429">
        <f t="shared" si="368"/>
        <v>1813.8321899999999</v>
      </c>
      <c r="U1429">
        <f t="shared" si="355"/>
        <v>377.97223600000001</v>
      </c>
      <c r="V1429">
        <f t="shared" si="369"/>
        <v>1649.9999990344002</v>
      </c>
      <c r="W1429">
        <f t="shared" si="356"/>
        <v>159.39089192119982</v>
      </c>
      <c r="X1429">
        <f t="shared" si="357"/>
        <v>3.4593908899900003</v>
      </c>
      <c r="Y1429">
        <f t="shared" si="358"/>
        <v>155.93150103120982</v>
      </c>
      <c r="Z1429">
        <f t="shared" si="359"/>
        <v>17015.756466515799</v>
      </c>
      <c r="AB1429">
        <f t="shared" si="360"/>
        <v>385.675612</v>
      </c>
      <c r="AC1429">
        <f t="shared" si="361"/>
        <v>1683.6283166248002</v>
      </c>
      <c r="AD1429">
        <f t="shared" si="362"/>
        <v>162.63940558039982</v>
      </c>
      <c r="AE1429">
        <f t="shared" si="363"/>
        <v>3.5298960388300005</v>
      </c>
      <c r="AF1429">
        <f t="shared" si="364"/>
        <v>159.10950954156982</v>
      </c>
      <c r="AG1429">
        <f t="shared" si="354"/>
        <v>16995.392656400574</v>
      </c>
      <c r="AH1429" t="b">
        <f t="shared" si="365"/>
        <v>1</v>
      </c>
    </row>
    <row r="1430" spans="4:34" hidden="1" x14ac:dyDescent="0.4">
      <c r="D1430" t="s">
        <v>53</v>
      </c>
      <c r="E1430" t="s">
        <v>37</v>
      </c>
      <c r="F1430" s="9">
        <v>45670.583333333336</v>
      </c>
      <c r="G1430">
        <v>669.24</v>
      </c>
      <c r="H1430" s="9">
        <v>45672.583333333336</v>
      </c>
      <c r="I1430">
        <v>699.78</v>
      </c>
      <c r="J1430">
        <v>13.324999999999999</v>
      </c>
      <c r="K1430" s="12">
        <v>8918.16</v>
      </c>
      <c r="L1430">
        <v>13.68</v>
      </c>
      <c r="M1430">
        <v>393.26</v>
      </c>
      <c r="N1430" s="13">
        <v>4.41E-2</v>
      </c>
      <c r="O1430" t="s">
        <v>38</v>
      </c>
      <c r="Q1430">
        <f t="shared" si="366"/>
        <v>406.94549999999947</v>
      </c>
      <c r="R1430">
        <f t="shared" si="367"/>
        <v>393.26549999999946</v>
      </c>
      <c r="S1430">
        <f t="shared" si="368"/>
        <v>9324.5684999999994</v>
      </c>
      <c r="U1430">
        <f t="shared" si="355"/>
        <v>2.4654829999999999</v>
      </c>
      <c r="V1430">
        <f t="shared" si="369"/>
        <v>1649.99984292</v>
      </c>
      <c r="W1430">
        <f t="shared" si="356"/>
        <v>75.295850819999913</v>
      </c>
      <c r="X1430">
        <f t="shared" si="357"/>
        <v>3.3752955366599995</v>
      </c>
      <c r="Y1430">
        <f t="shared" si="358"/>
        <v>71.920555283339908</v>
      </c>
      <c r="Z1430">
        <f t="shared" si="359"/>
        <v>16859.824965484589</v>
      </c>
      <c r="AB1430">
        <f t="shared" si="360"/>
        <v>2.5048140000000001</v>
      </c>
      <c r="AC1430">
        <f t="shared" si="361"/>
        <v>1676.3217213600001</v>
      </c>
      <c r="AD1430">
        <f t="shared" si="362"/>
        <v>76.497019559999913</v>
      </c>
      <c r="AE1430">
        <f t="shared" si="363"/>
        <v>3.4291404622799999</v>
      </c>
      <c r="AF1430">
        <f t="shared" si="364"/>
        <v>73.06787909771991</v>
      </c>
      <c r="AG1430">
        <f t="shared" si="354"/>
        <v>16836.283146859005</v>
      </c>
      <c r="AH1430" t="b">
        <f t="shared" si="365"/>
        <v>1</v>
      </c>
    </row>
    <row r="1431" spans="4:34" hidden="1" x14ac:dyDescent="0.4">
      <c r="D1431" t="s">
        <v>55</v>
      </c>
      <c r="E1431" t="s">
        <v>37</v>
      </c>
      <c r="F1431" s="9">
        <v>45670.541666666664</v>
      </c>
      <c r="G1431">
        <v>9.4980000000000002E-5</v>
      </c>
      <c r="H1431" s="9">
        <v>45672.541666666664</v>
      </c>
      <c r="I1431">
        <v>9.8859999999999999E-5</v>
      </c>
      <c r="J1431" s="12">
        <v>62679767.399999999</v>
      </c>
      <c r="K1431" s="12">
        <v>5953.32</v>
      </c>
      <c r="L1431">
        <v>9.11</v>
      </c>
      <c r="M1431">
        <v>234.09</v>
      </c>
      <c r="N1431" s="13">
        <v>3.9300000000000002E-2</v>
      </c>
      <c r="O1431" t="s">
        <v>38</v>
      </c>
      <c r="Q1431">
        <f t="shared" si="366"/>
        <v>243.19749751199979</v>
      </c>
      <c r="R1431">
        <f t="shared" si="367"/>
        <v>234.0874975119998</v>
      </c>
      <c r="S1431">
        <f t="shared" si="368"/>
        <v>6196.5218051639995</v>
      </c>
      <c r="U1431">
        <f t="shared" si="355"/>
        <v>17372078.332281001</v>
      </c>
      <c r="V1431">
        <f t="shared" si="369"/>
        <v>1650.0000000000496</v>
      </c>
      <c r="W1431">
        <f t="shared" si="356"/>
        <v>67.403663929250229</v>
      </c>
      <c r="X1431">
        <f t="shared" si="357"/>
        <v>3.3674036639293492</v>
      </c>
      <c r="Y1431">
        <f t="shared" si="358"/>
        <v>64.036260265320877</v>
      </c>
      <c r="Z1431">
        <f t="shared" si="359"/>
        <v>16787.904410201249</v>
      </c>
      <c r="AB1431">
        <f t="shared" si="360"/>
        <v>17580973.87356</v>
      </c>
      <c r="AC1431">
        <f t="shared" si="361"/>
        <v>1669.8408985107289</v>
      </c>
      <c r="AD1431">
        <f t="shared" si="362"/>
        <v>68.214178629412743</v>
      </c>
      <c r="AE1431">
        <f t="shared" si="363"/>
        <v>3.4078959756508702</v>
      </c>
      <c r="AF1431">
        <f t="shared" si="364"/>
        <v>64.806282653761869</v>
      </c>
      <c r="AG1431">
        <f t="shared" si="354"/>
        <v>16763.215267761287</v>
      </c>
      <c r="AH1431" t="b">
        <f t="shared" si="365"/>
        <v>1</v>
      </c>
    </row>
    <row r="1432" spans="4:34" hidden="1" x14ac:dyDescent="0.4">
      <c r="D1432" t="s">
        <v>59</v>
      </c>
      <c r="E1432" t="s">
        <v>37</v>
      </c>
      <c r="F1432" s="9">
        <v>45670</v>
      </c>
      <c r="G1432" s="12">
        <v>94503.99</v>
      </c>
      <c r="H1432" s="9">
        <v>45672.5</v>
      </c>
      <c r="I1432" s="12">
        <v>96726.02</v>
      </c>
      <c r="J1432">
        <v>0.10462</v>
      </c>
      <c r="K1432" s="12">
        <v>9887.7800000000007</v>
      </c>
      <c r="L1432">
        <v>15</v>
      </c>
      <c r="M1432">
        <v>217.46</v>
      </c>
      <c r="N1432" s="13">
        <v>2.1999999999999999E-2</v>
      </c>
      <c r="O1432" t="s">
        <v>57</v>
      </c>
      <c r="Q1432">
        <f t="shared" si="366"/>
        <v>232.46877859999989</v>
      </c>
      <c r="R1432">
        <f t="shared" si="367"/>
        <v>217.46877859999989</v>
      </c>
      <c r="S1432">
        <f t="shared" si="368"/>
        <v>10119.476212400001</v>
      </c>
      <c r="U1432">
        <f t="shared" si="355"/>
        <v>1.746E-2</v>
      </c>
      <c r="V1432">
        <f t="shared" si="369"/>
        <v>1650.0396654000001</v>
      </c>
      <c r="W1432">
        <f t="shared" si="356"/>
        <v>38.796643799999977</v>
      </c>
      <c r="X1432">
        <f t="shared" si="357"/>
        <v>3.3388759746000005</v>
      </c>
      <c r="Y1432">
        <f t="shared" si="358"/>
        <v>35.457767825399976</v>
      </c>
      <c r="Z1432">
        <f t="shared" si="359"/>
        <v>16723.868149935926</v>
      </c>
      <c r="AB1432">
        <f t="shared" si="360"/>
        <v>1.7631999999999998E-2</v>
      </c>
      <c r="AC1432">
        <f t="shared" si="361"/>
        <v>1666.2943516799999</v>
      </c>
      <c r="AD1432">
        <f t="shared" si="362"/>
        <v>39.178832959999973</v>
      </c>
      <c r="AE1432">
        <f t="shared" si="363"/>
        <v>3.3717675363200001</v>
      </c>
      <c r="AF1432">
        <f t="shared" si="364"/>
        <v>35.807065423679973</v>
      </c>
      <c r="AG1432">
        <f t="shared" si="354"/>
        <v>16698.408985107526</v>
      </c>
      <c r="AH1432" t="b">
        <f t="shared" si="365"/>
        <v>1</v>
      </c>
    </row>
    <row r="1433" spans="4:34" hidden="1" x14ac:dyDescent="0.4">
      <c r="D1433" t="s">
        <v>54</v>
      </c>
      <c r="E1433" t="s">
        <v>37</v>
      </c>
      <c r="F1433" s="9">
        <v>45670</v>
      </c>
      <c r="G1433">
        <v>188.39</v>
      </c>
      <c r="H1433" s="9">
        <v>45672</v>
      </c>
      <c r="I1433">
        <v>187.49</v>
      </c>
      <c r="J1433">
        <v>23.05</v>
      </c>
      <c r="K1433" s="12">
        <v>4342.4399999999996</v>
      </c>
      <c r="L1433">
        <v>6.5</v>
      </c>
      <c r="M1433">
        <v>-27.24</v>
      </c>
      <c r="N1433" s="13">
        <v>-6.3E-3</v>
      </c>
      <c r="O1433" t="s">
        <v>38</v>
      </c>
      <c r="Q1433">
        <f t="shared" si="366"/>
        <v>-20.744999999999475</v>
      </c>
      <c r="R1433">
        <f t="shared" si="367"/>
        <v>-27.244999999999475</v>
      </c>
      <c r="S1433">
        <f t="shared" si="368"/>
        <v>4321.6445000000003</v>
      </c>
      <c r="U1433">
        <f t="shared" si="355"/>
        <v>8.7584269999999993</v>
      </c>
      <c r="V1433">
        <f t="shared" si="369"/>
        <v>1650.0000625299997</v>
      </c>
      <c r="W1433">
        <f t="shared" si="356"/>
        <v>-7.8825842999998006</v>
      </c>
      <c r="X1433">
        <f t="shared" si="357"/>
        <v>3.2921175407599996</v>
      </c>
      <c r="Y1433">
        <f t="shared" si="358"/>
        <v>-11.1747018407598</v>
      </c>
      <c r="Z1433">
        <f t="shared" si="359"/>
        <v>16688.410382110527</v>
      </c>
      <c r="AB1433">
        <f t="shared" si="360"/>
        <v>8.8507320000000007</v>
      </c>
      <c r="AC1433">
        <f t="shared" si="361"/>
        <v>1667.3894014800001</v>
      </c>
      <c r="AD1433">
        <f t="shared" si="362"/>
        <v>-7.9656587999997992</v>
      </c>
      <c r="AE1433">
        <f t="shared" si="363"/>
        <v>3.3268131441600004</v>
      </c>
      <c r="AF1433">
        <f t="shared" si="364"/>
        <v>-11.2924719441598</v>
      </c>
      <c r="AG1433">
        <f t="shared" si="354"/>
        <v>16662.601919683846</v>
      </c>
      <c r="AH1433" t="b">
        <f t="shared" si="365"/>
        <v>1</v>
      </c>
    </row>
    <row r="1434" spans="4:34" hidden="1" x14ac:dyDescent="0.4">
      <c r="D1434" t="s">
        <v>48</v>
      </c>
      <c r="E1434" t="s">
        <v>37</v>
      </c>
      <c r="F1434" s="9">
        <v>45668.833333333336</v>
      </c>
      <c r="G1434">
        <v>0.39029999999999998</v>
      </c>
      <c r="H1434" s="9">
        <v>45670.833333333336</v>
      </c>
      <c r="I1434">
        <v>0.34139999999999998</v>
      </c>
      <c r="J1434" s="12">
        <v>7081.1</v>
      </c>
      <c r="K1434" s="12">
        <v>2763.75</v>
      </c>
      <c r="L1434">
        <v>3.89</v>
      </c>
      <c r="M1434">
        <v>-350.15</v>
      </c>
      <c r="N1434" s="13">
        <v>-0.12670000000000001</v>
      </c>
      <c r="O1434" t="s">
        <v>38</v>
      </c>
      <c r="Q1434">
        <f t="shared" si="366"/>
        <v>-346.26579000000004</v>
      </c>
      <c r="R1434">
        <f t="shared" si="367"/>
        <v>-350.15579000000002</v>
      </c>
      <c r="S1434">
        <f t="shared" si="368"/>
        <v>2417.4875400000001</v>
      </c>
      <c r="U1434">
        <f t="shared" si="355"/>
        <v>4227.5172940000002</v>
      </c>
      <c r="V1434">
        <f t="shared" si="369"/>
        <v>1649.9999998482001</v>
      </c>
      <c r="W1434">
        <f t="shared" si="356"/>
        <v>-206.72559567659999</v>
      </c>
      <c r="X1434">
        <f t="shared" si="357"/>
        <v>3.0932744040198004</v>
      </c>
      <c r="Y1434">
        <f t="shared" si="358"/>
        <v>-209.8188700806198</v>
      </c>
      <c r="Z1434">
        <f t="shared" si="359"/>
        <v>16699.585083951286</v>
      </c>
      <c r="AB1434">
        <f t="shared" si="360"/>
        <v>4327.0959570000005</v>
      </c>
      <c r="AC1434">
        <f t="shared" si="361"/>
        <v>1688.8655520171001</v>
      </c>
      <c r="AD1434">
        <f t="shared" si="362"/>
        <v>-211.59499229730002</v>
      </c>
      <c r="AE1434">
        <f t="shared" si="363"/>
        <v>3.1661361117369005</v>
      </c>
      <c r="AF1434">
        <f t="shared" si="364"/>
        <v>-214.76112840903693</v>
      </c>
      <c r="AG1434">
        <f t="shared" si="354"/>
        <v>16673.894391628004</v>
      </c>
      <c r="AH1434" t="b">
        <f t="shared" si="365"/>
        <v>1</v>
      </c>
    </row>
    <row r="1435" spans="4:34" hidden="1" x14ac:dyDescent="0.4">
      <c r="D1435" t="s">
        <v>52</v>
      </c>
      <c r="E1435" t="s">
        <v>37</v>
      </c>
      <c r="F1435" s="9">
        <v>45668.625</v>
      </c>
      <c r="G1435">
        <v>10.218999999999999</v>
      </c>
      <c r="H1435" s="9">
        <v>45670.625</v>
      </c>
      <c r="I1435">
        <v>9.6479999999999997</v>
      </c>
      <c r="J1435">
        <v>226.41</v>
      </c>
      <c r="K1435" s="12">
        <v>2313.75</v>
      </c>
      <c r="L1435">
        <v>3.37</v>
      </c>
      <c r="M1435">
        <v>-132.65</v>
      </c>
      <c r="N1435" s="13">
        <v>-5.7299999999999997E-2</v>
      </c>
      <c r="O1435" t="s">
        <v>38</v>
      </c>
      <c r="Q1435">
        <f t="shared" si="366"/>
        <v>-129.28010999999995</v>
      </c>
      <c r="R1435">
        <f t="shared" si="367"/>
        <v>-132.65010999999996</v>
      </c>
      <c r="S1435">
        <f t="shared" si="368"/>
        <v>2184.4036799999999</v>
      </c>
      <c r="U1435">
        <f t="shared" si="355"/>
        <v>161.46394000000001</v>
      </c>
      <c r="V1435">
        <f t="shared" si="369"/>
        <v>1650.00000286</v>
      </c>
      <c r="W1435">
        <f t="shared" si="356"/>
        <v>-92.195909739999962</v>
      </c>
      <c r="X1435">
        <f t="shared" si="357"/>
        <v>3.2078040959799998</v>
      </c>
      <c r="Y1435">
        <f t="shared" si="358"/>
        <v>-95.403713835979957</v>
      </c>
      <c r="Z1435">
        <f t="shared" si="359"/>
        <v>16909.403954031906</v>
      </c>
      <c r="AB1435">
        <f t="shared" si="360"/>
        <v>166.228343</v>
      </c>
      <c r="AC1435">
        <f t="shared" si="361"/>
        <v>1698.6874371169999</v>
      </c>
      <c r="AD1435">
        <f t="shared" si="362"/>
        <v>-94.916383852999957</v>
      </c>
      <c r="AE1435">
        <f t="shared" si="363"/>
        <v>3.3024584903809999</v>
      </c>
      <c r="AF1435">
        <f t="shared" si="364"/>
        <v>-98.218842343380956</v>
      </c>
      <c r="AG1435">
        <f t="shared" si="354"/>
        <v>16888.655520037042</v>
      </c>
      <c r="AH1435" t="b">
        <f t="shared" si="365"/>
        <v>1</v>
      </c>
    </row>
    <row r="1436" spans="4:34" hidden="1" x14ac:dyDescent="0.4">
      <c r="D1436" t="s">
        <v>61</v>
      </c>
      <c r="E1436" t="s">
        <v>37</v>
      </c>
      <c r="F1436" s="9">
        <v>45668.625</v>
      </c>
      <c r="G1436">
        <v>0.94189999999999996</v>
      </c>
      <c r="H1436" s="9">
        <v>45670.625</v>
      </c>
      <c r="I1436">
        <v>0.91859999999999997</v>
      </c>
      <c r="J1436" s="12">
        <v>7910.6</v>
      </c>
      <c r="K1436" s="12">
        <v>7451.06</v>
      </c>
      <c r="L1436">
        <v>11.04</v>
      </c>
      <c r="M1436">
        <v>-195.36</v>
      </c>
      <c r="N1436" s="13">
        <v>-2.6200000000000001E-2</v>
      </c>
      <c r="O1436" t="s">
        <v>38</v>
      </c>
      <c r="Q1436">
        <f t="shared" si="366"/>
        <v>-184.31697999999992</v>
      </c>
      <c r="R1436">
        <f t="shared" si="367"/>
        <v>-195.35697999999991</v>
      </c>
      <c r="S1436">
        <f t="shared" si="368"/>
        <v>7266.6771600000002</v>
      </c>
      <c r="U1436">
        <f t="shared" si="355"/>
        <v>1751.7783199999999</v>
      </c>
      <c r="V1436">
        <f t="shared" si="369"/>
        <v>1649.9999996079998</v>
      </c>
      <c r="W1436">
        <f t="shared" si="356"/>
        <v>-40.816434855999972</v>
      </c>
      <c r="X1436">
        <f t="shared" si="357"/>
        <v>3.2591835643600002</v>
      </c>
      <c r="Y1436">
        <f t="shared" si="358"/>
        <v>-44.075618420359973</v>
      </c>
      <c r="Z1436">
        <f t="shared" si="359"/>
        <v>17004.807667867888</v>
      </c>
      <c r="AB1436">
        <f t="shared" si="360"/>
        <v>1808.299403</v>
      </c>
      <c r="AC1436">
        <f t="shared" si="361"/>
        <v>1703.2372076857</v>
      </c>
      <c r="AD1436">
        <f t="shared" si="362"/>
        <v>-42.133376089899976</v>
      </c>
      <c r="AE1436">
        <f t="shared" si="363"/>
        <v>3.3643410392815003</v>
      </c>
      <c r="AF1436">
        <f t="shared" si="364"/>
        <v>-45.497717129181474</v>
      </c>
      <c r="AG1436">
        <f t="shared" si="354"/>
        <v>16986.874362380422</v>
      </c>
      <c r="AH1436" t="b">
        <f t="shared" si="365"/>
        <v>1</v>
      </c>
    </row>
    <row r="1437" spans="4:34" hidden="1" x14ac:dyDescent="0.4">
      <c r="D1437" t="s">
        <v>50</v>
      </c>
      <c r="E1437" t="s">
        <v>37</v>
      </c>
      <c r="F1437" s="9">
        <v>45668.625</v>
      </c>
      <c r="G1437">
        <v>432.7</v>
      </c>
      <c r="H1437" s="9">
        <v>45670.625</v>
      </c>
      <c r="I1437">
        <v>407.1</v>
      </c>
      <c r="J1437">
        <v>25.394300000000001</v>
      </c>
      <c r="K1437" s="12">
        <v>10988.15</v>
      </c>
      <c r="L1437">
        <v>15.99</v>
      </c>
      <c r="M1437">
        <v>-666.09</v>
      </c>
      <c r="N1437" s="13">
        <v>-6.0600000000000001E-2</v>
      </c>
      <c r="O1437" t="s">
        <v>38</v>
      </c>
      <c r="Q1437">
        <f t="shared" si="366"/>
        <v>-650.09407999999917</v>
      </c>
      <c r="R1437">
        <f t="shared" si="367"/>
        <v>-666.08407999999918</v>
      </c>
      <c r="S1437">
        <f t="shared" si="368"/>
        <v>10338.019530000001</v>
      </c>
      <c r="U1437">
        <f t="shared" si="355"/>
        <v>3.813266</v>
      </c>
      <c r="V1437">
        <f t="shared" si="369"/>
        <v>1650.0001981999999</v>
      </c>
      <c r="W1437">
        <f t="shared" si="356"/>
        <v>-97.619609599999876</v>
      </c>
      <c r="X1437">
        <f t="shared" si="357"/>
        <v>3.2023807868</v>
      </c>
      <c r="Y1437">
        <f t="shared" si="358"/>
        <v>-100.82199038679988</v>
      </c>
      <c r="Z1437">
        <f t="shared" si="359"/>
        <v>17048.883286288248</v>
      </c>
      <c r="AB1437">
        <f t="shared" si="360"/>
        <v>3.9605009999999998</v>
      </c>
      <c r="AC1437">
        <f t="shared" si="361"/>
        <v>1713.7087826999998</v>
      </c>
      <c r="AD1437">
        <f t="shared" si="362"/>
        <v>-101.38882559999986</v>
      </c>
      <c r="AE1437">
        <f t="shared" si="363"/>
        <v>3.3260287397999999</v>
      </c>
      <c r="AF1437">
        <f t="shared" si="364"/>
        <v>-104.71485433979986</v>
      </c>
      <c r="AG1437">
        <f t="shared" si="354"/>
        <v>17032.372079509605</v>
      </c>
      <c r="AH1437" t="b">
        <f t="shared" si="365"/>
        <v>1</v>
      </c>
    </row>
    <row r="1438" spans="4:34" hidden="1" x14ac:dyDescent="0.4">
      <c r="D1438" t="s">
        <v>60</v>
      </c>
      <c r="E1438" t="s">
        <v>37</v>
      </c>
      <c r="F1438" s="9">
        <v>45667.75</v>
      </c>
      <c r="G1438">
        <v>2.3492000000000002</v>
      </c>
      <c r="H1438" s="9">
        <v>45670.25</v>
      </c>
      <c r="I1438">
        <v>2.5087999999999999</v>
      </c>
      <c r="J1438">
        <v>844.5</v>
      </c>
      <c r="K1438" s="12">
        <v>1984.13</v>
      </c>
      <c r="L1438">
        <v>3.08</v>
      </c>
      <c r="M1438">
        <v>131.71</v>
      </c>
      <c r="N1438" s="13">
        <v>6.6400000000000001E-2</v>
      </c>
      <c r="O1438" t="s">
        <v>57</v>
      </c>
      <c r="Q1438">
        <f t="shared" si="366"/>
        <v>134.78219999999979</v>
      </c>
      <c r="R1438">
        <f t="shared" si="367"/>
        <v>131.70219999999978</v>
      </c>
      <c r="S1438">
        <f t="shared" si="368"/>
        <v>2118.6815999999999</v>
      </c>
      <c r="U1438">
        <f t="shared" si="355"/>
        <v>702.36676299999999</v>
      </c>
      <c r="V1438">
        <f t="shared" si="369"/>
        <v>1649.9999996396</v>
      </c>
      <c r="W1438">
        <f t="shared" si="356"/>
        <v>112.09773537479981</v>
      </c>
      <c r="X1438">
        <f t="shared" si="357"/>
        <v>3.412097734654</v>
      </c>
      <c r="Y1438">
        <f t="shared" si="358"/>
        <v>108.68563764014581</v>
      </c>
      <c r="Z1438">
        <f t="shared" si="359"/>
        <v>17149.705276675049</v>
      </c>
      <c r="AB1438">
        <f t="shared" si="360"/>
        <v>724.71239100000003</v>
      </c>
      <c r="AC1438">
        <f t="shared" si="361"/>
        <v>1702.4943489372001</v>
      </c>
      <c r="AD1438">
        <f t="shared" si="362"/>
        <v>115.66409760359981</v>
      </c>
      <c r="AE1438">
        <f t="shared" si="363"/>
        <v>3.5206527954780005</v>
      </c>
      <c r="AF1438">
        <f t="shared" si="364"/>
        <v>112.14344480812181</v>
      </c>
      <c r="AG1438">
        <f t="shared" si="354"/>
        <v>17137.086933849405</v>
      </c>
      <c r="AH1438" t="b">
        <f t="shared" si="365"/>
        <v>1</v>
      </c>
    </row>
    <row r="1439" spans="4:34" hidden="1" x14ac:dyDescent="0.4">
      <c r="D1439" t="s">
        <v>53</v>
      </c>
      <c r="E1439" t="s">
        <v>37</v>
      </c>
      <c r="F1439" s="9">
        <v>45668.041666666664</v>
      </c>
      <c r="G1439">
        <v>693.28</v>
      </c>
      <c r="H1439" s="9">
        <v>45670.041666666664</v>
      </c>
      <c r="I1439">
        <v>696.53</v>
      </c>
      <c r="J1439">
        <v>12.859</v>
      </c>
      <c r="K1439" s="12">
        <v>8915.32</v>
      </c>
      <c r="L1439">
        <v>13.4</v>
      </c>
      <c r="M1439">
        <v>28.39</v>
      </c>
      <c r="N1439" s="13">
        <v>3.2000000000000002E-3</v>
      </c>
      <c r="O1439" t="s">
        <v>38</v>
      </c>
      <c r="Q1439">
        <f t="shared" si="366"/>
        <v>41.79175</v>
      </c>
      <c r="R1439">
        <f t="shared" si="367"/>
        <v>28.391750000000002</v>
      </c>
      <c r="S1439">
        <f t="shared" si="368"/>
        <v>8956.6792700000005</v>
      </c>
      <c r="U1439">
        <f t="shared" si="355"/>
        <v>2.379991</v>
      </c>
      <c r="V1439">
        <f t="shared" si="369"/>
        <v>1650.00016048</v>
      </c>
      <c r="W1439">
        <f t="shared" si="356"/>
        <v>7.7349707499999996</v>
      </c>
      <c r="X1439">
        <f t="shared" si="357"/>
        <v>3.3077352917099998</v>
      </c>
      <c r="Y1439">
        <f t="shared" si="358"/>
        <v>4.4272354582899993</v>
      </c>
      <c r="Z1439">
        <f t="shared" si="359"/>
        <v>17041.019639034905</v>
      </c>
      <c r="AB1439">
        <f t="shared" si="360"/>
        <v>2.4550510000000001</v>
      </c>
      <c r="AC1439">
        <f t="shared" si="361"/>
        <v>1702.0377572800001</v>
      </c>
      <c r="AD1439">
        <f t="shared" si="362"/>
        <v>7.9789157500000005</v>
      </c>
      <c r="AE1439">
        <f t="shared" si="363"/>
        <v>3.41205443031</v>
      </c>
      <c r="AF1439">
        <f t="shared" si="364"/>
        <v>4.5668613196900001</v>
      </c>
      <c r="AG1439">
        <f t="shared" si="354"/>
        <v>17024.943489041281</v>
      </c>
      <c r="AH1439" t="b">
        <f t="shared" si="365"/>
        <v>1</v>
      </c>
    </row>
    <row r="1440" spans="4:34" hidden="1" x14ac:dyDescent="0.4">
      <c r="D1440" t="s">
        <v>43</v>
      </c>
      <c r="E1440" t="s">
        <v>37</v>
      </c>
      <c r="F1440" s="9">
        <v>45667.75</v>
      </c>
      <c r="G1440">
        <v>5.1894</v>
      </c>
      <c r="H1440" s="9">
        <v>45669.75</v>
      </c>
      <c r="I1440">
        <v>4.8114999999999997</v>
      </c>
      <c r="J1440">
        <v>321.10000000000002</v>
      </c>
      <c r="K1440" s="12">
        <v>1666.58</v>
      </c>
      <c r="L1440">
        <v>2.41</v>
      </c>
      <c r="M1440">
        <v>-123.75</v>
      </c>
      <c r="N1440" s="13">
        <v>-7.4300000000000005E-2</v>
      </c>
      <c r="O1440" t="s">
        <v>38</v>
      </c>
      <c r="Q1440">
        <f t="shared" si="366"/>
        <v>-121.34369000000012</v>
      </c>
      <c r="R1440">
        <f t="shared" si="367"/>
        <v>-123.75369000000012</v>
      </c>
      <c r="S1440">
        <f t="shared" si="368"/>
        <v>1544.9726499999999</v>
      </c>
      <c r="U1440">
        <f t="shared" si="355"/>
        <v>317.95583299999998</v>
      </c>
      <c r="V1440">
        <f t="shared" si="369"/>
        <v>1649.9999997702</v>
      </c>
      <c r="W1440">
        <f t="shared" si="356"/>
        <v>-120.15550929070011</v>
      </c>
      <c r="X1440">
        <f t="shared" si="357"/>
        <v>3.1798444902497001</v>
      </c>
      <c r="Y1440">
        <f t="shared" si="358"/>
        <v>-123.33535378094982</v>
      </c>
      <c r="Z1440">
        <f t="shared" si="359"/>
        <v>17036.592403576615</v>
      </c>
      <c r="AB1440">
        <f t="shared" si="360"/>
        <v>330.45361500000001</v>
      </c>
      <c r="AC1440">
        <f t="shared" si="361"/>
        <v>1714.855989681</v>
      </c>
      <c r="AD1440">
        <f t="shared" si="362"/>
        <v>-124.87842110850012</v>
      </c>
      <c r="AE1440">
        <f t="shared" si="363"/>
        <v>3.3048335582535002</v>
      </c>
      <c r="AF1440">
        <f t="shared" si="364"/>
        <v>-128.18325466675361</v>
      </c>
      <c r="AG1440">
        <f t="shared" si="354"/>
        <v>17020.376627721591</v>
      </c>
      <c r="AH1440" t="b">
        <f t="shared" si="365"/>
        <v>1</v>
      </c>
    </row>
    <row r="1441" spans="4:34" hidden="1" x14ac:dyDescent="0.4">
      <c r="D1441" t="s">
        <v>59</v>
      </c>
      <c r="E1441" t="s">
        <v>37</v>
      </c>
      <c r="F1441" s="9">
        <v>45663.958333333336</v>
      </c>
      <c r="G1441" s="12">
        <v>102046.23</v>
      </c>
      <c r="H1441" s="9">
        <v>45666.458333333336</v>
      </c>
      <c r="I1441" s="12">
        <v>93412.56</v>
      </c>
      <c r="J1441">
        <v>9.7729999999999997E-2</v>
      </c>
      <c r="K1441" s="12">
        <v>9973.59</v>
      </c>
      <c r="L1441">
        <v>14.33</v>
      </c>
      <c r="M1441">
        <v>-858.1</v>
      </c>
      <c r="N1441" s="13">
        <v>-8.5999999999999993E-2</v>
      </c>
      <c r="O1441" t="s">
        <v>57</v>
      </c>
      <c r="Q1441">
        <f t="shared" si="366"/>
        <v>-843.76856909999981</v>
      </c>
      <c r="R1441">
        <f t="shared" si="367"/>
        <v>-858.09856909999985</v>
      </c>
      <c r="S1441">
        <f t="shared" si="368"/>
        <v>9129.2094887999992</v>
      </c>
      <c r="U1441">
        <f t="shared" si="355"/>
        <v>1.6168999999999999E-2</v>
      </c>
      <c r="V1441">
        <f t="shared" si="369"/>
        <v>1649.9854928699999</v>
      </c>
      <c r="W1441">
        <f t="shared" si="356"/>
        <v>-139.59781022999996</v>
      </c>
      <c r="X1441">
        <f t="shared" si="357"/>
        <v>3.1603731755099997</v>
      </c>
      <c r="Y1441">
        <f t="shared" si="358"/>
        <v>-142.75818340550995</v>
      </c>
      <c r="Z1441">
        <f t="shared" si="359"/>
        <v>17159.927757357564</v>
      </c>
      <c r="AB1441">
        <f t="shared" si="360"/>
        <v>1.6951000000000001E-2</v>
      </c>
      <c r="AC1441">
        <f t="shared" si="361"/>
        <v>1729.7856447300001</v>
      </c>
      <c r="AD1441">
        <f t="shared" si="362"/>
        <v>-146.34934016999998</v>
      </c>
      <c r="AE1441">
        <f t="shared" si="363"/>
        <v>3.3132219492899999</v>
      </c>
      <c r="AF1441">
        <f t="shared" si="364"/>
        <v>-149.66256211928999</v>
      </c>
      <c r="AG1441">
        <f t="shared" si="354"/>
        <v>17148.559882388345</v>
      </c>
      <c r="AH1441" t="b">
        <f t="shared" si="365"/>
        <v>1</v>
      </c>
    </row>
    <row r="1442" spans="4:34" hidden="1" x14ac:dyDescent="0.4">
      <c r="D1442" t="s">
        <v>60</v>
      </c>
      <c r="E1442" t="s">
        <v>37</v>
      </c>
      <c r="F1442" s="9">
        <v>45663.583333333336</v>
      </c>
      <c r="G1442">
        <v>2.3984999999999999</v>
      </c>
      <c r="H1442" s="9">
        <v>45666.083333333336</v>
      </c>
      <c r="I1442">
        <v>2.3723000000000001</v>
      </c>
      <c r="J1442">
        <v>828.2</v>
      </c>
      <c r="K1442" s="12">
        <v>1986.6</v>
      </c>
      <c r="L1442">
        <v>2.96</v>
      </c>
      <c r="M1442">
        <v>-24.66</v>
      </c>
      <c r="N1442" s="13">
        <v>-1.24E-2</v>
      </c>
      <c r="O1442" t="s">
        <v>57</v>
      </c>
      <c r="Q1442">
        <f t="shared" si="366"/>
        <v>-21.698839999999819</v>
      </c>
      <c r="R1442">
        <f t="shared" si="367"/>
        <v>-24.65883999999982</v>
      </c>
      <c r="S1442">
        <f t="shared" si="368"/>
        <v>1964.7388600000002</v>
      </c>
      <c r="U1442">
        <f t="shared" si="355"/>
        <v>687.92995599999995</v>
      </c>
      <c r="V1442">
        <f t="shared" si="369"/>
        <v>1649.9999994659997</v>
      </c>
      <c r="W1442">
        <f t="shared" si="356"/>
        <v>-18.023764847199846</v>
      </c>
      <c r="X1442">
        <f t="shared" si="357"/>
        <v>3.2819762340847993</v>
      </c>
      <c r="Y1442">
        <f t="shared" si="358"/>
        <v>-21.305741081284644</v>
      </c>
      <c r="Z1442">
        <f t="shared" si="359"/>
        <v>17302.685940763073</v>
      </c>
      <c r="AB1442">
        <f t="shared" ref="AB1442:AB1462" si="370">ROUND(((AH1442*AG1443 +(1-AH1442)*AI1442)/$P$2)/G1442,6)</f>
        <v>722.14249600000005</v>
      </c>
      <c r="AC1442">
        <f t="shared" ref="AC1421:AC1462" si="371">AB1442*G1442</f>
        <v>1732.058776656</v>
      </c>
      <c r="AD1442">
        <f t="shared" ref="AD1421:AD1462" si="372">AB1442*(I1442-G1442)</f>
        <v>-18.920133395199841</v>
      </c>
      <c r="AE1442">
        <f t="shared" ref="AE1421:AE1462" si="373">(G1442+I1442)*$R$2*AB1442</f>
        <v>3.4451974199167998</v>
      </c>
      <c r="AF1442">
        <f t="shared" ref="AF1421:AF1462" si="374">AD1442-AE1442</f>
        <v>-22.365330815116639</v>
      </c>
      <c r="AG1442">
        <f t="shared" si="354"/>
        <v>17298.222444507635</v>
      </c>
      <c r="AH1442" t="b">
        <f t="shared" ref="AH1442:AH1462" si="375">ISBLANK(AI1442)</f>
        <v>1</v>
      </c>
    </row>
    <row r="1443" spans="4:34" hidden="1" x14ac:dyDescent="0.4">
      <c r="D1443" t="s">
        <v>52</v>
      </c>
      <c r="E1443" t="s">
        <v>37</v>
      </c>
      <c r="F1443" s="9">
        <v>45663.833333333336</v>
      </c>
      <c r="G1443">
        <v>12.18</v>
      </c>
      <c r="H1443" s="9">
        <v>45665.833333333336</v>
      </c>
      <c r="I1443">
        <v>10.829000000000001</v>
      </c>
      <c r="J1443">
        <v>192.12</v>
      </c>
      <c r="K1443" s="12">
        <v>2340.04</v>
      </c>
      <c r="L1443">
        <v>3.32</v>
      </c>
      <c r="M1443">
        <v>-262.87</v>
      </c>
      <c r="N1443" s="13">
        <v>-0.1123</v>
      </c>
      <c r="O1443" t="s">
        <v>38</v>
      </c>
      <c r="Q1443">
        <f t="shared" si="366"/>
        <v>-259.55411999999984</v>
      </c>
      <c r="R1443">
        <f t="shared" si="367"/>
        <v>-262.87411999999983</v>
      </c>
      <c r="S1443">
        <f t="shared" si="368"/>
        <v>2080.4674800000003</v>
      </c>
      <c r="U1443">
        <f t="shared" si="355"/>
        <v>135.46798000000001</v>
      </c>
      <c r="V1443">
        <f t="shared" si="369"/>
        <v>1649.9999964000001</v>
      </c>
      <c r="W1443">
        <f t="shared" si="356"/>
        <v>-183.01724097999988</v>
      </c>
      <c r="X1443">
        <f t="shared" si="357"/>
        <v>3.1169827518200006</v>
      </c>
      <c r="Y1443">
        <f t="shared" si="358"/>
        <v>-186.13422373181987</v>
      </c>
      <c r="Z1443">
        <f t="shared" si="359"/>
        <v>17323.991681844356</v>
      </c>
      <c r="AB1443">
        <f t="shared" si="370"/>
        <v>143.827654</v>
      </c>
      <c r="AC1443">
        <f t="shared" si="371"/>
        <v>1751.8208257199999</v>
      </c>
      <c r="AD1443">
        <f t="shared" si="372"/>
        <v>-194.31116055399985</v>
      </c>
      <c r="AE1443">
        <f t="shared" si="373"/>
        <v>3.309330490886</v>
      </c>
      <c r="AF1443">
        <f t="shared" si="374"/>
        <v>-197.62049104488585</v>
      </c>
      <c r="AG1443">
        <f t="shared" si="354"/>
        <v>17320.587775322751</v>
      </c>
      <c r="AH1443" t="b">
        <f t="shared" si="375"/>
        <v>1</v>
      </c>
    </row>
    <row r="1444" spans="4:34" hidden="1" x14ac:dyDescent="0.4">
      <c r="D1444" t="s">
        <v>61</v>
      </c>
      <c r="E1444" t="s">
        <v>37</v>
      </c>
      <c r="F1444" s="9">
        <v>45663.625</v>
      </c>
      <c r="G1444">
        <v>1.0911999999999999</v>
      </c>
      <c r="H1444" s="9">
        <v>45665.625</v>
      </c>
      <c r="I1444">
        <v>0.97860000000000003</v>
      </c>
      <c r="J1444" s="12">
        <v>6900.5</v>
      </c>
      <c r="K1444" s="12">
        <v>7529.83</v>
      </c>
      <c r="L1444">
        <v>10.71</v>
      </c>
      <c r="M1444">
        <v>-787.71</v>
      </c>
      <c r="N1444" s="13">
        <v>-0.1046</v>
      </c>
      <c r="O1444" t="s">
        <v>38</v>
      </c>
      <c r="Q1444">
        <f t="shared" si="366"/>
        <v>-776.99629999999945</v>
      </c>
      <c r="R1444">
        <f t="shared" si="367"/>
        <v>-787.70629999999949</v>
      </c>
      <c r="S1444">
        <f t="shared" si="368"/>
        <v>6752.8293000000003</v>
      </c>
      <c r="U1444">
        <f t="shared" si="355"/>
        <v>1512.0967740000001</v>
      </c>
      <c r="V1444">
        <f t="shared" si="369"/>
        <v>1649.9999997888001</v>
      </c>
      <c r="W1444">
        <f t="shared" si="356"/>
        <v>-170.26209675239988</v>
      </c>
      <c r="X1444">
        <f t="shared" si="357"/>
        <v>3.1297379028252004</v>
      </c>
      <c r="Y1444">
        <f t="shared" si="358"/>
        <v>-173.3918346552251</v>
      </c>
      <c r="Z1444">
        <f t="shared" si="359"/>
        <v>17510.125905576177</v>
      </c>
      <c r="AB1444">
        <f t="shared" si="370"/>
        <v>1622.457398</v>
      </c>
      <c r="AC1444">
        <f t="shared" si="371"/>
        <v>1770.4255126976</v>
      </c>
      <c r="AD1444">
        <f t="shared" si="372"/>
        <v>-182.68870301479987</v>
      </c>
      <c r="AE1444">
        <f t="shared" si="373"/>
        <v>3.3581623223804002</v>
      </c>
      <c r="AF1444">
        <f t="shared" si="374"/>
        <v>-186.04686533718026</v>
      </c>
      <c r="AG1444">
        <f t="shared" si="354"/>
        <v>17518.208266367637</v>
      </c>
      <c r="AH1444" t="b">
        <f t="shared" si="375"/>
        <v>1</v>
      </c>
    </row>
    <row r="1445" spans="4:34" hidden="1" x14ac:dyDescent="0.4">
      <c r="D1445" t="s">
        <v>48</v>
      </c>
      <c r="E1445" t="s">
        <v>37</v>
      </c>
      <c r="F1445" s="9">
        <v>45663.5</v>
      </c>
      <c r="G1445">
        <v>0.49580000000000002</v>
      </c>
      <c r="H1445" s="9">
        <v>45665.5</v>
      </c>
      <c r="I1445">
        <v>0.4078</v>
      </c>
      <c r="J1445" s="12">
        <v>5675.8</v>
      </c>
      <c r="K1445" s="12">
        <v>2814.09</v>
      </c>
      <c r="L1445">
        <v>3.85</v>
      </c>
      <c r="M1445">
        <v>-503.32</v>
      </c>
      <c r="N1445" s="13">
        <v>-0.1789</v>
      </c>
      <c r="O1445" t="s">
        <v>38</v>
      </c>
      <c r="Q1445">
        <f t="shared" si="366"/>
        <v>-499.47040000000015</v>
      </c>
      <c r="R1445">
        <f t="shared" si="367"/>
        <v>-503.32040000000018</v>
      </c>
      <c r="S1445">
        <f t="shared" si="368"/>
        <v>2314.5912400000002</v>
      </c>
      <c r="U1445">
        <f t="shared" si="355"/>
        <v>3327.9548199999999</v>
      </c>
      <c r="V1445">
        <f t="shared" si="369"/>
        <v>1649.9999997560001</v>
      </c>
      <c r="W1445">
        <f t="shared" si="356"/>
        <v>-292.86002416000008</v>
      </c>
      <c r="X1445">
        <f t="shared" si="357"/>
        <v>3.0071399753519996</v>
      </c>
      <c r="Y1445">
        <f t="shared" si="358"/>
        <v>-295.86716413535208</v>
      </c>
      <c r="Z1445">
        <f t="shared" si="359"/>
        <v>17683.5177402314</v>
      </c>
      <c r="AB1445">
        <f t="shared" si="370"/>
        <v>3636.0453109999999</v>
      </c>
      <c r="AC1445">
        <f t="shared" si="371"/>
        <v>1802.7512651938</v>
      </c>
      <c r="AD1445">
        <f t="shared" si="372"/>
        <v>-319.97198736800004</v>
      </c>
      <c r="AE1445">
        <f t="shared" si="373"/>
        <v>3.2855305430195996</v>
      </c>
      <c r="AF1445">
        <f t="shared" si="374"/>
        <v>-323.25751791101965</v>
      </c>
      <c r="AG1445">
        <f t="shared" si="354"/>
        <v>17704.255131704816</v>
      </c>
      <c r="AH1445" t="b">
        <f t="shared" si="375"/>
        <v>1</v>
      </c>
    </row>
    <row r="1446" spans="4:34" hidden="1" x14ac:dyDescent="0.4">
      <c r="D1446" t="s">
        <v>43</v>
      </c>
      <c r="E1446" t="s">
        <v>37</v>
      </c>
      <c r="F1446" s="9">
        <v>45663.458333333336</v>
      </c>
      <c r="G1446">
        <v>5.1630000000000003</v>
      </c>
      <c r="H1446" s="9">
        <v>45665.458333333336</v>
      </c>
      <c r="I1446">
        <v>4.5904999999999996</v>
      </c>
      <c r="J1446">
        <v>326.39999999999998</v>
      </c>
      <c r="K1446" s="12">
        <v>1685.5</v>
      </c>
      <c r="L1446">
        <v>2.39</v>
      </c>
      <c r="M1446">
        <v>-189.25</v>
      </c>
      <c r="N1446" s="13">
        <v>-0.1123</v>
      </c>
      <c r="O1446" t="s">
        <v>38</v>
      </c>
      <c r="Q1446">
        <f t="shared" si="366"/>
        <v>-186.8640000000002</v>
      </c>
      <c r="R1446">
        <f t="shared" si="367"/>
        <v>-189.25400000000019</v>
      </c>
      <c r="S1446">
        <f t="shared" si="368"/>
        <v>1498.3391999999997</v>
      </c>
      <c r="U1446">
        <f t="shared" si="355"/>
        <v>319.581639</v>
      </c>
      <c r="V1446">
        <f t="shared" si="369"/>
        <v>1650.0000021570002</v>
      </c>
      <c r="W1446">
        <f t="shared" si="356"/>
        <v>-182.9604883275002</v>
      </c>
      <c r="X1446">
        <f t="shared" si="357"/>
        <v>3.1170395159864999</v>
      </c>
      <c r="Y1446">
        <f t="shared" si="358"/>
        <v>-186.07752784348671</v>
      </c>
      <c r="Z1446">
        <f t="shared" si="359"/>
        <v>17979.384904366751</v>
      </c>
      <c r="AB1446">
        <f t="shared" si="370"/>
        <v>353.15001899999999</v>
      </c>
      <c r="AC1446">
        <f t="shared" si="371"/>
        <v>1823.313548097</v>
      </c>
      <c r="AD1446">
        <f t="shared" si="372"/>
        <v>-202.17838587750023</v>
      </c>
      <c r="AE1446">
        <f t="shared" si="373"/>
        <v>3.4444487103164998</v>
      </c>
      <c r="AF1446">
        <f t="shared" si="374"/>
        <v>-205.62283458781673</v>
      </c>
      <c r="AG1446">
        <f t="shared" si="354"/>
        <v>18027.512649615837</v>
      </c>
      <c r="AH1446" t="b">
        <f t="shared" si="375"/>
        <v>1</v>
      </c>
    </row>
    <row r="1447" spans="4:34" hidden="1" x14ac:dyDescent="0.4">
      <c r="D1447" t="s">
        <v>55</v>
      </c>
      <c r="E1447" t="s">
        <v>37</v>
      </c>
      <c r="F1447" s="9">
        <v>45663.125</v>
      </c>
      <c r="G1447">
        <v>1.21E-4</v>
      </c>
      <c r="H1447" s="9">
        <v>45665.125</v>
      </c>
      <c r="I1447">
        <v>1.08E-4</v>
      </c>
      <c r="J1447" s="12">
        <v>49705961.439999998</v>
      </c>
      <c r="K1447" s="12">
        <v>6020.39</v>
      </c>
      <c r="L1447">
        <v>8.5299999999999994</v>
      </c>
      <c r="M1447">
        <v>-670.62</v>
      </c>
      <c r="N1447" s="13">
        <v>-0.1114</v>
      </c>
      <c r="O1447" t="s">
        <v>38</v>
      </c>
      <c r="Q1447">
        <f t="shared" si="366"/>
        <v>-646.17749872000013</v>
      </c>
      <c r="R1447">
        <f t="shared" si="367"/>
        <v>-654.7074987200001</v>
      </c>
      <c r="S1447">
        <f t="shared" si="368"/>
        <v>5368.2438355199993</v>
      </c>
      <c r="U1447">
        <f t="shared" si="355"/>
        <v>13636363.636364</v>
      </c>
      <c r="V1447">
        <f t="shared" si="369"/>
        <v>1650.0000000000439</v>
      </c>
      <c r="W1447">
        <f t="shared" si="356"/>
        <v>-177.27272727273206</v>
      </c>
      <c r="X1447">
        <f t="shared" si="357"/>
        <v>3.1227272727273561</v>
      </c>
      <c r="Y1447">
        <f t="shared" si="358"/>
        <v>-180.39545454545942</v>
      </c>
      <c r="Z1447">
        <f t="shared" si="359"/>
        <v>18165.462432210239</v>
      </c>
      <c r="AB1447">
        <f t="shared" si="370"/>
        <v>15235275.156403</v>
      </c>
      <c r="AC1447">
        <f t="shared" si="371"/>
        <v>1843.468293924763</v>
      </c>
      <c r="AD1447">
        <f t="shared" si="372"/>
        <v>-198.05857703323906</v>
      </c>
      <c r="AE1447">
        <f t="shared" si="373"/>
        <v>3.4888780108162867</v>
      </c>
      <c r="AF1447">
        <f t="shared" si="374"/>
        <v>-201.54745504405534</v>
      </c>
      <c r="AG1447">
        <f t="shared" si="354"/>
        <v>18233.135484203653</v>
      </c>
      <c r="AH1447" t="b">
        <f t="shared" si="375"/>
        <v>1</v>
      </c>
    </row>
    <row r="1448" spans="4:34" hidden="1" x14ac:dyDescent="0.4">
      <c r="D1448" t="s">
        <v>54</v>
      </c>
      <c r="E1448" t="s">
        <v>37</v>
      </c>
      <c r="F1448" s="9">
        <v>45663.083333333336</v>
      </c>
      <c r="G1448">
        <v>214.63</v>
      </c>
      <c r="H1448" s="9">
        <v>45665.083333333336</v>
      </c>
      <c r="I1448">
        <v>201.2</v>
      </c>
      <c r="J1448">
        <v>20.361999999999998</v>
      </c>
      <c r="K1448" s="12">
        <v>4370.42</v>
      </c>
      <c r="L1448">
        <v>6.35</v>
      </c>
      <c r="M1448">
        <v>-279.81</v>
      </c>
      <c r="N1448" s="13">
        <v>-6.4000000000000001E-2</v>
      </c>
      <c r="O1448" t="s">
        <v>38</v>
      </c>
      <c r="Q1448">
        <f t="shared" si="366"/>
        <v>-273.46166000000011</v>
      </c>
      <c r="R1448">
        <f t="shared" si="367"/>
        <v>-279.81166000000013</v>
      </c>
      <c r="S1448">
        <f t="shared" si="368"/>
        <v>4096.8343999999997</v>
      </c>
      <c r="U1448">
        <f t="shared" si="355"/>
        <v>7.6876490000000004</v>
      </c>
      <c r="V1448">
        <f t="shared" si="369"/>
        <v>1650.0001048700001</v>
      </c>
      <c r="W1448">
        <f t="shared" si="356"/>
        <v>-103.24512607000005</v>
      </c>
      <c r="X1448">
        <f t="shared" si="357"/>
        <v>3.1967550836699998</v>
      </c>
      <c r="Y1448">
        <f t="shared" si="358"/>
        <v>-106.44188115367005</v>
      </c>
      <c r="Z1448">
        <f t="shared" si="359"/>
        <v>18345.857886755697</v>
      </c>
      <c r="AB1448">
        <f t="shared" si="370"/>
        <v>8.6448199999999993</v>
      </c>
      <c r="AC1448">
        <f t="shared" si="371"/>
        <v>1855.4377165999997</v>
      </c>
      <c r="AD1448">
        <f t="shared" si="372"/>
        <v>-116.09993260000005</v>
      </c>
      <c r="AE1448">
        <f t="shared" si="373"/>
        <v>3.5947755005999995</v>
      </c>
      <c r="AF1448">
        <f t="shared" si="374"/>
        <v>-119.69470810060004</v>
      </c>
      <c r="AG1448">
        <f t="shared" si="354"/>
        <v>18434.682939247708</v>
      </c>
      <c r="AH1448" t="b">
        <f t="shared" si="375"/>
        <v>1</v>
      </c>
    </row>
    <row r="1449" spans="4:34" hidden="1" x14ac:dyDescent="0.4">
      <c r="D1449" t="s">
        <v>53</v>
      </c>
      <c r="E1449" t="s">
        <v>37</v>
      </c>
      <c r="F1449" s="9">
        <v>45663.083333333336</v>
      </c>
      <c r="G1449">
        <v>712.13</v>
      </c>
      <c r="H1449" s="9">
        <v>45665.083333333336</v>
      </c>
      <c r="I1449">
        <v>699.77</v>
      </c>
      <c r="J1449">
        <v>12.542</v>
      </c>
      <c r="K1449" s="12">
        <v>8932.15</v>
      </c>
      <c r="L1449">
        <v>13.28</v>
      </c>
      <c r="M1449">
        <v>-168.3</v>
      </c>
      <c r="N1449" s="13">
        <v>-1.8800000000000001E-2</v>
      </c>
      <c r="O1449" t="s">
        <v>38</v>
      </c>
      <c r="Q1449">
        <f t="shared" si="366"/>
        <v>-155.01912000000016</v>
      </c>
      <c r="R1449">
        <f t="shared" si="367"/>
        <v>-168.29912000000016</v>
      </c>
      <c r="S1449">
        <f t="shared" si="368"/>
        <v>8776.5153399999999</v>
      </c>
      <c r="U1449">
        <f t="shared" si="355"/>
        <v>2.3169930000000001</v>
      </c>
      <c r="V1449">
        <f t="shared" si="369"/>
        <v>1650.00022509</v>
      </c>
      <c r="W1449">
        <f t="shared" si="356"/>
        <v>-28.638033480000033</v>
      </c>
      <c r="X1449">
        <f t="shared" si="357"/>
        <v>3.2713624167000006</v>
      </c>
      <c r="Y1449">
        <f t="shared" si="358"/>
        <v>-31.909395896700033</v>
      </c>
      <c r="Z1449">
        <f t="shared" si="359"/>
        <v>18452.299767909368</v>
      </c>
      <c r="AB1449">
        <f t="shared" si="370"/>
        <v>2.610525</v>
      </c>
      <c r="AC1449">
        <f t="shared" si="371"/>
        <v>1859.03316825</v>
      </c>
      <c r="AD1449">
        <f t="shared" si="372"/>
        <v>-32.266089000000036</v>
      </c>
      <c r="AE1449">
        <f t="shared" si="373"/>
        <v>3.6858002475000005</v>
      </c>
      <c r="AF1449">
        <f t="shared" si="374"/>
        <v>-35.951889247500034</v>
      </c>
      <c r="AG1449">
        <f t="shared" si="354"/>
        <v>18554.377647348309</v>
      </c>
      <c r="AH1449" t="b">
        <f t="shared" si="375"/>
        <v>1</v>
      </c>
    </row>
    <row r="1450" spans="4:34" hidden="1" x14ac:dyDescent="0.4">
      <c r="D1450" t="s">
        <v>50</v>
      </c>
      <c r="E1450" t="s">
        <v>37</v>
      </c>
      <c r="F1450" s="9">
        <v>45662.833333333336</v>
      </c>
      <c r="G1450">
        <v>557.29999999999995</v>
      </c>
      <c r="H1450" s="9">
        <v>45664.833333333336</v>
      </c>
      <c r="I1450">
        <v>503.3</v>
      </c>
      <c r="J1450">
        <v>19.912500000000001</v>
      </c>
      <c r="K1450" s="12">
        <v>11097.26</v>
      </c>
      <c r="L1450">
        <v>15.84</v>
      </c>
      <c r="M1450" s="12">
        <v>-1091.1099999999999</v>
      </c>
      <c r="N1450" s="13">
        <v>-9.8299999999999998E-2</v>
      </c>
      <c r="O1450" t="s">
        <v>38</v>
      </c>
      <c r="Q1450">
        <f t="shared" si="366"/>
        <v>-1075.274999999999</v>
      </c>
      <c r="R1450">
        <f t="shared" si="367"/>
        <v>-1091.1149999999989</v>
      </c>
      <c r="S1450">
        <f t="shared" si="368"/>
        <v>10021.96125</v>
      </c>
      <c r="U1450">
        <f t="shared" si="355"/>
        <v>2.9607030000000001</v>
      </c>
      <c r="V1450">
        <f t="shared" si="369"/>
        <v>1649.9997819</v>
      </c>
      <c r="W1450">
        <f t="shared" si="356"/>
        <v>-159.87796199999983</v>
      </c>
      <c r="X1450">
        <f t="shared" si="357"/>
        <v>3.1401216018000002</v>
      </c>
      <c r="Y1450">
        <f t="shared" si="358"/>
        <v>-163.01808360179982</v>
      </c>
      <c r="Z1450">
        <f t="shared" si="359"/>
        <v>18484.209163806066</v>
      </c>
      <c r="AB1450">
        <f t="shared" si="370"/>
        <v>3.3690709999999999</v>
      </c>
      <c r="AC1450">
        <f t="shared" si="371"/>
        <v>1877.5832682999999</v>
      </c>
      <c r="AD1450">
        <f t="shared" si="372"/>
        <v>-181.9298339999998</v>
      </c>
      <c r="AE1450">
        <f t="shared" si="373"/>
        <v>3.5732367026</v>
      </c>
      <c r="AF1450">
        <f t="shared" si="374"/>
        <v>-185.50307070259981</v>
      </c>
      <c r="AG1450">
        <f t="shared" ref="AG1450:AG1474" si="376">AG1451*AH1450 + (1-AH1450)*AI1450+AF1450</f>
        <v>18590.329536595807</v>
      </c>
      <c r="AH1450" t="b">
        <f t="shared" si="375"/>
        <v>1</v>
      </c>
    </row>
    <row r="1451" spans="4:34" hidden="1" x14ac:dyDescent="0.4">
      <c r="D1451" t="s">
        <v>56</v>
      </c>
      <c r="E1451" t="s">
        <v>37</v>
      </c>
      <c r="F1451" s="9">
        <v>45664</v>
      </c>
      <c r="G1451" s="12">
        <v>3688.96</v>
      </c>
      <c r="H1451" s="9">
        <v>45664.5</v>
      </c>
      <c r="I1451" s="12">
        <v>3632.51</v>
      </c>
      <c r="J1451">
        <v>1.4120999999999999</v>
      </c>
      <c r="K1451" s="12">
        <v>5209.51</v>
      </c>
      <c r="L1451">
        <v>7.75</v>
      </c>
      <c r="M1451">
        <v>-87.46</v>
      </c>
      <c r="N1451" s="13">
        <v>-1.6799999999999999E-2</v>
      </c>
      <c r="O1451" t="s">
        <v>49</v>
      </c>
      <c r="Q1451">
        <f t="shared" si="366"/>
        <v>-79.713044999999738</v>
      </c>
      <c r="R1451">
        <f t="shared" si="367"/>
        <v>-87.463044999999738</v>
      </c>
      <c r="S1451">
        <f t="shared" si="368"/>
        <v>5129.4673709999997</v>
      </c>
      <c r="U1451">
        <f t="shared" si="355"/>
        <v>0.44728099999999998</v>
      </c>
      <c r="V1451">
        <f t="shared" si="369"/>
        <v>1650.00171776</v>
      </c>
      <c r="W1451">
        <f t="shared" si="356"/>
        <v>-25.249012449999917</v>
      </c>
      <c r="X1451">
        <f t="shared" si="357"/>
        <v>3.2747544230700001</v>
      </c>
      <c r="Y1451">
        <f t="shared" si="358"/>
        <v>-28.523766873069917</v>
      </c>
      <c r="Z1451">
        <f t="shared" si="359"/>
        <v>18647.227247407867</v>
      </c>
      <c r="AB1451">
        <f t="shared" si="370"/>
        <v>0.50985499999999995</v>
      </c>
      <c r="AC1451">
        <f t="shared" si="371"/>
        <v>1880.8347007999998</v>
      </c>
      <c r="AD1451">
        <f t="shared" si="372"/>
        <v>-28.781314749999904</v>
      </c>
      <c r="AE1451">
        <f t="shared" si="373"/>
        <v>3.7328880868500001</v>
      </c>
      <c r="AF1451">
        <f t="shared" si="374"/>
        <v>-32.514202836849904</v>
      </c>
      <c r="AG1451">
        <f t="shared" si="376"/>
        <v>18775.832607298405</v>
      </c>
      <c r="AH1451" t="b">
        <f t="shared" si="375"/>
        <v>1</v>
      </c>
    </row>
    <row r="1452" spans="4:34" hidden="1" x14ac:dyDescent="0.4">
      <c r="D1452" t="s">
        <v>58</v>
      </c>
      <c r="E1452" t="s">
        <v>37</v>
      </c>
      <c r="F1452" s="9">
        <v>45662.208333333336</v>
      </c>
      <c r="G1452">
        <v>23.7</v>
      </c>
      <c r="H1452" s="9">
        <v>45664.208333333336</v>
      </c>
      <c r="I1452">
        <v>23.42</v>
      </c>
      <c r="J1452">
        <v>277.73</v>
      </c>
      <c r="K1452" s="12">
        <v>6582.36</v>
      </c>
      <c r="L1452">
        <v>9.81</v>
      </c>
      <c r="M1452">
        <v>-87.58</v>
      </c>
      <c r="N1452" s="13">
        <v>-1.3299999999999999E-2</v>
      </c>
      <c r="O1452" t="s">
        <v>38</v>
      </c>
      <c r="Q1452">
        <f t="shared" si="366"/>
        <v>-77.764399999999341</v>
      </c>
      <c r="R1452">
        <f t="shared" si="367"/>
        <v>-87.574399999999343</v>
      </c>
      <c r="S1452">
        <f t="shared" si="368"/>
        <v>6504.4366000000009</v>
      </c>
      <c r="U1452">
        <f t="shared" si="355"/>
        <v>69.620253000000005</v>
      </c>
      <c r="V1452">
        <f t="shared" si="369"/>
        <v>1649.9999961000001</v>
      </c>
      <c r="W1452">
        <f t="shared" si="356"/>
        <v>-19.493670839999833</v>
      </c>
      <c r="X1452">
        <f t="shared" si="357"/>
        <v>3.2805063213600003</v>
      </c>
      <c r="Y1452">
        <f t="shared" si="358"/>
        <v>-22.774177161359834</v>
      </c>
      <c r="Z1452">
        <f t="shared" si="359"/>
        <v>18675.751014280937</v>
      </c>
      <c r="AB1452">
        <f t="shared" si="370"/>
        <v>79.469802000000001</v>
      </c>
      <c r="AC1452">
        <f t="shared" si="371"/>
        <v>1883.4343074000001</v>
      </c>
      <c r="AD1452">
        <f t="shared" si="372"/>
        <v>-22.251544559999807</v>
      </c>
      <c r="AE1452">
        <f t="shared" si="373"/>
        <v>3.7446170702400003</v>
      </c>
      <c r="AF1452">
        <f t="shared" si="374"/>
        <v>-25.996161630239808</v>
      </c>
      <c r="AG1452">
        <f t="shared" si="376"/>
        <v>18808.346810135256</v>
      </c>
      <c r="AH1452" t="b">
        <f t="shared" si="375"/>
        <v>1</v>
      </c>
    </row>
    <row r="1453" spans="4:34" hidden="1" x14ac:dyDescent="0.4">
      <c r="D1453" t="s">
        <v>56</v>
      </c>
      <c r="E1453" t="s">
        <v>37</v>
      </c>
      <c r="F1453" s="9">
        <v>45661.5</v>
      </c>
      <c r="G1453" s="12">
        <v>3601.29</v>
      </c>
      <c r="H1453" s="9">
        <v>45664</v>
      </c>
      <c r="I1453" s="12">
        <v>3688.96</v>
      </c>
      <c r="J1453">
        <v>1.4432</v>
      </c>
      <c r="K1453" s="12">
        <v>5197.6499999999996</v>
      </c>
      <c r="L1453">
        <v>7.89</v>
      </c>
      <c r="M1453">
        <v>118.63</v>
      </c>
      <c r="N1453" s="13">
        <v>2.2800000000000001E-2</v>
      </c>
      <c r="O1453" t="s">
        <v>57</v>
      </c>
      <c r="Q1453">
        <f t="shared" si="366"/>
        <v>126.5253440000001</v>
      </c>
      <c r="R1453">
        <f t="shared" si="367"/>
        <v>118.6353440000001</v>
      </c>
      <c r="S1453">
        <f t="shared" si="368"/>
        <v>5323.907072</v>
      </c>
      <c r="U1453">
        <f t="shared" si="355"/>
        <v>0.45816899999999999</v>
      </c>
      <c r="V1453">
        <f t="shared" si="369"/>
        <v>1649.9994380099999</v>
      </c>
      <c r="W1453">
        <f t="shared" si="356"/>
        <v>40.167676230000033</v>
      </c>
      <c r="X1453">
        <f t="shared" si="357"/>
        <v>3.3401665522499999</v>
      </c>
      <c r="Y1453">
        <f t="shared" si="358"/>
        <v>36.827509677750037</v>
      </c>
      <c r="Z1453">
        <f t="shared" si="359"/>
        <v>18698.525191442295</v>
      </c>
      <c r="AB1453">
        <f t="shared" si="370"/>
        <v>0.52182399999999995</v>
      </c>
      <c r="AC1453">
        <f t="shared" si="371"/>
        <v>1879.2395529599999</v>
      </c>
      <c r="AD1453">
        <f t="shared" si="372"/>
        <v>45.748310080000032</v>
      </c>
      <c r="AE1453">
        <f t="shared" si="373"/>
        <v>3.8042274159999998</v>
      </c>
      <c r="AF1453">
        <f t="shared" si="374"/>
        <v>41.944082664000035</v>
      </c>
      <c r="AG1453">
        <f t="shared" si="376"/>
        <v>18834.342971765494</v>
      </c>
      <c r="AH1453" t="b">
        <f t="shared" si="375"/>
        <v>1</v>
      </c>
    </row>
    <row r="1454" spans="4:34" hidden="1" x14ac:dyDescent="0.4">
      <c r="D1454" t="s">
        <v>59</v>
      </c>
      <c r="E1454" t="s">
        <v>37</v>
      </c>
      <c r="F1454" s="9">
        <v>45661.333333333336</v>
      </c>
      <c r="G1454" s="12">
        <v>98247.46</v>
      </c>
      <c r="H1454" s="9">
        <v>45663.833333333336</v>
      </c>
      <c r="I1454" s="12">
        <v>101848.01</v>
      </c>
      <c r="J1454">
        <v>0.10115</v>
      </c>
      <c r="K1454" s="12">
        <v>9938.68</v>
      </c>
      <c r="L1454">
        <v>15.18</v>
      </c>
      <c r="M1454">
        <v>349.02</v>
      </c>
      <c r="N1454" s="13">
        <v>3.5099999999999999E-2</v>
      </c>
      <c r="O1454" t="s">
        <v>57</v>
      </c>
      <c r="Q1454">
        <f t="shared" si="366"/>
        <v>364.19563249999885</v>
      </c>
      <c r="R1454">
        <f t="shared" si="367"/>
        <v>349.01563249999884</v>
      </c>
      <c r="S1454">
        <f t="shared" si="368"/>
        <v>10301.9262115</v>
      </c>
      <c r="U1454">
        <f t="shared" si="355"/>
        <v>1.6794E-2</v>
      </c>
      <c r="V1454">
        <f t="shared" si="369"/>
        <v>1649.9678432400001</v>
      </c>
      <c r="W1454">
        <f t="shared" si="356"/>
        <v>60.467636699999801</v>
      </c>
      <c r="X1454">
        <f t="shared" si="357"/>
        <v>3.3604033231799999</v>
      </c>
      <c r="Y1454">
        <f t="shared" si="358"/>
        <v>57.107233376819799</v>
      </c>
      <c r="Z1454">
        <f t="shared" si="359"/>
        <v>18661.697681764545</v>
      </c>
      <c r="AB1454">
        <f t="shared" si="370"/>
        <v>1.9061999999999999E-2</v>
      </c>
      <c r="AC1454">
        <f t="shared" si="371"/>
        <v>1872.7930825200001</v>
      </c>
      <c r="AD1454">
        <f t="shared" si="372"/>
        <v>68.633684099999769</v>
      </c>
      <c r="AE1454">
        <f t="shared" si="373"/>
        <v>3.8142198491400001</v>
      </c>
      <c r="AF1454">
        <f t="shared" si="374"/>
        <v>64.819464250859767</v>
      </c>
      <c r="AG1454">
        <f t="shared" si="376"/>
        <v>18792.398889101496</v>
      </c>
      <c r="AH1454" t="b">
        <f t="shared" si="375"/>
        <v>1</v>
      </c>
    </row>
    <row r="1455" spans="4:34" hidden="1" x14ac:dyDescent="0.4">
      <c r="D1455" t="s">
        <v>52</v>
      </c>
      <c r="E1455" t="s">
        <v>37</v>
      </c>
      <c r="F1455" s="9">
        <v>45661.541666666664</v>
      </c>
      <c r="G1455">
        <v>12.308</v>
      </c>
      <c r="H1455" s="9">
        <v>45663.541666666664</v>
      </c>
      <c r="I1455">
        <v>12.09</v>
      </c>
      <c r="J1455">
        <v>190.48</v>
      </c>
      <c r="K1455" s="12">
        <v>2344.54</v>
      </c>
      <c r="L1455">
        <v>3.49</v>
      </c>
      <c r="M1455">
        <v>-45.01</v>
      </c>
      <c r="N1455" s="13">
        <v>-1.9199999999999998E-2</v>
      </c>
      <c r="O1455" t="s">
        <v>38</v>
      </c>
      <c r="Q1455">
        <f t="shared" si="366"/>
        <v>-41.524639999999991</v>
      </c>
      <c r="R1455">
        <f t="shared" si="367"/>
        <v>-45.014639999999993</v>
      </c>
      <c r="S1455">
        <f t="shared" si="368"/>
        <v>2302.9031999999997</v>
      </c>
      <c r="U1455">
        <f t="shared" si="355"/>
        <v>134.05914899999999</v>
      </c>
      <c r="V1455">
        <f t="shared" si="369"/>
        <v>1650.0000058919998</v>
      </c>
      <c r="W1455">
        <f t="shared" si="356"/>
        <v>-29.224894481999993</v>
      </c>
      <c r="X1455">
        <f t="shared" si="357"/>
        <v>3.2707751173019997</v>
      </c>
      <c r="Y1455">
        <f t="shared" si="358"/>
        <v>-32.495669599301991</v>
      </c>
      <c r="Z1455">
        <f t="shared" si="359"/>
        <v>18604.590448387724</v>
      </c>
      <c r="AB1455">
        <f t="shared" si="370"/>
        <v>152.458035</v>
      </c>
      <c r="AC1455">
        <f t="shared" si="371"/>
        <v>1876.45349478</v>
      </c>
      <c r="AD1455">
        <f t="shared" si="372"/>
        <v>-33.235851629999992</v>
      </c>
      <c r="AE1455">
        <f t="shared" si="373"/>
        <v>3.7196711379299998</v>
      </c>
      <c r="AF1455">
        <f t="shared" si="374"/>
        <v>-36.955522767929992</v>
      </c>
      <c r="AG1455">
        <f t="shared" si="376"/>
        <v>18727.579424850635</v>
      </c>
      <c r="AH1455" t="b">
        <f t="shared" si="375"/>
        <v>1</v>
      </c>
    </row>
    <row r="1456" spans="4:34" hidden="1" x14ac:dyDescent="0.4">
      <c r="D1456" t="s">
        <v>61</v>
      </c>
      <c r="E1456" t="s">
        <v>37</v>
      </c>
      <c r="F1456" s="9">
        <v>45661.541666666664</v>
      </c>
      <c r="G1456">
        <v>1.0690999999999999</v>
      </c>
      <c r="H1456" s="9">
        <v>45663.541666666664</v>
      </c>
      <c r="I1456">
        <v>1.0767</v>
      </c>
      <c r="J1456" s="12">
        <v>7039.2</v>
      </c>
      <c r="K1456" s="12">
        <v>7525.61</v>
      </c>
      <c r="L1456">
        <v>11.33</v>
      </c>
      <c r="M1456">
        <v>42.17</v>
      </c>
      <c r="N1456" s="13">
        <v>5.5999999999999999E-3</v>
      </c>
      <c r="O1456" t="s">
        <v>38</v>
      </c>
      <c r="Q1456">
        <f t="shared" si="366"/>
        <v>53.497920000000356</v>
      </c>
      <c r="R1456">
        <f t="shared" si="367"/>
        <v>42.167920000000358</v>
      </c>
      <c r="S1456">
        <f t="shared" si="368"/>
        <v>7579.10664</v>
      </c>
      <c r="U1456">
        <f t="shared" si="355"/>
        <v>1543.354223</v>
      </c>
      <c r="V1456">
        <f t="shared" si="369"/>
        <v>1649.9999998092999</v>
      </c>
      <c r="W1456">
        <f t="shared" si="356"/>
        <v>11.729492094800079</v>
      </c>
      <c r="X1456">
        <f t="shared" si="357"/>
        <v>3.3117294917133999</v>
      </c>
      <c r="Y1456">
        <f t="shared" si="358"/>
        <v>8.417762603086679</v>
      </c>
      <c r="Z1456">
        <f t="shared" si="359"/>
        <v>18637.086117987026</v>
      </c>
      <c r="AB1456">
        <f t="shared" si="370"/>
        <v>1754.2761929999999</v>
      </c>
      <c r="AC1456">
        <f t="shared" si="371"/>
        <v>1875.4966779362999</v>
      </c>
      <c r="AD1456">
        <f t="shared" si="372"/>
        <v>13.332499066800089</v>
      </c>
      <c r="AE1456">
        <f t="shared" si="373"/>
        <v>3.7643258549393996</v>
      </c>
      <c r="AF1456">
        <f t="shared" si="374"/>
        <v>9.5681732118606888</v>
      </c>
      <c r="AG1456">
        <f t="shared" si="376"/>
        <v>18764.534947618566</v>
      </c>
      <c r="AH1456" t="b">
        <f t="shared" si="375"/>
        <v>1</v>
      </c>
    </row>
    <row r="1457" spans="4:34" hidden="1" x14ac:dyDescent="0.4">
      <c r="D1457" t="s">
        <v>43</v>
      </c>
      <c r="E1457" t="s">
        <v>37</v>
      </c>
      <c r="F1457" s="9">
        <v>45661.291666666664</v>
      </c>
      <c r="G1457">
        <v>4.923</v>
      </c>
      <c r="H1457" s="9">
        <v>45663.291666666664</v>
      </c>
      <c r="I1457">
        <v>5.1798999999999999</v>
      </c>
      <c r="J1457">
        <v>340.6</v>
      </c>
      <c r="K1457" s="12">
        <v>1677.01</v>
      </c>
      <c r="L1457">
        <v>2.58</v>
      </c>
      <c r="M1457">
        <v>84.92</v>
      </c>
      <c r="N1457" s="13">
        <v>5.0599999999999999E-2</v>
      </c>
      <c r="O1457" t="s">
        <v>38</v>
      </c>
      <c r="Q1457">
        <f t="shared" si="366"/>
        <v>87.500139999999973</v>
      </c>
      <c r="R1457">
        <f t="shared" si="367"/>
        <v>84.920139999999975</v>
      </c>
      <c r="S1457">
        <f t="shared" si="368"/>
        <v>1764.27394</v>
      </c>
      <c r="U1457">
        <f t="shared" si="355"/>
        <v>335.16148700000002</v>
      </c>
      <c r="V1457">
        <f t="shared" si="369"/>
        <v>1650.0000005010002</v>
      </c>
      <c r="W1457">
        <f t="shared" si="356"/>
        <v>86.102986010299972</v>
      </c>
      <c r="X1457">
        <f t="shared" si="357"/>
        <v>3.3861029870123001</v>
      </c>
      <c r="Y1457">
        <f t="shared" si="358"/>
        <v>82.716883023287679</v>
      </c>
      <c r="Z1457">
        <f t="shared" si="359"/>
        <v>18628.668355383939</v>
      </c>
      <c r="AB1457">
        <f t="shared" si="370"/>
        <v>379.06590299999999</v>
      </c>
      <c r="AC1457">
        <f t="shared" si="371"/>
        <v>1866.1414404689999</v>
      </c>
      <c r="AD1457">
        <f t="shared" si="372"/>
        <v>97.382030480699967</v>
      </c>
      <c r="AE1457">
        <f t="shared" si="373"/>
        <v>3.8296649114186998</v>
      </c>
      <c r="AF1457">
        <f t="shared" si="374"/>
        <v>93.552365569281264</v>
      </c>
      <c r="AG1457">
        <f t="shared" si="376"/>
        <v>18754.966774406705</v>
      </c>
      <c r="AH1457" t="b">
        <f t="shared" si="375"/>
        <v>1</v>
      </c>
    </row>
    <row r="1458" spans="4:34" hidden="1" x14ac:dyDescent="0.4">
      <c r="D1458" t="s">
        <v>48</v>
      </c>
      <c r="E1458" t="s">
        <v>37</v>
      </c>
      <c r="F1458" s="9">
        <v>45661.291666666664</v>
      </c>
      <c r="G1458">
        <v>0.49220000000000003</v>
      </c>
      <c r="H1458" s="9">
        <v>45663.291666666664</v>
      </c>
      <c r="I1458">
        <v>0.49399999999999999</v>
      </c>
      <c r="J1458" s="12">
        <v>5716.1</v>
      </c>
      <c r="K1458" s="12">
        <v>2813.48</v>
      </c>
      <c r="L1458">
        <v>4.2300000000000004</v>
      </c>
      <c r="M1458">
        <v>6.06</v>
      </c>
      <c r="N1458" s="13">
        <v>2.2000000000000001E-3</v>
      </c>
      <c r="O1458" t="s">
        <v>38</v>
      </c>
      <c r="Q1458">
        <f t="shared" si="366"/>
        <v>10.288979999999819</v>
      </c>
      <c r="R1458">
        <f t="shared" si="367"/>
        <v>6.0589799999998188</v>
      </c>
      <c r="S1458">
        <f t="shared" si="368"/>
        <v>2823.7534000000001</v>
      </c>
      <c r="U1458">
        <f t="shared" si="355"/>
        <v>3352.2958149999999</v>
      </c>
      <c r="V1458">
        <f t="shared" si="369"/>
        <v>1650.0000001430001</v>
      </c>
      <c r="W1458">
        <f t="shared" si="356"/>
        <v>6.0341324669998935</v>
      </c>
      <c r="X1458">
        <f t="shared" si="357"/>
        <v>3.3060341327530001</v>
      </c>
      <c r="Y1458">
        <f t="shared" si="358"/>
        <v>2.7280983342468934</v>
      </c>
      <c r="Z1458">
        <f t="shared" si="359"/>
        <v>18545.951472360652</v>
      </c>
      <c r="AB1458">
        <f t="shared" si="370"/>
        <v>3790.802408</v>
      </c>
      <c r="AC1458">
        <f t="shared" si="371"/>
        <v>1865.8329452176001</v>
      </c>
      <c r="AD1458">
        <f t="shared" si="372"/>
        <v>6.8234443343998796</v>
      </c>
      <c r="AE1458">
        <f t="shared" si="373"/>
        <v>3.7384893347696</v>
      </c>
      <c r="AF1458">
        <f t="shared" si="374"/>
        <v>3.0849549996302796</v>
      </c>
      <c r="AG1458">
        <f t="shared" si="376"/>
        <v>18661.414408837423</v>
      </c>
      <c r="AH1458" t="b">
        <f t="shared" si="375"/>
        <v>1</v>
      </c>
    </row>
    <row r="1459" spans="4:34" hidden="1" x14ac:dyDescent="0.4">
      <c r="D1459" t="s">
        <v>60</v>
      </c>
      <c r="E1459" t="s">
        <v>37</v>
      </c>
      <c r="F1459" s="9">
        <v>45660.625</v>
      </c>
      <c r="G1459">
        <v>2.4329000000000001</v>
      </c>
      <c r="H1459" s="9">
        <v>45663.125</v>
      </c>
      <c r="I1459">
        <v>2.4045999999999998</v>
      </c>
      <c r="J1459">
        <v>817.6</v>
      </c>
      <c r="K1459" s="12">
        <v>1989.21</v>
      </c>
      <c r="L1459">
        <v>2.97</v>
      </c>
      <c r="M1459">
        <v>-26.1</v>
      </c>
      <c r="N1459" s="13">
        <v>-1.3100000000000001E-2</v>
      </c>
      <c r="O1459" t="s">
        <v>57</v>
      </c>
      <c r="Q1459">
        <f t="shared" si="366"/>
        <v>-23.138080000000176</v>
      </c>
      <c r="R1459">
        <f t="shared" si="367"/>
        <v>-26.108080000000175</v>
      </c>
      <c r="S1459">
        <f t="shared" si="368"/>
        <v>1966.0009599999998</v>
      </c>
      <c r="U1459">
        <f t="shared" si="355"/>
        <v>678.20296800000006</v>
      </c>
      <c r="V1459">
        <f t="shared" si="369"/>
        <v>1650.0000008472002</v>
      </c>
      <c r="W1459">
        <f t="shared" si="356"/>
        <v>-19.193143994400145</v>
      </c>
      <c r="X1459">
        <f t="shared" si="357"/>
        <v>3.2808068577000009</v>
      </c>
      <c r="Y1459">
        <f t="shared" si="358"/>
        <v>-22.473950852100145</v>
      </c>
      <c r="Z1459">
        <f t="shared" si="359"/>
        <v>18543.223374026406</v>
      </c>
      <c r="AB1459">
        <f t="shared" si="370"/>
        <v>767.96324700000002</v>
      </c>
      <c r="AC1459">
        <f t="shared" si="371"/>
        <v>1868.3777836263</v>
      </c>
      <c r="AD1459">
        <f t="shared" si="372"/>
        <v>-21.733359890100164</v>
      </c>
      <c r="AE1459">
        <f t="shared" si="373"/>
        <v>3.7150222073625008</v>
      </c>
      <c r="AF1459">
        <f t="shared" si="374"/>
        <v>-25.448382097462666</v>
      </c>
      <c r="AG1459">
        <f t="shared" si="376"/>
        <v>18658.329453837792</v>
      </c>
      <c r="AH1459" t="b">
        <f t="shared" si="375"/>
        <v>1</v>
      </c>
    </row>
    <row r="1460" spans="4:34" hidden="1" x14ac:dyDescent="0.4">
      <c r="D1460" t="s">
        <v>55</v>
      </c>
      <c r="E1460" t="s">
        <v>37</v>
      </c>
      <c r="F1460" s="9">
        <v>45661.125</v>
      </c>
      <c r="G1460">
        <v>1.1900000000000001E-4</v>
      </c>
      <c r="H1460" s="9">
        <v>45663.125</v>
      </c>
      <c r="I1460">
        <v>1.21E-4</v>
      </c>
      <c r="J1460" s="12">
        <v>50665978.939999998</v>
      </c>
      <c r="K1460" s="12">
        <v>6008.48</v>
      </c>
      <c r="L1460">
        <v>9.11</v>
      </c>
      <c r="M1460">
        <v>119.08</v>
      </c>
      <c r="N1460" s="13">
        <v>1.9800000000000002E-2</v>
      </c>
      <c r="O1460" t="s">
        <v>38</v>
      </c>
      <c r="Q1460">
        <f t="shared" si="366"/>
        <v>101.33195787999971</v>
      </c>
      <c r="R1460">
        <f t="shared" si="367"/>
        <v>92.221957879999707</v>
      </c>
      <c r="S1460">
        <f t="shared" si="368"/>
        <v>6130.5834517399999</v>
      </c>
      <c r="U1460">
        <f t="shared" si="355"/>
        <v>13865546.218487</v>
      </c>
      <c r="V1460">
        <f t="shared" si="369"/>
        <v>1649.9999999999532</v>
      </c>
      <c r="W1460">
        <f t="shared" si="356"/>
        <v>27.731092436973924</v>
      </c>
      <c r="X1460">
        <f t="shared" si="357"/>
        <v>3.3277310924368804</v>
      </c>
      <c r="Y1460">
        <f t="shared" si="358"/>
        <v>24.403361344537043</v>
      </c>
      <c r="Z1460">
        <f t="shared" si="359"/>
        <v>18565.697324878507</v>
      </c>
      <c r="AB1460">
        <f t="shared" si="370"/>
        <v>15677466.801986</v>
      </c>
      <c r="AC1460">
        <f t="shared" si="371"/>
        <v>1865.618549436334</v>
      </c>
      <c r="AD1460">
        <f t="shared" si="372"/>
        <v>31.354933603971912</v>
      </c>
      <c r="AE1460">
        <f t="shared" si="373"/>
        <v>3.7625920324766402</v>
      </c>
      <c r="AF1460">
        <f t="shared" si="374"/>
        <v>27.592341571495272</v>
      </c>
      <c r="AG1460">
        <f t="shared" si="376"/>
        <v>18683.777835935256</v>
      </c>
      <c r="AH1460" t="b">
        <f t="shared" si="375"/>
        <v>1</v>
      </c>
    </row>
    <row r="1461" spans="4:34" hidden="1" x14ac:dyDescent="0.4">
      <c r="D1461" t="s">
        <v>53</v>
      </c>
      <c r="E1461" t="s">
        <v>37</v>
      </c>
      <c r="F1461" s="9">
        <v>45660.916666666664</v>
      </c>
      <c r="G1461">
        <v>713.99</v>
      </c>
      <c r="H1461" s="9">
        <v>45662.916666666664</v>
      </c>
      <c r="I1461">
        <v>707.9</v>
      </c>
      <c r="J1461">
        <v>12.522</v>
      </c>
      <c r="K1461" s="12">
        <v>8941.11</v>
      </c>
      <c r="L1461">
        <v>13.35</v>
      </c>
      <c r="M1461">
        <v>-89.61</v>
      </c>
      <c r="N1461" s="13">
        <v>-0.01</v>
      </c>
      <c r="O1461" t="s">
        <v>38</v>
      </c>
      <c r="Q1461">
        <f t="shared" si="366"/>
        <v>-76.258980000000406</v>
      </c>
      <c r="R1461">
        <f t="shared" si="367"/>
        <v>-89.6089800000004</v>
      </c>
      <c r="S1461">
        <f t="shared" si="368"/>
        <v>8864.3238000000001</v>
      </c>
      <c r="U1461">
        <f t="shared" si="355"/>
        <v>2.3109570000000001</v>
      </c>
      <c r="V1461">
        <f t="shared" si="369"/>
        <v>1650.0001884300002</v>
      </c>
      <c r="W1461">
        <f t="shared" si="356"/>
        <v>-14.073728130000074</v>
      </c>
      <c r="X1461">
        <f t="shared" si="357"/>
        <v>3.2859266487299998</v>
      </c>
      <c r="Y1461">
        <f t="shared" si="358"/>
        <v>-17.359654778730075</v>
      </c>
      <c r="Z1461">
        <f t="shared" si="359"/>
        <v>18541.293963533972</v>
      </c>
      <c r="AB1461">
        <f t="shared" si="370"/>
        <v>2.6156999999999999</v>
      </c>
      <c r="AC1461">
        <f t="shared" si="371"/>
        <v>1867.5836429999999</v>
      </c>
      <c r="AD1461">
        <f t="shared" si="372"/>
        <v>-15.929613000000083</v>
      </c>
      <c r="AE1461">
        <f t="shared" si="373"/>
        <v>3.7192376729999994</v>
      </c>
      <c r="AF1461">
        <f t="shared" si="374"/>
        <v>-19.648850673000084</v>
      </c>
      <c r="AG1461">
        <f t="shared" si="376"/>
        <v>18656.185494363759</v>
      </c>
      <c r="AH1461" t="b">
        <f t="shared" si="375"/>
        <v>1</v>
      </c>
    </row>
    <row r="1462" spans="4:34" hidden="1" x14ac:dyDescent="0.4">
      <c r="D1462" t="s">
        <v>50</v>
      </c>
      <c r="E1462" t="s">
        <v>37</v>
      </c>
      <c r="F1462" s="9">
        <v>45660.625</v>
      </c>
      <c r="G1462">
        <v>557.4</v>
      </c>
      <c r="H1462" s="9">
        <v>45662.625</v>
      </c>
      <c r="I1462">
        <v>560.9</v>
      </c>
      <c r="J1462">
        <v>19.8994</v>
      </c>
      <c r="K1462" s="12">
        <v>11091.96</v>
      </c>
      <c r="L1462">
        <v>16.690000000000001</v>
      </c>
      <c r="M1462">
        <v>52.96</v>
      </c>
      <c r="N1462" s="13">
        <v>4.7999999999999996E-3</v>
      </c>
      <c r="O1462" t="s">
        <v>38</v>
      </c>
      <c r="Q1462">
        <f t="shared" si="366"/>
        <v>69.647899999999993</v>
      </c>
      <c r="R1462">
        <f t="shared" si="367"/>
        <v>52.957899999999995</v>
      </c>
      <c r="S1462">
        <f t="shared" si="368"/>
        <v>11161.57346</v>
      </c>
      <c r="U1462">
        <f t="shared" si="355"/>
        <v>2.960172</v>
      </c>
      <c r="V1462">
        <f t="shared" si="369"/>
        <v>1649.9998728</v>
      </c>
      <c r="W1462">
        <f t="shared" si="356"/>
        <v>10.360602</v>
      </c>
      <c r="X1462">
        <f t="shared" si="357"/>
        <v>3.3103603476000001</v>
      </c>
      <c r="Y1462">
        <f t="shared" si="358"/>
        <v>7.0502416524000004</v>
      </c>
      <c r="Z1462">
        <f t="shared" si="359"/>
        <v>18558.653618312703</v>
      </c>
      <c r="AB1462">
        <f t="shared" si="370"/>
        <v>3.3490950000000002</v>
      </c>
      <c r="AC1462">
        <f t="shared" si="371"/>
        <v>1866.7855529999999</v>
      </c>
      <c r="AD1462">
        <f t="shared" si="372"/>
        <v>11.721832500000001</v>
      </c>
      <c r="AE1462">
        <f t="shared" si="373"/>
        <v>3.7452929385000004</v>
      </c>
      <c r="AF1462">
        <f t="shared" si="374"/>
        <v>7.976539561500001</v>
      </c>
      <c r="AG1462">
        <f t="shared" si="376"/>
        <v>18675.834345036757</v>
      </c>
      <c r="AH1462" t="b">
        <f t="shared" si="375"/>
        <v>1</v>
      </c>
    </row>
    <row r="1463" spans="4:34" hidden="1" x14ac:dyDescent="0.4">
      <c r="D1463" t="s">
        <v>54</v>
      </c>
      <c r="E1463" t="s">
        <v>37</v>
      </c>
      <c r="F1463" s="9">
        <v>45660.166666666664</v>
      </c>
      <c r="G1463">
        <v>207.83</v>
      </c>
      <c r="H1463" s="9">
        <v>45662.166666666664</v>
      </c>
      <c r="I1463">
        <v>217.91</v>
      </c>
      <c r="J1463">
        <v>20.93</v>
      </c>
      <c r="K1463" s="12">
        <v>4349.99</v>
      </c>
      <c r="L1463">
        <v>6.68</v>
      </c>
      <c r="M1463">
        <v>204.29</v>
      </c>
      <c r="N1463" s="13">
        <v>4.7E-2</v>
      </c>
      <c r="O1463" t="s">
        <v>38</v>
      </c>
      <c r="Q1463">
        <f t="shared" si="366"/>
        <v>210.97439999999966</v>
      </c>
      <c r="R1463">
        <f t="shared" si="367"/>
        <v>204.29439999999965</v>
      </c>
      <c r="S1463">
        <f t="shared" si="368"/>
        <v>4560.8562999999995</v>
      </c>
      <c r="U1463">
        <f t="shared" si="355"/>
        <v>7.9391809999999996</v>
      </c>
      <c r="V1463">
        <f t="shared" si="369"/>
        <v>1649.99998723</v>
      </c>
      <c r="W1463">
        <f t="shared" si="356"/>
        <v>80.026944479999869</v>
      </c>
      <c r="X1463">
        <f t="shared" si="357"/>
        <v>3.3800269189400001</v>
      </c>
      <c r="Y1463">
        <f t="shared" si="358"/>
        <v>76.646917561059865</v>
      </c>
      <c r="Z1463">
        <f t="shared" si="359"/>
        <v>18551.603376660303</v>
      </c>
      <c r="AB1463">
        <f t="shared" ref="AB1463:AB1473" si="377">ROUND(((AH1463*AG1464 +(1-AH1463)*AI1463)/$P$2)/G1463,6)</f>
        <v>8.9407409999999992</v>
      </c>
      <c r="AC1463">
        <f t="shared" ref="AC1449:AC1473" si="378">AB1463*G1463</f>
        <v>1858.1542020299999</v>
      </c>
      <c r="AD1463">
        <f t="shared" ref="AD1449:AD1473" si="379">AB1463*(I1463-G1463)</f>
        <v>90.122669279999855</v>
      </c>
      <c r="AE1463">
        <f t="shared" ref="AE1449:AE1473" si="380">(G1463+I1463)*$R$2*AB1463</f>
        <v>3.8064310733399997</v>
      </c>
      <c r="AF1463">
        <f t="shared" ref="AF1421:AF1473" si="381">AD1463-AE1463</f>
        <v>86.316238206659861</v>
      </c>
      <c r="AG1463">
        <f t="shared" si="376"/>
        <v>18667.857805475258</v>
      </c>
      <c r="AH1463" t="b">
        <f t="shared" ref="AH1463:AH1473" si="382">ISBLANK(AI1463)</f>
        <v>1</v>
      </c>
    </row>
    <row r="1464" spans="4:34" hidden="1" x14ac:dyDescent="0.4">
      <c r="D1464" t="s">
        <v>58</v>
      </c>
      <c r="E1464" t="s">
        <v>37</v>
      </c>
      <c r="F1464" s="9">
        <v>45660.166666666664</v>
      </c>
      <c r="G1464">
        <v>22.23</v>
      </c>
      <c r="H1464" s="9">
        <v>45662.166666666664</v>
      </c>
      <c r="I1464">
        <v>23.33</v>
      </c>
      <c r="J1464">
        <v>294.68</v>
      </c>
      <c r="K1464" s="12">
        <v>6550.95</v>
      </c>
      <c r="L1464">
        <v>10.07</v>
      </c>
      <c r="M1464">
        <v>314.08</v>
      </c>
      <c r="N1464" s="13">
        <v>4.7899999999999998E-2</v>
      </c>
      <c r="O1464" t="s">
        <v>38</v>
      </c>
      <c r="Q1464">
        <f t="shared" si="366"/>
        <v>324.1479999999994</v>
      </c>
      <c r="R1464">
        <f t="shared" si="367"/>
        <v>314.07799999999941</v>
      </c>
      <c r="S1464">
        <f t="shared" si="368"/>
        <v>6874.8843999999999</v>
      </c>
      <c r="U1464">
        <f t="shared" si="355"/>
        <v>74.224022000000005</v>
      </c>
      <c r="V1464">
        <f t="shared" si="369"/>
        <v>1650.0000090600001</v>
      </c>
      <c r="W1464">
        <f t="shared" si="356"/>
        <v>81.646424199999842</v>
      </c>
      <c r="X1464">
        <f t="shared" si="357"/>
        <v>3.3816464423200006</v>
      </c>
      <c r="Y1464">
        <f t="shared" si="358"/>
        <v>78.264777757679838</v>
      </c>
      <c r="Z1464">
        <f t="shared" si="359"/>
        <v>18474.956459099245</v>
      </c>
      <c r="AB1464">
        <f t="shared" si="377"/>
        <v>83.193070000000006</v>
      </c>
      <c r="AC1464">
        <f t="shared" si="378"/>
        <v>1849.3819461000003</v>
      </c>
      <c r="AD1464">
        <f t="shared" si="379"/>
        <v>91.51237699999983</v>
      </c>
      <c r="AE1464">
        <f t="shared" si="380"/>
        <v>3.7902762692000005</v>
      </c>
      <c r="AF1464">
        <f t="shared" si="381"/>
        <v>87.722100730799824</v>
      </c>
      <c r="AG1464">
        <f t="shared" si="376"/>
        <v>18581.541567268599</v>
      </c>
      <c r="AH1464" t="b">
        <f t="shared" si="382"/>
        <v>1</v>
      </c>
    </row>
    <row r="1465" spans="4:34" hidden="1" x14ac:dyDescent="0.4">
      <c r="D1465" t="s">
        <v>61</v>
      </c>
      <c r="E1465" t="s">
        <v>37</v>
      </c>
      <c r="F1465" s="9">
        <v>45659.375</v>
      </c>
      <c r="G1465">
        <v>0.93479999999999996</v>
      </c>
      <c r="H1465" s="9">
        <v>45661.375</v>
      </c>
      <c r="I1465">
        <v>1.0624</v>
      </c>
      <c r="J1465" s="12">
        <v>7943.3</v>
      </c>
      <c r="K1465" s="12">
        <v>7425.45</v>
      </c>
      <c r="L1465">
        <v>11.9</v>
      </c>
      <c r="M1465" s="12">
        <v>1001.67</v>
      </c>
      <c r="N1465" s="13">
        <v>0.13489999999999999</v>
      </c>
      <c r="O1465" t="s">
        <v>38</v>
      </c>
      <c r="Q1465">
        <f t="shared" si="366"/>
        <v>1013.5650800000004</v>
      </c>
      <c r="R1465">
        <f t="shared" si="367"/>
        <v>1001.6650800000004</v>
      </c>
      <c r="S1465">
        <f t="shared" si="368"/>
        <v>8438.9619199999997</v>
      </c>
      <c r="U1465">
        <f t="shared" si="355"/>
        <v>1765.0834400000001</v>
      </c>
      <c r="V1465">
        <f t="shared" si="369"/>
        <v>1649.9999997120001</v>
      </c>
      <c r="W1465">
        <f t="shared" si="356"/>
        <v>225.22464694400009</v>
      </c>
      <c r="X1465">
        <f t="shared" si="357"/>
        <v>3.5252246463679997</v>
      </c>
      <c r="Y1465">
        <f t="shared" si="358"/>
        <v>221.69942229763208</v>
      </c>
      <c r="Z1465">
        <f t="shared" si="359"/>
        <v>18396.691681341566</v>
      </c>
      <c r="AB1465">
        <f t="shared" si="377"/>
        <v>1952.1421640000001</v>
      </c>
      <c r="AC1465">
        <f t="shared" si="378"/>
        <v>1824.8624949072</v>
      </c>
      <c r="AD1465">
        <f t="shared" si="379"/>
        <v>249.09334012640011</v>
      </c>
      <c r="AE1465">
        <f t="shared" si="380"/>
        <v>3.8988183299407999</v>
      </c>
      <c r="AF1465">
        <f t="shared" si="381"/>
        <v>245.1945217964593</v>
      </c>
      <c r="AG1465">
        <f t="shared" si="376"/>
        <v>18493.8194665378</v>
      </c>
      <c r="AH1465" t="b">
        <f t="shared" si="382"/>
        <v>1</v>
      </c>
    </row>
    <row r="1466" spans="4:34" hidden="1" x14ac:dyDescent="0.4">
      <c r="D1466" t="s">
        <v>56</v>
      </c>
      <c r="E1466" t="s">
        <v>37</v>
      </c>
      <c r="F1466" s="9">
        <v>45658.75</v>
      </c>
      <c r="G1466" s="12">
        <v>3336.65</v>
      </c>
      <c r="H1466" s="9">
        <v>45661.25</v>
      </c>
      <c r="I1466" s="12">
        <v>3595.45</v>
      </c>
      <c r="J1466">
        <v>1.5459000000000001</v>
      </c>
      <c r="K1466" s="12">
        <v>5158.4399999999996</v>
      </c>
      <c r="L1466">
        <v>8.0399999999999991</v>
      </c>
      <c r="M1466">
        <v>392.04</v>
      </c>
      <c r="N1466" s="13">
        <v>7.5999999999999998E-2</v>
      </c>
      <c r="O1466" t="s">
        <v>57</v>
      </c>
      <c r="Q1466">
        <f t="shared" si="366"/>
        <v>400.07891999999958</v>
      </c>
      <c r="R1466">
        <f t="shared" si="367"/>
        <v>392.03891999999956</v>
      </c>
      <c r="S1466">
        <f t="shared" si="368"/>
        <v>5558.2061549999999</v>
      </c>
      <c r="U1466">
        <f t="shared" si="355"/>
        <v>0.494508</v>
      </c>
      <c r="V1466">
        <f t="shared" si="369"/>
        <v>1650.0001182000001</v>
      </c>
      <c r="W1466">
        <f t="shared" si="356"/>
        <v>127.97867039999987</v>
      </c>
      <c r="X1466">
        <f t="shared" si="357"/>
        <v>3.4279789067999999</v>
      </c>
      <c r="Y1466">
        <f t="shared" si="358"/>
        <v>124.55069149319988</v>
      </c>
      <c r="Z1466">
        <f t="shared" si="359"/>
        <v>18174.992259043935</v>
      </c>
      <c r="AB1466">
        <f t="shared" si="377"/>
        <v>0.54281699999999999</v>
      </c>
      <c r="AC1466">
        <f t="shared" si="378"/>
        <v>1811.1903430500001</v>
      </c>
      <c r="AD1466">
        <f t="shared" si="379"/>
        <v>140.48103959999986</v>
      </c>
      <c r="AE1466">
        <f t="shared" si="380"/>
        <v>3.7628617257000001</v>
      </c>
      <c r="AF1466">
        <f t="shared" si="381"/>
        <v>136.71817787429987</v>
      </c>
      <c r="AG1466">
        <f t="shared" si="376"/>
        <v>18248.624944741339</v>
      </c>
      <c r="AH1466" t="b">
        <f t="shared" si="382"/>
        <v>1</v>
      </c>
    </row>
    <row r="1467" spans="4:34" hidden="1" x14ac:dyDescent="0.4">
      <c r="D1467" t="s">
        <v>59</v>
      </c>
      <c r="E1467" t="s">
        <v>37</v>
      </c>
      <c r="F1467" s="9">
        <v>45658.75</v>
      </c>
      <c r="G1467" s="12">
        <v>93942.68</v>
      </c>
      <c r="H1467" s="9">
        <v>45661.25</v>
      </c>
      <c r="I1467" s="12">
        <v>98090.62</v>
      </c>
      <c r="J1467">
        <v>0.10534</v>
      </c>
      <c r="K1467" s="12">
        <v>9896.51</v>
      </c>
      <c r="L1467">
        <v>15.17</v>
      </c>
      <c r="M1467">
        <v>421.77</v>
      </c>
      <c r="N1467" s="13">
        <v>4.2599999999999999E-2</v>
      </c>
      <c r="O1467" t="s">
        <v>57</v>
      </c>
      <c r="Q1467">
        <f t="shared" si="366"/>
        <v>436.94399960000027</v>
      </c>
      <c r="R1467">
        <f t="shared" si="367"/>
        <v>421.77399960000025</v>
      </c>
      <c r="S1467">
        <f t="shared" si="368"/>
        <v>10332.865910799999</v>
      </c>
      <c r="U1467">
        <f t="shared" si="355"/>
        <v>1.7564E-2</v>
      </c>
      <c r="V1467">
        <f t="shared" si="369"/>
        <v>1650.00923152</v>
      </c>
      <c r="W1467">
        <f t="shared" si="356"/>
        <v>72.854418160000037</v>
      </c>
      <c r="X1467">
        <f t="shared" si="357"/>
        <v>3.3728728811999997</v>
      </c>
      <c r="Y1467">
        <f t="shared" si="358"/>
        <v>69.481545278800041</v>
      </c>
      <c r="Z1467">
        <f t="shared" si="359"/>
        <v>18050.441567550733</v>
      </c>
      <c r="AB1467">
        <f t="shared" si="377"/>
        <v>1.9199000000000001E-2</v>
      </c>
      <c r="AC1467">
        <f t="shared" si="378"/>
        <v>1803.60551332</v>
      </c>
      <c r="AD1467">
        <f t="shared" si="379"/>
        <v>79.636300060000053</v>
      </c>
      <c r="AE1467">
        <f t="shared" si="380"/>
        <v>3.6868473267000001</v>
      </c>
      <c r="AF1467">
        <f t="shared" si="381"/>
        <v>75.949452733300049</v>
      </c>
      <c r="AG1467">
        <f t="shared" si="376"/>
        <v>18111.90676686704</v>
      </c>
      <c r="AH1467" t="b">
        <f t="shared" si="382"/>
        <v>1</v>
      </c>
    </row>
    <row r="1468" spans="4:34" hidden="1" x14ac:dyDescent="0.4">
      <c r="D1468" t="s">
        <v>52</v>
      </c>
      <c r="E1468" t="s">
        <v>37</v>
      </c>
      <c r="F1468" s="9">
        <v>45659.041666666664</v>
      </c>
      <c r="G1468">
        <v>10.625999999999999</v>
      </c>
      <c r="H1468" s="9">
        <v>45661.041666666664</v>
      </c>
      <c r="I1468">
        <v>12.521000000000001</v>
      </c>
      <c r="J1468">
        <v>216.81</v>
      </c>
      <c r="K1468" s="12">
        <v>2303.83</v>
      </c>
      <c r="L1468">
        <v>3.76</v>
      </c>
      <c r="M1468">
        <v>407.09</v>
      </c>
      <c r="N1468" s="13">
        <v>0.1767</v>
      </c>
      <c r="O1468" t="s">
        <v>38</v>
      </c>
      <c r="Q1468">
        <f t="shared" si="366"/>
        <v>410.85495000000031</v>
      </c>
      <c r="R1468">
        <f t="shared" si="367"/>
        <v>407.09495000000032</v>
      </c>
      <c r="S1468">
        <f t="shared" si="368"/>
        <v>2714.6780100000001</v>
      </c>
      <c r="U1468">
        <f t="shared" si="355"/>
        <v>155.27950300000001</v>
      </c>
      <c r="V1468">
        <f t="shared" si="369"/>
        <v>1649.999998878</v>
      </c>
      <c r="W1468">
        <f t="shared" si="356"/>
        <v>294.25465818500021</v>
      </c>
      <c r="X1468">
        <f t="shared" si="357"/>
        <v>3.5942546559409996</v>
      </c>
      <c r="Y1468">
        <f t="shared" si="358"/>
        <v>290.66040352905924</v>
      </c>
      <c r="Z1468">
        <f t="shared" si="359"/>
        <v>17980.960022271935</v>
      </c>
      <c r="AB1468">
        <f t="shared" si="377"/>
        <v>166.79597000000001</v>
      </c>
      <c r="AC1468">
        <f t="shared" si="378"/>
        <v>1772.3739772199999</v>
      </c>
      <c r="AD1468">
        <f t="shared" si="379"/>
        <v>316.07836315000026</v>
      </c>
      <c r="AE1468">
        <f t="shared" si="380"/>
        <v>3.8608263175899999</v>
      </c>
      <c r="AF1468">
        <f t="shared" si="381"/>
        <v>312.21753683241025</v>
      </c>
      <c r="AG1468">
        <f t="shared" si="376"/>
        <v>18035.957314133739</v>
      </c>
      <c r="AH1468" t="b">
        <f t="shared" si="382"/>
        <v>1</v>
      </c>
    </row>
    <row r="1469" spans="4:34" hidden="1" x14ac:dyDescent="0.4">
      <c r="D1469" t="s">
        <v>48</v>
      </c>
      <c r="E1469" t="s">
        <v>37</v>
      </c>
      <c r="F1469" s="9">
        <v>45659.041666666664</v>
      </c>
      <c r="G1469">
        <v>0.45629999999999998</v>
      </c>
      <c r="H1469" s="9">
        <v>45661.041666666664</v>
      </c>
      <c r="I1469">
        <v>0.48709999999999998</v>
      </c>
      <c r="J1469" s="12">
        <v>6125.4</v>
      </c>
      <c r="K1469" s="12">
        <v>2795.05</v>
      </c>
      <c r="L1469">
        <v>4.33</v>
      </c>
      <c r="M1469">
        <v>184.33</v>
      </c>
      <c r="N1469" s="13">
        <v>6.59E-2</v>
      </c>
      <c r="O1469" t="s">
        <v>38</v>
      </c>
      <c r="Q1469">
        <f t="shared" si="366"/>
        <v>188.66231999999997</v>
      </c>
      <c r="R1469">
        <f t="shared" si="367"/>
        <v>184.33231999999995</v>
      </c>
      <c r="S1469">
        <f t="shared" si="368"/>
        <v>2983.6823399999998</v>
      </c>
      <c r="U1469">
        <f t="shared" si="355"/>
        <v>3616.0420779999999</v>
      </c>
      <c r="V1469">
        <f t="shared" si="369"/>
        <v>1650.0000001914</v>
      </c>
      <c r="W1469">
        <f t="shared" si="356"/>
        <v>111.37409600239998</v>
      </c>
      <c r="X1469">
        <f t="shared" si="357"/>
        <v>3.4113740963852002</v>
      </c>
      <c r="Y1469">
        <f t="shared" si="358"/>
        <v>107.96272190601478</v>
      </c>
      <c r="Z1469">
        <f t="shared" si="359"/>
        <v>17690.299618742876</v>
      </c>
      <c r="AB1469">
        <f t="shared" si="377"/>
        <v>3858.9795680000002</v>
      </c>
      <c r="AC1469">
        <f t="shared" si="378"/>
        <v>1760.8523768784</v>
      </c>
      <c r="AD1469">
        <f t="shared" si="379"/>
        <v>118.85657069439998</v>
      </c>
      <c r="AE1469">
        <f t="shared" si="380"/>
        <v>3.6405613244512005</v>
      </c>
      <c r="AF1469">
        <f t="shared" si="381"/>
        <v>115.21600936994878</v>
      </c>
      <c r="AG1469">
        <f t="shared" si="376"/>
        <v>17723.739777301329</v>
      </c>
      <c r="AH1469" t="b">
        <f t="shared" si="382"/>
        <v>1</v>
      </c>
    </row>
    <row r="1470" spans="4:34" hidden="1" x14ac:dyDescent="0.4">
      <c r="D1470" t="s">
        <v>55</v>
      </c>
      <c r="E1470" t="s">
        <v>37</v>
      </c>
      <c r="F1470" s="9">
        <v>45659.041666666664</v>
      </c>
      <c r="G1470">
        <v>1.1400000000000001E-4</v>
      </c>
      <c r="H1470" s="9">
        <v>45661.041666666664</v>
      </c>
      <c r="I1470">
        <v>1.18E-4</v>
      </c>
      <c r="J1470" s="12">
        <v>52599996.060000002</v>
      </c>
      <c r="K1470" s="12">
        <v>5989.56</v>
      </c>
      <c r="L1470">
        <v>9.1300000000000008</v>
      </c>
      <c r="M1470">
        <v>189.17</v>
      </c>
      <c r="N1470" s="13">
        <v>3.1600000000000003E-2</v>
      </c>
      <c r="O1470" t="s">
        <v>38</v>
      </c>
      <c r="Q1470">
        <f t="shared" si="366"/>
        <v>210.39998423999941</v>
      </c>
      <c r="R1470">
        <f t="shared" si="367"/>
        <v>201.26998423999942</v>
      </c>
      <c r="S1470">
        <f t="shared" si="368"/>
        <v>6206.7995350800002</v>
      </c>
      <c r="U1470">
        <f t="shared" si="355"/>
        <v>14473684.210526001</v>
      </c>
      <c r="V1470">
        <f t="shared" si="369"/>
        <v>1649.9999999999641</v>
      </c>
      <c r="W1470">
        <f t="shared" si="356"/>
        <v>57.894736842103839</v>
      </c>
      <c r="X1470">
        <f t="shared" si="357"/>
        <v>3.3578947368420322</v>
      </c>
      <c r="Y1470">
        <f t="shared" si="358"/>
        <v>54.536842105261805</v>
      </c>
      <c r="Z1470">
        <f t="shared" si="359"/>
        <v>17582.336896836863</v>
      </c>
      <c r="AB1470">
        <f t="shared" si="377"/>
        <v>15395188.331839999</v>
      </c>
      <c r="AC1470">
        <f t="shared" si="378"/>
        <v>1755.05146982976</v>
      </c>
      <c r="AD1470">
        <f t="shared" si="379"/>
        <v>61.580753327359822</v>
      </c>
      <c r="AE1470">
        <f t="shared" si="380"/>
        <v>3.57168369298688</v>
      </c>
      <c r="AF1470">
        <f t="shared" si="381"/>
        <v>58.009069634372942</v>
      </c>
      <c r="AG1470">
        <f t="shared" si="376"/>
        <v>17608.52376793138</v>
      </c>
      <c r="AH1470" t="b">
        <f t="shared" si="382"/>
        <v>1</v>
      </c>
    </row>
    <row r="1471" spans="4:34" hidden="1" x14ac:dyDescent="0.4">
      <c r="D1471" t="s">
        <v>43</v>
      </c>
      <c r="E1471" t="s">
        <v>37</v>
      </c>
      <c r="F1471" s="9">
        <v>45659</v>
      </c>
      <c r="G1471">
        <v>4.2755000000000001</v>
      </c>
      <c r="H1471" s="9">
        <v>45661</v>
      </c>
      <c r="I1471">
        <v>4.9824000000000002</v>
      </c>
      <c r="J1471">
        <v>385.9</v>
      </c>
      <c r="K1471" s="12">
        <v>1650</v>
      </c>
      <c r="L1471">
        <v>2.68</v>
      </c>
      <c r="M1471">
        <v>270.11</v>
      </c>
      <c r="N1471" s="13">
        <v>0.16370000000000001</v>
      </c>
      <c r="O1471" t="s">
        <v>38</v>
      </c>
      <c r="Q1471">
        <f t="shared" si="366"/>
        <v>272.79271</v>
      </c>
      <c r="R1471">
        <f t="shared" si="367"/>
        <v>270.11270999999999</v>
      </c>
      <c r="S1471">
        <f t="shared" si="368"/>
        <v>1922.7081599999999</v>
      </c>
      <c r="U1471">
        <f t="shared" si="355"/>
        <v>385.91977500000002</v>
      </c>
      <c r="V1471">
        <f t="shared" si="369"/>
        <v>1649.9999980125001</v>
      </c>
      <c r="W1471">
        <f t="shared" si="356"/>
        <v>272.80668894750005</v>
      </c>
      <c r="X1471">
        <f t="shared" si="357"/>
        <v>3.5728066849725</v>
      </c>
      <c r="Y1471">
        <f t="shared" si="358"/>
        <v>269.23388226252757</v>
      </c>
      <c r="Z1471">
        <f t="shared" si="359"/>
        <v>17527.800054731601</v>
      </c>
      <c r="AB1471">
        <f t="shared" si="377"/>
        <v>403.89982900000001</v>
      </c>
      <c r="AC1471">
        <f t="shared" si="378"/>
        <v>1726.8737188895</v>
      </c>
      <c r="AD1471">
        <f t="shared" si="379"/>
        <v>285.51678912010004</v>
      </c>
      <c r="AE1471">
        <f t="shared" si="380"/>
        <v>3.7392642268990999</v>
      </c>
      <c r="AF1471">
        <f t="shared" si="381"/>
        <v>281.77752489320096</v>
      </c>
      <c r="AG1471">
        <f t="shared" si="376"/>
        <v>17550.514698297007</v>
      </c>
      <c r="AH1471" t="b">
        <f t="shared" si="382"/>
        <v>1</v>
      </c>
    </row>
    <row r="1472" spans="4:34" hidden="1" x14ac:dyDescent="0.4">
      <c r="D1472" t="s">
        <v>50</v>
      </c>
      <c r="E1472" t="s">
        <v>37</v>
      </c>
      <c r="F1472" s="9">
        <v>45658.625</v>
      </c>
      <c r="G1472">
        <v>444.3</v>
      </c>
      <c r="H1472" s="9">
        <v>45660.625</v>
      </c>
      <c r="I1472">
        <v>557.4</v>
      </c>
      <c r="J1472">
        <v>24.349299999999999</v>
      </c>
      <c r="K1472" s="12">
        <v>10818.4</v>
      </c>
      <c r="L1472">
        <v>18.29</v>
      </c>
      <c r="M1472" s="12">
        <v>2735.61</v>
      </c>
      <c r="N1472" s="13">
        <v>0.25290000000000001</v>
      </c>
      <c r="O1472" t="s">
        <v>38</v>
      </c>
      <c r="Q1472">
        <f t="shared" si="366"/>
        <v>2753.9058299999992</v>
      </c>
      <c r="R1472">
        <f t="shared" si="367"/>
        <v>2735.6158299999993</v>
      </c>
      <c r="S1472">
        <f t="shared" si="368"/>
        <v>13572.299819999998</v>
      </c>
      <c r="U1472">
        <f t="shared" si="355"/>
        <v>3.7137069999999999</v>
      </c>
      <c r="V1472">
        <f t="shared" si="369"/>
        <v>1650.0000201</v>
      </c>
      <c r="W1472">
        <f t="shared" si="356"/>
        <v>420.02026169999988</v>
      </c>
      <c r="X1472">
        <f t="shared" si="357"/>
        <v>3.7200203019</v>
      </c>
      <c r="Y1472">
        <f t="shared" si="358"/>
        <v>416.3002413980999</v>
      </c>
      <c r="Z1472">
        <f t="shared" si="359"/>
        <v>17258.566172469073</v>
      </c>
      <c r="AB1472">
        <f t="shared" si="377"/>
        <v>3.7910789999999999</v>
      </c>
      <c r="AC1472">
        <f t="shared" si="378"/>
        <v>1684.3763997000001</v>
      </c>
      <c r="AD1472">
        <f t="shared" si="379"/>
        <v>428.77103489999985</v>
      </c>
      <c r="AE1472">
        <f t="shared" si="380"/>
        <v>3.7975238343000002</v>
      </c>
      <c r="AF1472">
        <f t="shared" si="381"/>
        <v>424.97351106569982</v>
      </c>
      <c r="AG1472">
        <f t="shared" si="376"/>
        <v>17268.737173403806</v>
      </c>
      <c r="AH1472" t="b">
        <f t="shared" si="382"/>
        <v>1</v>
      </c>
    </row>
    <row r="1473" spans="4:36" hidden="1" x14ac:dyDescent="0.4">
      <c r="D1473" t="s">
        <v>60</v>
      </c>
      <c r="E1473" t="s">
        <v>37</v>
      </c>
      <c r="F1473" s="9">
        <v>45658.041666666664</v>
      </c>
      <c r="G1473">
        <v>2.1059000000000001</v>
      </c>
      <c r="H1473" s="9">
        <v>45660.541666666664</v>
      </c>
      <c r="I1473">
        <v>2.4026000000000001</v>
      </c>
      <c r="J1473">
        <v>931.6</v>
      </c>
      <c r="K1473" s="12">
        <v>1961.88</v>
      </c>
      <c r="L1473">
        <v>3.15</v>
      </c>
      <c r="M1473">
        <v>273.26</v>
      </c>
      <c r="N1473" s="13">
        <v>0.13930000000000001</v>
      </c>
      <c r="O1473" t="s">
        <v>57</v>
      </c>
      <c r="Q1473">
        <f t="shared" si="366"/>
        <v>276.40571999999997</v>
      </c>
      <c r="R1473">
        <f t="shared" si="367"/>
        <v>273.25572</v>
      </c>
      <c r="S1473">
        <f t="shared" si="368"/>
        <v>2238.2621600000002</v>
      </c>
      <c r="U1473">
        <f t="shared" si="355"/>
        <v>783.51298699999995</v>
      </c>
      <c r="V1473">
        <f t="shared" si="369"/>
        <v>1649.9999993233</v>
      </c>
      <c r="W1473">
        <f t="shared" si="356"/>
        <v>232.46830324289996</v>
      </c>
      <c r="X1473">
        <f t="shared" si="357"/>
        <v>3.5324683018894993</v>
      </c>
      <c r="Y1473">
        <f t="shared" si="358"/>
        <v>228.93583494101046</v>
      </c>
      <c r="Z1473">
        <f t="shared" si="359"/>
        <v>16842.265931070971</v>
      </c>
      <c r="AB1473">
        <f t="shared" si="377"/>
        <v>788.89103999999998</v>
      </c>
      <c r="AC1473">
        <f t="shared" si="378"/>
        <v>1661.3256411360001</v>
      </c>
      <c r="AD1473">
        <f t="shared" si="379"/>
        <v>234.06397156799997</v>
      </c>
      <c r="AE1473">
        <f t="shared" si="380"/>
        <v>3.5567152538399993</v>
      </c>
      <c r="AF1473">
        <f t="shared" si="381"/>
        <v>230.50725631415997</v>
      </c>
      <c r="AG1473">
        <f t="shared" si="376"/>
        <v>16843.763662338108</v>
      </c>
      <c r="AH1473" t="b">
        <f t="shared" si="382"/>
        <v>1</v>
      </c>
    </row>
    <row r="1474" spans="4:36" hidden="1" x14ac:dyDescent="0.4">
      <c r="D1474" t="s">
        <v>53</v>
      </c>
      <c r="E1474" t="s">
        <v>37</v>
      </c>
      <c r="F1474" s="9">
        <v>45658.291666666664</v>
      </c>
      <c r="G1474">
        <v>705.09</v>
      </c>
      <c r="H1474" s="9">
        <v>45660.291666666664</v>
      </c>
      <c r="I1474">
        <v>702.28</v>
      </c>
      <c r="J1474">
        <v>12.686999999999999</v>
      </c>
      <c r="K1474" s="12">
        <v>8946.02</v>
      </c>
      <c r="L1474">
        <v>13.39</v>
      </c>
      <c r="M1474">
        <v>-49.04</v>
      </c>
      <c r="N1474" s="13">
        <v>-5.4999999999999997E-3</v>
      </c>
      <c r="O1474" t="s">
        <v>38</v>
      </c>
      <c r="Q1474">
        <f t="shared" si="366"/>
        <v>-35.650470000000752</v>
      </c>
      <c r="R1474">
        <f t="shared" si="367"/>
        <v>-49.040470000000752</v>
      </c>
      <c r="S1474">
        <f t="shared" si="368"/>
        <v>8909.8263599999991</v>
      </c>
      <c r="U1474">
        <f>ROUND(($Q$2)/G1474,6)</f>
        <v>2.3401269999999998</v>
      </c>
      <c r="V1474">
        <f t="shared" si="369"/>
        <v>1650.0001464299999</v>
      </c>
      <c r="W1474">
        <f>U1474*(I1474-G1474)</f>
        <v>-6.5757568700001379</v>
      </c>
      <c r="X1474">
        <f>(G1474+I1474)*$R$2*U1474</f>
        <v>3.2934245359899998</v>
      </c>
      <c r="Y1474">
        <f>W1474-X1474</f>
        <v>-9.8691814059901368</v>
      </c>
      <c r="Z1474">
        <f>Z1475+Y1474</f>
        <v>16613.330096129961</v>
      </c>
      <c r="AB1474">
        <f>ROUND(((AH1474*AG1475 +(1-AH1474)*AI1474)/$P$2)/G1474,6)</f>
        <v>2.3576000000000001</v>
      </c>
      <c r="AC1474">
        <f>AB1474*G1474</f>
        <v>1662.3201840000002</v>
      </c>
      <c r="AD1474">
        <f>AB1474*(I1474-G1474)</f>
        <v>-6.6248560000001397</v>
      </c>
      <c r="AE1474">
        <f>(G1474+I1474)*$R$2*AB1474</f>
        <v>3.3180155120000001</v>
      </c>
      <c r="AF1474">
        <f>AD1474-AE1474</f>
        <v>-9.9428715120001403</v>
      </c>
      <c r="AG1474">
        <f t="shared" si="376"/>
        <v>16613.256406023949</v>
      </c>
      <c r="AH1474" t="b">
        <f>ISBLANK(AI1474)</f>
        <v>1</v>
      </c>
    </row>
    <row r="1475" spans="4:36" hidden="1" x14ac:dyDescent="0.4">
      <c r="D1475" t="s">
        <v>54</v>
      </c>
      <c r="E1475" t="s">
        <v>37</v>
      </c>
      <c r="F1475" s="9">
        <v>45658.041666666664</v>
      </c>
      <c r="G1475">
        <v>192.2</v>
      </c>
      <c r="H1475" s="9">
        <v>45660.041666666664</v>
      </c>
      <c r="I1475">
        <v>206.95</v>
      </c>
      <c r="J1475">
        <v>22.463000000000001</v>
      </c>
      <c r="K1475" s="12">
        <v>4317.53</v>
      </c>
      <c r="L1475">
        <v>6.72</v>
      </c>
      <c r="M1475">
        <v>324.60000000000002</v>
      </c>
      <c r="N1475" s="13">
        <v>7.5200000000000003E-2</v>
      </c>
      <c r="O1475" t="s">
        <v>38</v>
      </c>
      <c r="Q1475">
        <f t="shared" si="366"/>
        <v>331.32925</v>
      </c>
      <c r="R1475">
        <f t="shared" si="367"/>
        <v>324.60924999999997</v>
      </c>
      <c r="S1475">
        <f t="shared" si="368"/>
        <v>4648.71785</v>
      </c>
      <c r="U1475">
        <f>ROUND(($Q$2)/G1475,6)</f>
        <v>8.5848069999999996</v>
      </c>
      <c r="V1475">
        <f>U1475*G1475</f>
        <v>1649.9999053999998</v>
      </c>
      <c r="W1475">
        <f>U1475*(I1475-G1475)</f>
        <v>126.62590324999999</v>
      </c>
      <c r="X1475">
        <f>(G1475+I1475)*$R$2*U1475</f>
        <v>3.42662571405</v>
      </c>
      <c r="Y1475">
        <f>W1475-X1475</f>
        <v>123.19927753594999</v>
      </c>
      <c r="Z1475">
        <f>O2+Y1475</f>
        <v>16623.19927753595</v>
      </c>
      <c r="AB1475">
        <f>ROUND(((AH1475)*$Q$2)/G1475,6)</f>
        <v>8.5848069999999996</v>
      </c>
      <c r="AC1475">
        <f>AB1475*G1475</f>
        <v>1649.9999053999998</v>
      </c>
      <c r="AD1475">
        <f>AB1475*(I1475-G1475)</f>
        <v>126.62590324999999</v>
      </c>
      <c r="AE1475">
        <f>(G1475+I1475)*$R$2*AB1475</f>
        <v>3.42662571405</v>
      </c>
      <c r="AF1475">
        <f>AD1475-AE1475</f>
        <v>123.19927753594999</v>
      </c>
      <c r="AG1475">
        <f>O2+AF1475</f>
        <v>16623.19927753595</v>
      </c>
      <c r="AH1475" t="b">
        <f>ISBLANK(AI1475)</f>
        <v>1</v>
      </c>
      <c r="AJ1475">
        <f>AI1475*AH1475</f>
        <v>0</v>
      </c>
    </row>
    <row r="1476" spans="4:36" x14ac:dyDescent="0.4">
      <c r="AI1476">
        <v>1</v>
      </c>
    </row>
  </sheetData>
  <autoFilter ref="D12:S1475" xr:uid="{7F4173A5-4D5D-44C6-B5AC-1C9366926C09}">
    <filterColumn colId="2">
      <filters>
        <dateGroupItem year="2026" dateTimeGrouping="year"/>
        <dateGroupItem year="2025" month="12" dateTimeGrouping="month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Mayer</dc:creator>
  <cp:lastModifiedBy>Edgar Mayer</cp:lastModifiedBy>
  <dcterms:created xsi:type="dcterms:W3CDTF">2026-01-28T22:33:17Z</dcterms:created>
  <dcterms:modified xsi:type="dcterms:W3CDTF">2026-01-29T14:45:04Z</dcterms:modified>
</cp:coreProperties>
</file>